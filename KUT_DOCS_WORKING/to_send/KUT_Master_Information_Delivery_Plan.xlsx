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Programme" sheetId="2" state="visible" r:id="rId2"/>
    <sheet xmlns:r="http://schemas.openxmlformats.org/officeDocument/2006/relationships" name="MIDP" sheetId="3" state="visible" r:id="rId3"/>
    <sheet xmlns:r="http://schemas.openxmlformats.org/officeDocument/2006/relationships" name="TIDP-Z" sheetId="4" state="visible" r:id="rId4"/>
    <sheet xmlns:r="http://schemas.openxmlformats.org/officeDocument/2006/relationships" name="TIDP-A" sheetId="5" state="visible" r:id="rId5"/>
    <sheet xmlns:r="http://schemas.openxmlformats.org/officeDocument/2006/relationships" name="TIDP-S" sheetId="6" state="visible" r:id="rId6"/>
    <sheet xmlns:r="http://schemas.openxmlformats.org/officeDocument/2006/relationships" name="TIDP-M" sheetId="7" state="visible" r:id="rId7"/>
    <sheet xmlns:r="http://schemas.openxmlformats.org/officeDocument/2006/relationships" name="TIDP-E" sheetId="8" state="visible" r:id="rId8"/>
    <sheet xmlns:r="http://schemas.openxmlformats.org/officeDocument/2006/relationships" name="TIDP-P" sheetId="9" state="visible" r:id="rId9"/>
    <sheet xmlns:r="http://schemas.openxmlformats.org/officeDocument/2006/relationships" name="TIDP-Y-FP" sheetId="10" state="visible" r:id="rId10"/>
    <sheet xmlns:r="http://schemas.openxmlformats.org/officeDocument/2006/relationships" name="TIDP-Y-LV" sheetId="11" state="visible" r:id="rId11"/>
    <sheet xmlns:r="http://schemas.openxmlformats.org/officeDocument/2006/relationships" name="TIDP-C" sheetId="12" state="visible" r:id="rId12"/>
    <sheet xmlns:r="http://schemas.openxmlformats.org/officeDocument/2006/relationships" name="TIDP-Q" sheetId="13" state="visible" r:id="rId13"/>
    <sheet xmlns:r="http://schemas.openxmlformats.org/officeDocument/2006/relationships" name="TIDP-I" sheetId="14" state="visible" r:id="rId14"/>
    <sheet xmlns:r="http://schemas.openxmlformats.org/officeDocument/2006/relationships" name="TIDP-W" sheetId="15" state="visible" r:id="rId15"/>
    <sheet xmlns:r="http://schemas.openxmlformats.org/officeDocument/2006/relationships" name="TIDP-ALL" sheetId="16" state="visible" r:id="rId16"/>
    <sheet xmlns:r="http://schemas.openxmlformats.org/officeDocument/2006/relationships" name="Summary" sheetId="17" state="visible" r:id="rId17"/>
    <sheet xmlns:r="http://schemas.openxmlformats.org/officeDocument/2006/relationships" name="Drawing schedule" sheetId="18" state="visible" r:id="rId18"/>
    <sheet xmlns:r="http://schemas.openxmlformats.org/officeDocument/2006/relationships" name="Change log" sheetId="19" state="visible" r:id="rId19"/>
    <sheet xmlns:r="http://schemas.openxmlformats.org/officeDocument/2006/relationships" name="Lists" sheetId="20" state="visible" r:id="rId20"/>
  </sheets>
  <definedNames>
    <definedName name="_xlnm._FilterDatabase" localSheetId="2" hidden="1">'MIDP'!$A$1:$X$122</definedName>
    <definedName name="_xlnm.Print_Titles" localSheetId="2">'MIDP'!$1:$1</definedName>
    <definedName name="_xlnm._FilterDatabase" localSheetId="3" hidden="1">'TIDP-Z'!$A$16:$X$83</definedName>
    <definedName name="_xlnm.Print_Titles" localSheetId="3">'TIDP-Z'!$16:$16</definedName>
    <definedName name="_xlnm._FilterDatabase" localSheetId="4" hidden="1">'TIDP-A'!$A$16:$X$43</definedName>
    <definedName name="_xlnm.Print_Titles" localSheetId="4">'TIDP-A'!$16:$16</definedName>
    <definedName name="_xlnm._FilterDatabase" localSheetId="5" hidden="1">'TIDP-S'!$A$16:$X$38</definedName>
    <definedName name="_xlnm.Print_Titles" localSheetId="5">'TIDP-S'!$16:$16</definedName>
    <definedName name="_xlnm._FilterDatabase" localSheetId="6" hidden="1">'TIDP-M'!$A$16:$X$41</definedName>
    <definedName name="_xlnm.Print_Titles" localSheetId="6">'TIDP-M'!$16:$16</definedName>
    <definedName name="_xlnm._FilterDatabase" localSheetId="7" hidden="1">'TIDP-E'!$A$16:$X$38</definedName>
    <definedName name="_xlnm.Print_Titles" localSheetId="7">'TIDP-E'!$16:$16</definedName>
    <definedName name="_xlnm._FilterDatabase" localSheetId="8" hidden="1">'TIDP-P'!$A$16:$X$37</definedName>
    <definedName name="_xlnm.Print_Titles" localSheetId="8">'TIDP-P'!$16:$16</definedName>
    <definedName name="_xlnm._FilterDatabase" localSheetId="9" hidden="1">'TIDP-Y-FP'!$A$16:$X$35</definedName>
    <definedName name="_xlnm.Print_Titles" localSheetId="9">'TIDP-Y-FP'!$16:$16</definedName>
    <definedName name="_xlnm._FilterDatabase" localSheetId="10" hidden="1">'TIDP-Y-LV'!$A$16:$X$35</definedName>
    <definedName name="_xlnm.Print_Titles" localSheetId="10">'TIDP-Y-LV'!$16:$16</definedName>
    <definedName name="_xlnm._FilterDatabase" localSheetId="11" hidden="1">'TIDP-C'!$A$16:$X$37</definedName>
    <definedName name="_xlnm.Print_Titles" localSheetId="11">'TIDP-C'!$16:$16</definedName>
    <definedName name="_xlnm._FilterDatabase" localSheetId="12" hidden="1">'TIDP-Q'!$A$16:$X$33</definedName>
    <definedName name="_xlnm.Print_Titles" localSheetId="12">'TIDP-Q'!$16:$16</definedName>
    <definedName name="_xlnm._FilterDatabase" localSheetId="13" hidden="1">'TIDP-I'!$A$16:$X$35</definedName>
    <definedName name="_xlnm.Print_Titles" localSheetId="13">'TIDP-I'!$16:$16</definedName>
    <definedName name="_xlnm._FilterDatabase" localSheetId="14" hidden="1">'TIDP-W'!$A$16:$X$35</definedName>
    <definedName name="_xlnm.Print_Titles" localSheetId="14">'TIDP-W'!$16:$16</definedName>
    <definedName name="_xlnm._FilterDatabase" localSheetId="15" hidden="1">'TIDP-ALL'!$A$16:$X$34</definedName>
    <definedName name="_xlnm.Print_Titles" localSheetId="15">'TIDP-ALL'!$16:$16</definedName>
    <definedName name="_xlnm._FilterDatabase" localSheetId="17" hidden="1">'Drawing schedule'!$B$6:$F$50</definedName>
  </definedNames>
  <calcPr calcId="124519" fullCalcOnLoad="1"/>
</workbook>
</file>

<file path=xl/styles.xml><?xml version="1.0" encoding="utf-8"?>
<styleSheet xmlns="http://schemas.openxmlformats.org/spreadsheetml/2006/main">
  <numFmts count="2">
    <numFmt numFmtId="164" formatCode="dd mmm yyyy"/>
    <numFmt numFmtId="165" formatCode="0;-0;&quot;&quot;"/>
  </numFmts>
  <fonts count="13">
    <font>
      <name val="Calibri"/>
      <family val="2"/>
      <color theme="1"/>
      <sz val="11"/>
      <scheme val="minor"/>
    </font>
    <font>
      <name val="Calibri"/>
      <b val="1"/>
      <color rgb="00444F5C"/>
      <sz val="10"/>
    </font>
    <font>
      <name val="Calibri"/>
      <b val="1"/>
      <color rgb="001F3654"/>
      <sz val="22"/>
    </font>
    <font>
      <name val="Calibri"/>
      <color rgb="00444F5C"/>
      <sz val="11"/>
    </font>
    <font>
      <name val="Calibri"/>
      <b val="1"/>
      <color rgb="00444F5C"/>
      <sz val="9"/>
    </font>
    <font>
      <name val="Calibri"/>
      <sz val="9.5"/>
    </font>
    <font>
      <name val="Calibri"/>
      <b val="1"/>
      <color rgb="001F3654"/>
      <sz val="11"/>
    </font>
    <font>
      <name val="Calibri"/>
      <i val="1"/>
      <color rgb="00444F5C"/>
      <sz val="8.5"/>
    </font>
    <font>
      <name val="Calibri"/>
      <b val="1"/>
      <color rgb="001F3654"/>
      <sz val="16"/>
    </font>
    <font>
      <name val="Calibri"/>
      <b val="1"/>
      <color rgb="001F3654"/>
      <sz val="9"/>
    </font>
    <font>
      <b val="1"/>
      <color rgb="001F3654"/>
      <sz val="11"/>
    </font>
    <font>
      <color rgb="000563C1"/>
      <sz val="10"/>
      <u val="single"/>
    </font>
    <font>
      <color rgb="000563C1"/>
      <sz val="8"/>
      <u val="single"/>
    </font>
  </fonts>
  <fills count="5">
    <fill>
      <patternFill/>
    </fill>
    <fill>
      <patternFill patternType="gray125"/>
    </fill>
    <fill>
      <patternFill patternType="solid">
        <fgColor rgb="00F4F6F9"/>
      </patternFill>
    </fill>
    <fill>
      <patternFill patternType="solid">
        <fgColor rgb="00FFF0CC"/>
      </patternFill>
    </fill>
    <fill>
      <patternFill patternType="solid">
        <fgColor rgb="00E8EDF3"/>
      </patternFill>
    </fill>
  </fills>
  <borders count="2">
    <border>
      <left/>
      <right/>
      <top/>
      <bottom/>
      <diagonal/>
    </border>
    <border>
      <left style="thin">
        <color rgb="00C6CEDA"/>
      </left>
      <right style="thin">
        <color rgb="00C6CEDA"/>
      </right>
      <top style="thin">
        <color rgb="00C6CEDA"/>
      </top>
      <bottom style="thin">
        <color rgb="00C6CEDA"/>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5" fillId="0" borderId="0" applyAlignment="1" pivotButton="0" quotePrefix="0" xfId="0">
      <alignment vertical="top" wrapText="1"/>
    </xf>
    <xf numFmtId="0" fontId="5" fillId="2" borderId="0" applyAlignment="1" pivotButton="0" quotePrefix="0" xfId="0">
      <alignment vertical="top" wrapText="1"/>
    </xf>
    <xf numFmtId="0" fontId="0" fillId="2" borderId="0" pivotButton="0" quotePrefix="0" xfId="0"/>
    <xf numFmtId="0" fontId="7"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8" fillId="0" borderId="0" pivotButton="0" quotePrefix="0" xfId="0"/>
    <xf numFmtId="164" fontId="0" fillId="3" borderId="1" pivotButton="0" quotePrefix="0" xfId="0"/>
    <xf numFmtId="0" fontId="7" fillId="0" borderId="0" applyAlignment="1" pivotButton="0" quotePrefix="0" xfId="0">
      <alignment vertical="top" wrapText="1"/>
    </xf>
    <xf numFmtId="0" fontId="9" fillId="4" borderId="1" applyAlignment="1" pivotButton="0" quotePrefix="0" xfId="0">
      <alignment vertical="center" wrapText="1"/>
    </xf>
    <xf numFmtId="0" fontId="5" fillId="0" borderId="1" pivotButton="0" quotePrefix="0" xfId="0"/>
    <xf numFmtId="0" fontId="5" fillId="0" borderId="1" applyAlignment="1" pivotButton="0" quotePrefix="0" xfId="0">
      <alignment horizontal="center"/>
    </xf>
    <xf numFmtId="164" fontId="5" fillId="0" borderId="1" pivotButton="0" quotePrefix="0" xfId="0"/>
    <xf numFmtId="0" fontId="4" fillId="2" borderId="1" pivotButton="0" quotePrefix="0" xfId="0"/>
    <xf numFmtId="0" fontId="0" fillId="2" borderId="1" pivotButton="0" quotePrefix="0" xfId="0"/>
    <xf numFmtId="0" fontId="4" fillId="2" borderId="1" applyAlignment="1" pivotButton="0" quotePrefix="0" xfId="0">
      <alignment horizontal="center"/>
    </xf>
    <xf numFmtId="0" fontId="5" fillId="0" borderId="1" applyAlignment="1" pivotButton="0" quotePrefix="0" xfId="0">
      <alignment vertical="top"/>
    </xf>
    <xf numFmtId="0" fontId="5" fillId="0" borderId="1" applyAlignment="1" pivotButton="0" quotePrefix="0" xfId="0">
      <alignment horizontal="center" vertical="top"/>
    </xf>
    <xf numFmtId="0" fontId="5" fillId="0" borderId="1" applyAlignment="1" pivotButton="0" quotePrefix="0" xfId="0">
      <alignment vertical="top" wrapText="1"/>
    </xf>
    <xf numFmtId="164" fontId="5" fillId="0" borderId="1" applyAlignment="1" pivotButton="0" quotePrefix="0" xfId="0">
      <alignment vertical="top"/>
    </xf>
    <xf numFmtId="165" fontId="5" fillId="0" borderId="1" applyAlignment="1" pivotButton="0" quotePrefix="0" xfId="0">
      <alignment horizontal="center" vertical="top"/>
    </xf>
    <xf numFmtId="0" fontId="5" fillId="0" borderId="1" applyAlignment="1" pivotButton="0" quotePrefix="0" xfId="0">
      <alignment horizontal="center" vertical="top"/>
    </xf>
    <xf numFmtId="0" fontId="5" fillId="0" borderId="1" applyAlignment="1" pivotButton="0" quotePrefix="0" xfId="0">
      <alignment horizontal="left" vertical="top"/>
    </xf>
    <xf numFmtId="0" fontId="5" fillId="0" borderId="1" applyAlignment="1" pivotButton="0" quotePrefix="0" xfId="0">
      <alignment horizontal="left" vertical="top" wrapText="1"/>
    </xf>
    <xf numFmtId="0" fontId="9" fillId="4" borderId="1" pivotButton="0" quotePrefix="0" xfId="0"/>
  </cellXfs>
  <cellStyles count="1">
    <cellStyle name="Normal" xfId="0" builtinId="0" hidden="0"/>
  </cellStyles>
  <dxfs count="4">
    <dxf>
      <fill>
        <patternFill patternType="solid">
          <fgColor rgb="00F8D7DA"/>
        </patternFill>
      </fill>
    </dxf>
    <dxf>
      <fill>
        <patternFill patternType="solid">
          <fgColor rgb="00FFF0CC"/>
        </patternFill>
      </fill>
    </dxf>
    <dxf>
      <fill>
        <patternFill patternType="solid">
          <fgColor rgb="00DDF0DD"/>
        </patternFill>
      </fill>
    </dxf>
    <dxf>
      <fill>
        <patternFill patternType="solid">
          <fgColor rgb="00F4F6F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rogramme'!A1" TargetMode="External" Id="rId1"/><Relationship Type="http://schemas.openxmlformats.org/officeDocument/2006/relationships/hyperlink" Target="#'MIDP'!A1" TargetMode="External" Id="rId2"/><Relationship Type="http://schemas.openxmlformats.org/officeDocument/2006/relationships/hyperlink" Target="#'TIDP-Z'!A1" TargetMode="External" Id="rId3"/><Relationship Type="http://schemas.openxmlformats.org/officeDocument/2006/relationships/hyperlink" Target="#'TIDP-A'!A1" TargetMode="External" Id="rId4"/><Relationship Type="http://schemas.openxmlformats.org/officeDocument/2006/relationships/hyperlink" Target="#'TIDP-S'!A1" TargetMode="External" Id="rId5"/><Relationship Type="http://schemas.openxmlformats.org/officeDocument/2006/relationships/hyperlink" Target="#'TIDP-M'!A1" TargetMode="External" Id="rId6"/><Relationship Type="http://schemas.openxmlformats.org/officeDocument/2006/relationships/hyperlink" Target="#'TIDP-E'!A1" TargetMode="External" Id="rId7"/><Relationship Type="http://schemas.openxmlformats.org/officeDocument/2006/relationships/hyperlink" Target="#'TIDP-P'!A1" TargetMode="External" Id="rId8"/><Relationship Type="http://schemas.openxmlformats.org/officeDocument/2006/relationships/hyperlink" Target="#'TIDP-Y-FP'!A1" TargetMode="External" Id="rId9"/><Relationship Type="http://schemas.openxmlformats.org/officeDocument/2006/relationships/hyperlink" Target="#'TIDP-Y-LV'!A1" TargetMode="External" Id="rId10"/><Relationship Type="http://schemas.openxmlformats.org/officeDocument/2006/relationships/hyperlink" Target="#'TIDP-C'!A1" TargetMode="External" Id="rId11"/><Relationship Type="http://schemas.openxmlformats.org/officeDocument/2006/relationships/hyperlink" Target="#'TIDP-Q'!A1" TargetMode="External" Id="rId12"/><Relationship Type="http://schemas.openxmlformats.org/officeDocument/2006/relationships/hyperlink" Target="#'TIDP-I'!A1" TargetMode="External" Id="rId13"/><Relationship Type="http://schemas.openxmlformats.org/officeDocument/2006/relationships/hyperlink" Target="#'TIDP-W'!A1" TargetMode="External" Id="rId14"/><Relationship Type="http://schemas.openxmlformats.org/officeDocument/2006/relationships/hyperlink" Target="#'TIDP-ALL'!A1" TargetMode="External" Id="rId15"/><Relationship Type="http://schemas.openxmlformats.org/officeDocument/2006/relationships/hyperlink" Target="#'Summary'!A1" TargetMode="External" Id="rId16"/><Relationship Type="http://schemas.openxmlformats.org/officeDocument/2006/relationships/hyperlink" Target="#'Drawing schedule'!A1" TargetMode="External" Id="rId17"/><Relationship Type="http://schemas.openxmlformats.org/officeDocument/2006/relationships/hyperlink" Target="#'Change log'!A1" TargetMode="External" Id="rId18"/><Relationship Type="http://schemas.openxmlformats.org/officeDocument/2006/relationships/hyperlink" Target="#'Lists'!A1" TargetMode="External" Id="rId19"/></Relationships>
</file>

<file path=xl/worksheets/_rels/sheet2.xml.rels><Relationships xmlns="http://schemas.openxmlformats.org/package/2006/relationships"><Relationship Type="http://schemas.openxmlformats.org/officeDocument/2006/relationships/hyperlink" Target="#'Cover'!A1" TargetMode="External" Id="rId1"/></Relationships>
</file>

<file path=xl/worksheets/_rels/sheet4.xml.rels><Relationships xmlns="http://schemas.openxmlformats.org/package/2006/relationships"><Relationship Type="http://schemas.openxmlformats.org/officeDocument/2006/relationships/hyperlink" Target="#'Cover'!A1" TargetMode="External" Id="rId1"/></Relationships>
</file>

<file path=xl/worksheets/_rels/sheet5.xml.rels><Relationships xmlns="http://schemas.openxmlformats.org/package/2006/relationships"><Relationship Type="http://schemas.openxmlformats.org/officeDocument/2006/relationships/hyperlink" Target="#'Cover'!A1" TargetMode="External" Id="rId1"/></Relationships>
</file>

<file path=xl/worksheets/_rels/sheet6.xml.rels><Relationships xmlns="http://schemas.openxmlformats.org/package/2006/relationships"><Relationship Type="http://schemas.openxmlformats.org/officeDocument/2006/relationships/hyperlink" Target="#'Cover'!A1" TargetMode="External" Id="rId1"/></Relationships>
</file>

<file path=xl/worksheets/_rels/sheet7.xml.rels><Relationships xmlns="http://schemas.openxmlformats.org/package/2006/relationships"><Relationship Type="http://schemas.openxmlformats.org/officeDocument/2006/relationships/hyperlink" Target="#'Cover'!A1" TargetMode="External" Id="rId1"/></Relationships>
</file>

<file path=xl/worksheets/_rels/sheet8.xml.rels><Relationships xmlns="http://schemas.openxmlformats.org/package/2006/relationships"><Relationship Type="http://schemas.openxmlformats.org/officeDocument/2006/relationships/hyperlink" Target="#'Cover'!A1" TargetMode="External" Id="rId1"/></Relationships>
</file>

<file path=xl/worksheets/_rels/sheet9.xml.rels><Relationships xmlns="http://schemas.openxmlformats.org/package/2006/relationships"><Relationship Type="http://schemas.openxmlformats.org/officeDocument/2006/relationships/hyperlink" Target="#'Cover'!A1" TargetMode="External" Id="rId1"/></Relationships>
</file>

<file path=xl/worksheets/_rels/sheet10.xml.rels><Relationships xmlns="http://schemas.openxmlformats.org/package/2006/relationships"><Relationship Type="http://schemas.openxmlformats.org/officeDocument/2006/relationships/hyperlink" Target="#'Cover'!A1" TargetMode="External" Id="rId1"/></Relationships>
</file>

<file path=xl/worksheets/_rels/sheet11.xml.rels><Relationships xmlns="http://schemas.openxmlformats.org/package/2006/relationships"><Relationship Type="http://schemas.openxmlformats.org/officeDocument/2006/relationships/hyperlink" Target="#'Cover'!A1" TargetMode="External" Id="rId1"/></Relationships>
</file>

<file path=xl/worksheets/_rels/sheet12.xml.rels><Relationships xmlns="http://schemas.openxmlformats.org/package/2006/relationships"><Relationship Type="http://schemas.openxmlformats.org/officeDocument/2006/relationships/hyperlink" Target="#'Cover'!A1" TargetMode="External" Id="rId1"/></Relationships>
</file>

<file path=xl/worksheets/_rels/sheet13.xml.rels><Relationships xmlns="http://schemas.openxmlformats.org/package/2006/relationships"><Relationship Type="http://schemas.openxmlformats.org/officeDocument/2006/relationships/hyperlink" Target="#'Cover'!A1" TargetMode="External" Id="rId1"/></Relationships>
</file>

<file path=xl/worksheets/_rels/sheet14.xml.rels><Relationships xmlns="http://schemas.openxmlformats.org/package/2006/relationships"><Relationship Type="http://schemas.openxmlformats.org/officeDocument/2006/relationships/hyperlink" Target="#'Cover'!A1" TargetMode="External" Id="rId1"/></Relationships>
</file>

<file path=xl/worksheets/_rels/sheet15.xml.rels><Relationships xmlns="http://schemas.openxmlformats.org/package/2006/relationships"><Relationship Type="http://schemas.openxmlformats.org/officeDocument/2006/relationships/hyperlink" Target="#'Cover'!A1" TargetMode="External" Id="rId1"/></Relationships>
</file>

<file path=xl/worksheets/_rels/sheet16.xml.rels><Relationships xmlns="http://schemas.openxmlformats.org/package/2006/relationships"><Relationship Type="http://schemas.openxmlformats.org/officeDocument/2006/relationships/hyperlink" Target="#'Cover'!A1" TargetMode="External" Id="rId1"/></Relationships>
</file>

<file path=xl/worksheets/_rels/sheet17.xml.rels><Relationships xmlns="http://schemas.openxmlformats.org/package/2006/relationships"><Relationship Type="http://schemas.openxmlformats.org/officeDocument/2006/relationships/hyperlink" Target="#'Cover'!A1" TargetMode="External" Id="rId1"/></Relationships>
</file>

<file path=xl/worksheets/_rels/sheet18.xml.rels><Relationships xmlns="http://schemas.openxmlformats.org/package/2006/relationships"><Relationship Type="http://schemas.openxmlformats.org/officeDocument/2006/relationships/hyperlink" Target="#'Cover'!A1" TargetMode="External" Id="rId1"/></Relationships>
</file>

<file path=xl/worksheets/_rels/sheet19.xml.rels><Relationships xmlns="http://schemas.openxmlformats.org/package/2006/relationships"><Relationship Type="http://schemas.openxmlformats.org/officeDocument/2006/relationships/hyperlink" Target="#'Cover'!A1" TargetMode="External" Id="rId1"/></Relationships>
</file>

<file path=xl/worksheets/sheet1.xml><?xml version="1.0" encoding="utf-8"?>
<worksheet xmlns="http://schemas.openxmlformats.org/spreadsheetml/2006/main">
  <sheetPr>
    <tabColor rgb="001F3654"/>
    <outlinePr summaryBelow="1" summaryRight="1"/>
    <pageSetUpPr/>
  </sheetPr>
  <dimension ref="B3:C53"/>
  <sheetViews>
    <sheetView showGridLines="0" workbookViewId="0">
      <selection activeCell="A1" sqref="A1"/>
    </sheetView>
  </sheetViews>
  <sheetFormatPr baseColWidth="8" defaultRowHeight="15"/>
  <cols>
    <col width="3" customWidth="1" min="1" max="1"/>
    <col width="30" customWidth="1" min="2" max="2"/>
    <col width="76" customWidth="1" min="3" max="3"/>
  </cols>
  <sheetData>
    <row r="3">
      <c r="B3" s="1" t="inlineStr">
        <is>
          <t>KAMPALA UGANDA TEMPLE</t>
        </is>
      </c>
    </row>
    <row r="5">
      <c r="B5" s="2" t="inlineStr">
        <is>
          <t>Master Information Delivery Plan</t>
        </is>
      </c>
    </row>
    <row r="7" ht="32" customHeight="1">
      <c r="B7" s="3" t="inlineStr">
        <is>
          <t>The aggregated schedule of information deliverables for the project, compiled from the Task Information Delivery Plan of every appointed party.</t>
        </is>
      </c>
    </row>
    <row r="10">
      <c r="B10" s="4" t="inlineStr">
        <is>
          <t>Document reference</t>
        </is>
      </c>
      <c r="C10" s="5" t="inlineStr">
        <is>
          <t>KUT-SMB-ZZ-ZZ-SH-Z-0001</t>
        </is>
      </c>
    </row>
    <row r="11">
      <c r="B11" s="4" t="inlineStr">
        <is>
          <t>Revision</t>
        </is>
      </c>
      <c r="C11" s="5" t="inlineStr">
        <is>
          <t>P01</t>
        </is>
      </c>
    </row>
    <row r="12">
      <c r="B12" s="4" t="inlineStr">
        <is>
          <t>Status / suitability</t>
        </is>
      </c>
      <c r="C12" s="5" t="inlineStr">
        <is>
          <t>DRAFT — not issued (S0, work in progress)</t>
        </is>
      </c>
    </row>
    <row r="13">
      <c r="B13" s="4" t="inlineStr">
        <is>
          <t>Prepared by</t>
        </is>
      </c>
      <c r="C13" s="5" t="inlineStr">
        <is>
          <t>Symbion Consulting Group Studios (Information Manager)</t>
        </is>
      </c>
    </row>
    <row r="14">
      <c r="B14" s="4" t="inlineStr">
        <is>
          <t>Baselined</t>
        </is>
      </c>
      <c r="C14" s="5" t="inlineStr">
        <is>
          <t>[FILL — date]</t>
        </is>
      </c>
    </row>
    <row r="15">
      <c r="B15" s="4" t="inlineStr">
        <is>
          <t>Last updated</t>
        </is>
      </c>
      <c r="C15" s="5" t="inlineStr">
        <is>
          <t>[FILL — date]</t>
        </is>
      </c>
    </row>
    <row r="16">
      <c r="B16" s="4" t="inlineStr">
        <is>
          <t>Update frequency</t>
        </is>
      </c>
      <c r="C16" s="5" t="inlineStr">
        <is>
          <t>Monthly, and at every data drop</t>
        </is>
      </c>
    </row>
    <row r="18">
      <c r="B18" s="6" t="inlineStr">
        <is>
          <t>How to use this workbook</t>
        </is>
      </c>
    </row>
    <row r="19" ht="28" customHeight="1">
      <c r="B19" s="4" t="inlineStr">
        <is>
          <t>Programme</t>
        </is>
      </c>
      <c r="C19" s="7" t="inlineStr">
        <is>
          <t>Enter the appointment date here, once. Every calendar date in the workbook is calculated from it.</t>
        </is>
      </c>
    </row>
    <row r="20" ht="28" customHeight="1">
      <c r="B20" s="4" t="inlineStr">
        <is>
          <t>MIDP</t>
        </is>
      </c>
      <c r="C20" s="7" t="inlineStr">
        <is>
          <t>The project register. One row per deliverable. Filter by discipline, stage or status. The Information Manager maintains this sheet.</t>
        </is>
      </c>
    </row>
    <row r="21" ht="28" customHeight="1">
      <c r="B21" s="4" t="inlineStr">
        <is>
          <t>TIDP-…</t>
        </is>
      </c>
      <c r="C21" s="7" t="inlineStr">
        <is>
          <t>One Task Information Delivery Plan per appointed party, pre-filled with the deliverables already assigned to it. Confirm the dates, add anything your scope requires that is not listed, and return the sheet. TIDP-ALL carries the deliverables every party owes.</t>
        </is>
      </c>
    </row>
    <row r="22" ht="28" customHeight="1">
      <c r="B22" s="4" t="inlineStr">
        <is>
          <t>Summary</t>
        </is>
      </c>
      <c r="C22" s="7" t="inlineStr">
        <is>
          <t>Counts by stage, discipline and delivery plan, calculated from the MIDP sheet. Nothing is typed here.</t>
        </is>
      </c>
    </row>
    <row r="23" ht="28" customHeight="1">
      <c r="B23" s="4" t="inlineStr">
        <is>
          <t>Drawing schedule</t>
        </is>
      </c>
      <c r="C23" s="7" t="inlineStr">
        <is>
          <t>Indicative sheet counts by volume and role, for production planning.</t>
        </is>
      </c>
    </row>
    <row r="24" ht="28" customHeight="1">
      <c r="B24" s="4" t="inlineStr">
        <is>
          <t>Change log</t>
        </is>
      </c>
      <c r="C24" s="7" t="inlineStr">
        <is>
          <t>What changed since the previous issue of this register, and why, including the references that were retired.</t>
        </is>
      </c>
    </row>
    <row r="25" ht="28" customHeight="1">
      <c r="B25" s="4" t="inlineStr">
        <is>
          <t>Lists</t>
        </is>
      </c>
      <c r="C25" s="7" t="inlineStr">
        <is>
          <t>The permitted values behind the drop-down lists. Amend here to change the drop-downs.</t>
        </is>
      </c>
    </row>
    <row r="27">
      <c r="B27" s="6" t="inlineStr">
        <is>
          <t>Before this plan is baselined</t>
        </is>
      </c>
    </row>
    <row r="28">
      <c r="B28" s="8" t="inlineStr">
        <is>
          <t>The Originator column is deliberately empty. The LENGTH is settled -- exactly three characters, which the compliance check enforces -- but the register that ALLOCATES a code to each appointed party has not been issued, so no row can state one. Complete this column only once the register is issued. Nothing on this project is to be numbered before that point. Symbion’s own containers already carry SMB in their document references, and the Information Manager rows could be completed on that basis if the Lead Appointed Party confirms SMB is its allocated code rather than a worked example.</t>
        </is>
      </c>
      <c r="C28" s="9" t="n"/>
    </row>
    <row r="29">
      <c r="B29" s="9" t="n"/>
      <c r="C29" s="9" t="n"/>
    </row>
    <row r="30">
      <c r="B30" s="9" t="n"/>
      <c r="C30" s="9" t="n"/>
    </row>
    <row r="32">
      <c r="B32" s="10" t="inlineStr">
        <is>
          <t>Not yet issued through the Common Data Environment. Uncontrolled when printed.</t>
        </is>
      </c>
    </row>
    <row r="34">
      <c r="B34" s="11" t="inlineStr">
        <is>
          <t>Sheets in this workbook</t>
        </is>
      </c>
    </row>
    <row r="35">
      <c r="B35" s="12" t="inlineStr">
        <is>
          <t>Programme</t>
        </is>
      </c>
    </row>
    <row r="36">
      <c r="B36" s="12" t="inlineStr">
        <is>
          <t>MIDP</t>
        </is>
      </c>
    </row>
    <row r="37">
      <c r="B37" s="12" t="inlineStr">
        <is>
          <t>TIDP-Z</t>
        </is>
      </c>
    </row>
    <row r="38">
      <c r="B38" s="12" t="inlineStr">
        <is>
          <t>TIDP-A</t>
        </is>
      </c>
    </row>
    <row r="39">
      <c r="B39" s="12" t="inlineStr">
        <is>
          <t>TIDP-S</t>
        </is>
      </c>
    </row>
    <row r="40">
      <c r="B40" s="12" t="inlineStr">
        <is>
          <t>TIDP-M</t>
        </is>
      </c>
    </row>
    <row r="41">
      <c r="B41" s="12" t="inlineStr">
        <is>
          <t>TIDP-E</t>
        </is>
      </c>
    </row>
    <row r="42">
      <c r="B42" s="12" t="inlineStr">
        <is>
          <t>TIDP-P</t>
        </is>
      </c>
    </row>
    <row r="43">
      <c r="B43" s="12" t="inlineStr">
        <is>
          <t>TIDP-Y-FP</t>
        </is>
      </c>
    </row>
    <row r="44">
      <c r="B44" s="12" t="inlineStr">
        <is>
          <t>TIDP-Y-LV</t>
        </is>
      </c>
    </row>
    <row r="45">
      <c r="B45" s="12" t="inlineStr">
        <is>
          <t>TIDP-C</t>
        </is>
      </c>
    </row>
    <row r="46">
      <c r="B46" s="12" t="inlineStr">
        <is>
          <t>TIDP-Q</t>
        </is>
      </c>
    </row>
    <row r="47">
      <c r="B47" s="12" t="inlineStr">
        <is>
          <t>TIDP-I</t>
        </is>
      </c>
    </row>
    <row r="48">
      <c r="B48" s="12" t="inlineStr">
        <is>
          <t>TIDP-W</t>
        </is>
      </c>
    </row>
    <row r="49">
      <c r="B49" s="12" t="inlineStr">
        <is>
          <t>TIDP-ALL</t>
        </is>
      </c>
    </row>
    <row r="50">
      <c r="B50" s="12" t="inlineStr">
        <is>
          <t>Summary</t>
        </is>
      </c>
    </row>
    <row r="51">
      <c r="B51" s="12" t="inlineStr">
        <is>
          <t>Drawing schedule</t>
        </is>
      </c>
    </row>
    <row r="52">
      <c r="B52" s="12" t="inlineStr">
        <is>
          <t>Change log</t>
        </is>
      </c>
    </row>
    <row r="53">
      <c r="B53" s="12" t="inlineStr">
        <is>
          <t>Lists</t>
        </is>
      </c>
    </row>
  </sheetData>
  <mergeCells count="2">
    <mergeCell ref="B28:C30"/>
    <mergeCell ref="B7:C7"/>
  </mergeCells>
  <hyperlinks>
    <hyperlink xmlns:r="http://schemas.openxmlformats.org/officeDocument/2006/relationships" ref="B35" r:id="rId1"/>
    <hyperlink xmlns:r="http://schemas.openxmlformats.org/officeDocument/2006/relationships" ref="B36" r:id="rId2"/>
    <hyperlink xmlns:r="http://schemas.openxmlformats.org/officeDocument/2006/relationships" ref="B37" r:id="rId3"/>
    <hyperlink xmlns:r="http://schemas.openxmlformats.org/officeDocument/2006/relationships" ref="B38" r:id="rId4"/>
    <hyperlink xmlns:r="http://schemas.openxmlformats.org/officeDocument/2006/relationships" ref="B39" r:id="rId5"/>
    <hyperlink xmlns:r="http://schemas.openxmlformats.org/officeDocument/2006/relationships" ref="B40" r:id="rId6"/>
    <hyperlink xmlns:r="http://schemas.openxmlformats.org/officeDocument/2006/relationships" ref="B41" r:id="rId7"/>
    <hyperlink xmlns:r="http://schemas.openxmlformats.org/officeDocument/2006/relationships" ref="B42" r:id="rId8"/>
    <hyperlink xmlns:r="http://schemas.openxmlformats.org/officeDocument/2006/relationships" ref="B43" r:id="rId9"/>
    <hyperlink xmlns:r="http://schemas.openxmlformats.org/officeDocument/2006/relationships" ref="B44" r:id="rId10"/>
    <hyperlink xmlns:r="http://schemas.openxmlformats.org/officeDocument/2006/relationships" ref="B45" r:id="rId11"/>
    <hyperlink xmlns:r="http://schemas.openxmlformats.org/officeDocument/2006/relationships" ref="B46" r:id="rId12"/>
    <hyperlink xmlns:r="http://schemas.openxmlformats.org/officeDocument/2006/relationships" ref="B47" r:id="rId13"/>
    <hyperlink xmlns:r="http://schemas.openxmlformats.org/officeDocument/2006/relationships" ref="B48" r:id="rId14"/>
    <hyperlink xmlns:r="http://schemas.openxmlformats.org/officeDocument/2006/relationships" ref="B49" r:id="rId15"/>
    <hyperlink xmlns:r="http://schemas.openxmlformats.org/officeDocument/2006/relationships" ref="B50" r:id="rId16"/>
    <hyperlink xmlns:r="http://schemas.openxmlformats.org/officeDocument/2006/relationships" ref="B51" r:id="rId17"/>
    <hyperlink xmlns:r="http://schemas.openxmlformats.org/officeDocument/2006/relationships" ref="B52" r:id="rId18"/>
    <hyperlink xmlns:r="http://schemas.openxmlformats.org/officeDocument/2006/relationships" ref="B53" r:id="rId19"/>
  </hyperlinks>
  <pageMargins left="0.75" right="0.75" top="1" bottom="1" header="0.5" footer="0.5"/>
  <headerFooter>
    <oddHeader>&amp;L&amp;"Calibri,Bold"&amp;9KAMPALA UGANDA TEMPLE&amp;C&amp;"Calibri,Bold"&amp;9&amp;A&amp;R&amp;9KUT-SMB-ZZ-ZZ-SH-Z-0001   Rev P01</oddHeader>
    <oddFooter>&amp;L&amp;9&amp;KC00000DRAFT - not issued (S0, work in progress)&amp;C&amp;8Symbion Consulting Group Studios - Information Manager&amp;R&amp;9&amp;A   Page &amp;P of &amp;N</oddFooter>
    <evenHeader/>
    <evenFooter/>
    <firstHeader/>
    <firstFooter/>
  </headerFooter>
</worksheet>
</file>

<file path=xl/worksheets/sheet2.xml><?xml version="1.0" encoding="utf-8"?>
<worksheet xmlns="http://schemas.openxmlformats.org/spreadsheetml/2006/main">
  <sheetPr>
    <tabColor rgb="001F3654"/>
    <outlinePr summaryBelow="1" summaryRight="1"/>
    <pageSetUpPr/>
  </sheetPr>
  <dimension ref="A1:G21"/>
  <sheetViews>
    <sheetView showGridLines="0" workbookViewId="0">
      <selection activeCell="A1" sqref="A1"/>
    </sheetView>
  </sheetViews>
  <sheetFormatPr baseColWidth="8" defaultRowHeight="15"/>
  <cols>
    <col width="3" customWidth="1" min="1" max="1"/>
    <col width="34" customWidth="1" min="2" max="2"/>
    <col width="10" customWidth="1" min="3" max="3"/>
    <col width="10" customWidth="1" min="4" max="4"/>
    <col width="16" customWidth="1" min="5" max="5"/>
    <col width="16" customWidth="1" min="6" max="6"/>
    <col width="10" customWidth="1" min="7" max="7"/>
  </cols>
  <sheetData>
    <row r="1">
      <c r="A1" s="13" t="inlineStr">
        <is>
          <t>&lt; Cover</t>
        </is>
      </c>
    </row>
    <row r="2">
      <c r="B2" s="14" t="inlineStr">
        <is>
          <t>Programme</t>
        </is>
      </c>
    </row>
    <row r="4">
      <c r="B4" s="4" t="inlineStr">
        <is>
          <t>Appointment date (M0)</t>
        </is>
      </c>
      <c r="C4" s="15" t="n"/>
      <c r="E4" s="10" t="inlineStr">
        <is>
          <t>← the only date entered by hand. Everything else is calculated from it.</t>
        </is>
      </c>
    </row>
    <row r="6">
      <c r="B6" s="16" t="inlineStr">
        <is>
          <t>Stage durations are the Appointing Party Work Program: Phase 2 totals 11 months and Phase 3 totals 38 months, 49 in all, read in sequence.</t>
        </is>
      </c>
    </row>
    <row r="7"/>
    <row r="9" ht="30" customHeight="1">
      <c r="A9" s="17" t="n"/>
      <c r="B9" s="17" t="inlineStr">
        <is>
          <t>Stage</t>
        </is>
      </c>
      <c r="C9" s="17" t="inlineStr">
        <is>
          <t>From</t>
        </is>
      </c>
      <c r="D9" s="17" t="inlineStr">
        <is>
          <t>To</t>
        </is>
      </c>
      <c r="E9" s="17" t="inlineStr">
        <is>
          <t>Starts</t>
        </is>
      </c>
      <c r="F9" s="17" t="inlineStr">
        <is>
          <t>Ends</t>
        </is>
      </c>
      <c r="G9" s="17" t="inlineStr">
        <is>
          <t>Months</t>
        </is>
      </c>
    </row>
    <row r="10">
      <c r="B10" s="18" t="inlineStr">
        <is>
          <t>2.1  Basis of Design (Deliverable A)</t>
        </is>
      </c>
      <c r="C10" s="19" t="inlineStr">
        <is>
          <t>M1</t>
        </is>
      </c>
      <c r="D10" s="19" t="inlineStr">
        <is>
          <t>M1</t>
        </is>
      </c>
      <c r="E10" s="20">
        <f>IF($C4="","",EDATE($C4,0))</f>
        <v/>
      </c>
      <c r="F10" s="20">
        <f>IF($C4="","",EOMONTH($C4,0))</f>
        <v/>
      </c>
      <c r="G10" s="19" t="n">
        <v>1</v>
      </c>
    </row>
    <row r="11">
      <c r="B11" s="18" t="inlineStr">
        <is>
          <t>2.2  Developed Design (Deliverable B)</t>
        </is>
      </c>
      <c r="C11" s="19" t="inlineStr">
        <is>
          <t>M2</t>
        </is>
      </c>
      <c r="D11" s="19" t="inlineStr">
        <is>
          <t>M4</t>
        </is>
      </c>
      <c r="E11" s="20">
        <f>IF($C4="","",EDATE($C4,1))</f>
        <v/>
      </c>
      <c r="F11" s="20">
        <f>IF($C4="","",EOMONTH($C4,3))</f>
        <v/>
      </c>
      <c r="G11" s="19" t="n">
        <v>3</v>
      </c>
    </row>
    <row r="12">
      <c r="B12" s="18" t="inlineStr">
        <is>
          <t>2.3  Technical Design (Deliverable C)</t>
        </is>
      </c>
      <c r="C12" s="19" t="inlineStr">
        <is>
          <t>M5</t>
        </is>
      </c>
      <c r="D12" s="19" t="inlineStr">
        <is>
          <t>M8</t>
        </is>
      </c>
      <c r="E12" s="20">
        <f>IF($C4="","",EDATE($C4,4))</f>
        <v/>
      </c>
      <c r="F12" s="20">
        <f>IF($C4="","",EOMONTH($C4,7))</f>
        <v/>
      </c>
      <c r="G12" s="19" t="n">
        <v>4</v>
      </c>
    </row>
    <row r="13">
      <c r="B13" s="18" t="inlineStr">
        <is>
          <t>2.4  Tender action, negotiation and award</t>
        </is>
      </c>
      <c r="C13" s="19" t="inlineStr">
        <is>
          <t>M9</t>
        </is>
      </c>
      <c r="D13" s="19" t="inlineStr">
        <is>
          <t>M11</t>
        </is>
      </c>
      <c r="E13" s="20">
        <f>IF($C4="","",EDATE($C4,8))</f>
        <v/>
      </c>
      <c r="F13" s="20">
        <f>IF($C4="","",EOMONTH($C4,10))</f>
        <v/>
      </c>
      <c r="G13" s="19" t="n">
        <v>3</v>
      </c>
    </row>
    <row r="14">
      <c r="B14" s="18" t="inlineStr">
        <is>
          <t>2.5  Conformed set</t>
        </is>
      </c>
      <c r="C14" s="19" t="inlineStr">
        <is>
          <t>M11</t>
        </is>
      </c>
      <c r="D14" s="19" t="inlineStr">
        <is>
          <t>M11</t>
        </is>
      </c>
      <c r="E14" s="20">
        <f>IF($C4="","",EDATE($C4,10))</f>
        <v/>
      </c>
      <c r="F14" s="20">
        <f>IF($C4="","",EOMONTH($C4,10))</f>
        <v/>
      </c>
      <c r="G14" s="19" t="n">
        <v>0</v>
      </c>
    </row>
    <row r="15">
      <c r="B15" s="18" t="inlineStr">
        <is>
          <t>3.1  Construction administration</t>
        </is>
      </c>
      <c r="C15" s="19" t="inlineStr">
        <is>
          <t>M12</t>
        </is>
      </c>
      <c r="D15" s="19" t="inlineStr">
        <is>
          <t>M43</t>
        </is>
      </c>
      <c r="E15" s="20">
        <f>IF($C4="","",EDATE($C4,11))</f>
        <v/>
      </c>
      <c r="F15" s="20">
        <f>IF($C4="","",EOMONTH($C4,42))</f>
        <v/>
      </c>
      <c r="G15" s="19" t="n">
        <v>32</v>
      </c>
    </row>
    <row r="16">
      <c r="B16" s="18" t="inlineStr">
        <is>
          <t>3.2  FF&amp;E installation</t>
        </is>
      </c>
      <c r="C16" s="19" t="inlineStr">
        <is>
          <t>M44</t>
        </is>
      </c>
      <c r="D16" s="19" t="inlineStr">
        <is>
          <t>M47</t>
        </is>
      </c>
      <c r="E16" s="20">
        <f>IF($C4="","",EDATE($C4,43))</f>
        <v/>
      </c>
      <c r="F16" s="20">
        <f>IF($C4="","",EOMONTH($C4,46))</f>
        <v/>
      </c>
      <c r="G16" s="19" t="n">
        <v>4</v>
      </c>
    </row>
    <row r="17">
      <c r="B17" s="18" t="inlineStr">
        <is>
          <t>3.3  Close-out (Deliverable D)</t>
        </is>
      </c>
      <c r="C17" s="19" t="inlineStr">
        <is>
          <t>M48</t>
        </is>
      </c>
      <c r="D17" s="19" t="inlineStr">
        <is>
          <t>M49</t>
        </is>
      </c>
      <c r="E17" s="20">
        <f>IF($C4="","",EDATE($C4,47))</f>
        <v/>
      </c>
      <c r="F17" s="20">
        <f>IF($C4="","",EOMONTH($C4,48))</f>
        <v/>
      </c>
      <c r="G17" s="19" t="n">
        <v>2</v>
      </c>
    </row>
    <row r="18">
      <c r="B18" s="21" t="inlineStr">
        <is>
          <t>Total</t>
        </is>
      </c>
      <c r="C18" s="22" t="n"/>
      <c r="D18" s="22" t="n"/>
      <c r="E18" s="22" t="n"/>
      <c r="F18" s="22" t="n"/>
      <c r="G18" s="23" t="n">
        <v>49</v>
      </c>
    </row>
    <row r="20">
      <c r="B20" s="16" t="inlineStr">
        <is>
          <t>Calendar dates are indicative until the appointment date is entered and the plan is rebaselined. A stage runs to the end of its final month, so a stage ending M8 ends on the last day of the eighth month after appointment.</t>
        </is>
      </c>
    </row>
    <row r="21"/>
  </sheetData>
  <mergeCells count="2">
    <mergeCell ref="B6:G7"/>
    <mergeCell ref="B20:G21"/>
  </mergeCells>
  <hyperlinks>
    <hyperlink xmlns:r="http://schemas.openxmlformats.org/officeDocument/2006/relationships" ref="A1" r:id="rId1"/>
  </hyperlinks>
  <pageMargins left="0.75" right="0.75" top="1" bottom="1" header="0.5" footer="0.5"/>
  <headerFooter>
    <oddHeader>&amp;L&amp;"Calibri,Bold"&amp;9KAMPALA UGANDA TEMPLE&amp;C&amp;"Calibri,Bold"&amp;9&amp;A&amp;R&amp;9KUT-SMB-ZZ-ZZ-SH-Z-0001   Rev P01</oddHeader>
    <oddFooter>&amp;L&amp;9&amp;KC00000DRAFT - not issued (S0, work in progress)&amp;C&amp;8Symbion Consulting Group Studios - Information Manager&amp;R&amp;9&amp;A   Page &amp;P of &amp;N</oddFooter>
    <evenHeader/>
    <evenFooter/>
    <firstHeader/>
    <firstFooter/>
  </headerFooter>
</worksheet>
</file>

<file path=xl/worksheets/sheet3.xml><?xml version="1.0" encoding="utf-8"?>
<worksheet xmlns="http://schemas.openxmlformats.org/spreadsheetml/2006/main">
  <sheetPr>
    <tabColor rgb="00C00000"/>
    <outlinePr summaryBelow="1" summaryRight="1"/>
    <pageSetUpPr fitToPage="1"/>
  </sheetPr>
  <dimension ref="A1:X122"/>
  <sheetViews>
    <sheetView showGridLines="0" workbookViewId="0">
      <pane xSplit="4" ySplit="1" topLeftCell="E2"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12" customWidth="1" min="3" max="3"/>
    <col width="8" customWidth="1" min="4" max="4"/>
    <col width="44" customWidth="1" min="5" max="5"/>
    <col width="15" customWidth="1" min="6" max="6"/>
    <col width="10" customWidth="1" min="7" max="7"/>
    <col width="20" customWidth="1" min="8" max="8"/>
    <col width="7" customWidth="1" min="9" max="9"/>
    <col width="15" customWidth="1" min="10" max="10"/>
    <col width="11" customWidth="1" min="11" max="11"/>
    <col width="12" customWidth="1" min="12" max="12"/>
    <col width="11" customWidth="1" min="13" max="13"/>
    <col width="10" customWidth="1" min="14" max="14"/>
    <col width="13" customWidth="1" min="15" max="15"/>
    <col width="13" customWidth="1" min="16" max="16"/>
    <col width="14" customWidth="1" min="17" max="17"/>
    <col width="20" customWidth="1" min="18" max="18"/>
    <col width="10" customWidth="1" min="19" max="19"/>
    <col width="9" customWidth="1" min="20" max="20"/>
    <col width="9" customWidth="1" min="21" max="21"/>
    <col width="7" customWidth="1" min="22" max="22"/>
    <col width="11" customWidth="1" min="23" max="23"/>
    <col width="40" customWidth="1" min="24" max="24"/>
  </cols>
  <sheetData>
    <row r="1" ht="30" customHeight="1">
      <c r="A1" s="17" t="inlineStr">
        <is>
          <t>Ref</t>
        </is>
      </c>
      <c r="B1" s="17" t="inlineStr">
        <is>
          <t>Discipline</t>
        </is>
      </c>
      <c r="C1" s="17" t="inlineStr">
        <is>
          <t>Originator</t>
        </is>
      </c>
      <c r="D1" s="17" t="inlineStr">
        <is>
          <t>Volume</t>
        </is>
      </c>
      <c r="E1" s="17" t="inlineStr">
        <is>
          <t>Deliverable</t>
        </is>
      </c>
      <c r="F1" s="17" t="inlineStr">
        <is>
          <t>Type</t>
        </is>
      </c>
      <c r="G1" s="17" t="inlineStr">
        <is>
          <t>Type code</t>
        </is>
      </c>
      <c r="H1" s="17" t="inlineStr">
        <is>
          <t>Stage</t>
        </is>
      </c>
      <c r="I1" s="17" t="inlineStr">
        <is>
          <t>LOD</t>
        </is>
      </c>
      <c r="J1" s="17" t="inlineStr">
        <is>
          <t>Format</t>
        </is>
      </c>
      <c r="K1" s="17" t="inlineStr">
        <is>
          <t>Suitability</t>
        </is>
      </c>
      <c r="L1" s="17" t="inlineStr">
        <is>
          <t>CDE State</t>
        </is>
      </c>
      <c r="M1" s="17" t="inlineStr">
        <is>
          <t>Month from</t>
        </is>
      </c>
      <c r="N1" s="17" t="inlineStr">
        <is>
          <t>Month to</t>
        </is>
      </c>
      <c r="O1" s="17" t="inlineStr">
        <is>
          <t>Planned date</t>
        </is>
      </c>
      <c r="P1" s="17" t="inlineStr">
        <is>
          <t>Actual date</t>
        </is>
      </c>
      <c r="Q1" s="17" t="inlineStr">
        <is>
          <t>Variance (days)</t>
        </is>
      </c>
      <c r="R1" s="17" t="inlineStr">
        <is>
          <t>Responsible</t>
        </is>
      </c>
      <c r="S1" s="17" t="inlineStr">
        <is>
          <t>TIDP ref</t>
        </is>
      </c>
      <c r="T1" s="17" t="inlineStr">
        <is>
          <t>Critical</t>
        </is>
      </c>
      <c r="U1" s="17" t="inlineStr">
        <is>
          <t>As-built</t>
        </is>
      </c>
      <c r="V1" s="17" t="inlineStr">
        <is>
          <t>O&amp;M</t>
        </is>
      </c>
      <c r="W1" s="17" t="inlineStr">
        <is>
          <t>RAG</t>
        </is>
      </c>
      <c r="X1" s="17" t="inlineStr">
        <is>
          <t>Notes</t>
        </is>
      </c>
    </row>
    <row r="2">
      <c r="A2" s="24" t="inlineStr">
        <is>
          <t>Z-000</t>
        </is>
      </c>
      <c r="B2" s="24" t="inlineStr">
        <is>
          <t>Information Management</t>
        </is>
      </c>
      <c r="C2" s="24" t="inlineStr"/>
      <c r="D2" s="25" t="inlineStr">
        <is>
          <t>ZZ</t>
        </is>
      </c>
      <c r="E2" s="26" t="inlineStr">
        <is>
          <t>BIM Execution Plan</t>
        </is>
      </c>
      <c r="F2" s="24" t="inlineStr">
        <is>
          <t>Document</t>
        </is>
      </c>
      <c r="G2" s="25" t="inlineStr">
        <is>
          <t>RP</t>
        </is>
      </c>
      <c r="H2" s="24" t="inlineStr">
        <is>
          <t>Mobilisation</t>
        </is>
      </c>
      <c r="I2" s="25" t="inlineStr">
        <is>
          <t>n/a</t>
        </is>
      </c>
      <c r="J2" s="24" t="inlineStr">
        <is>
          <t>DOCX/PDF</t>
        </is>
      </c>
      <c r="K2" s="25" t="inlineStr">
        <is>
          <t>A1</t>
        </is>
      </c>
      <c r="L2" s="25" t="inlineStr">
        <is>
          <t>Published</t>
        </is>
      </c>
      <c r="M2" s="25" t="n">
        <v>0</v>
      </c>
      <c r="N2" s="25" t="n">
        <v>0</v>
      </c>
      <c r="O2" s="27">
        <f>IF(Programme!$C$4="","",EOMONTH(Programme!$C$4,0))</f>
        <v/>
      </c>
      <c r="P2" s="27" t="n"/>
      <c r="Q2" s="28">
        <f>IF(AND(O2&lt;&gt;"",P2&lt;&gt;""),P2-O2,"")</f>
        <v/>
      </c>
      <c r="R2" s="24" t="inlineStr">
        <is>
          <t>Information Manager</t>
        </is>
      </c>
      <c r="S2" s="24" t="inlineStr">
        <is>
          <t>TIDP-Z</t>
        </is>
      </c>
      <c r="T2" s="25" t="inlineStr">
        <is>
          <t>N</t>
        </is>
      </c>
      <c r="U2" s="25" t="inlineStr">
        <is>
          <t>N</t>
        </is>
      </c>
      <c r="V2" s="25" t="inlineStr">
        <is>
          <t>N</t>
        </is>
      </c>
      <c r="W2" s="25" t="inlineStr"/>
      <c r="X2" s="26" t="inlineStr">
        <is>
          <t>Baselined at mobilisation; reissued per stage</t>
        </is>
      </c>
    </row>
    <row r="3">
      <c r="A3" s="24" t="inlineStr">
        <is>
          <t>Z-001</t>
        </is>
      </c>
      <c r="B3" s="24" t="inlineStr">
        <is>
          <t>Information Management</t>
        </is>
      </c>
      <c r="C3" s="24" t="inlineStr"/>
      <c r="D3" s="25" t="inlineStr">
        <is>
          <t>ZZ</t>
        </is>
      </c>
      <c r="E3" s="26" t="inlineStr">
        <is>
          <t>Master Information Delivery Plan</t>
        </is>
      </c>
      <c r="F3" s="24" t="inlineStr">
        <is>
          <t>Schedule</t>
        </is>
      </c>
      <c r="G3" s="25" t="inlineStr">
        <is>
          <t>SH</t>
        </is>
      </c>
      <c r="H3" s="24" t="inlineStr">
        <is>
          <t>Mobilisation</t>
        </is>
      </c>
      <c r="I3" s="25" t="inlineStr">
        <is>
          <t>n/a</t>
        </is>
      </c>
      <c r="J3" s="24" t="inlineStr">
        <is>
          <t>XLSX</t>
        </is>
      </c>
      <c r="K3" s="25" t="inlineStr">
        <is>
          <t>A1</t>
        </is>
      </c>
      <c r="L3" s="25" t="inlineStr">
        <is>
          <t>Published</t>
        </is>
      </c>
      <c r="M3" s="25" t="n">
        <v>0</v>
      </c>
      <c r="N3" s="25" t="n">
        <v>0</v>
      </c>
      <c r="O3" s="27">
        <f>IF(Programme!$C$4="","",EOMONTH(Programme!$C$4,0))</f>
        <v/>
      </c>
      <c r="P3" s="27" t="n"/>
      <c r="Q3" s="28">
        <f>IF(AND(O3&lt;&gt;"",P3&lt;&gt;""),P3-O3,"")</f>
        <v/>
      </c>
      <c r="R3" s="24" t="inlineStr">
        <is>
          <t>Information Manager</t>
        </is>
      </c>
      <c r="S3" s="24" t="inlineStr">
        <is>
          <t>TIDP-Z</t>
        </is>
      </c>
      <c r="T3" s="25" t="inlineStr">
        <is>
          <t>N</t>
        </is>
      </c>
      <c r="U3" s="25" t="inlineStr">
        <is>
          <t>N</t>
        </is>
      </c>
      <c r="V3" s="25" t="inlineStr">
        <is>
          <t>N</t>
        </is>
      </c>
      <c r="W3" s="25" t="inlineStr"/>
      <c r="X3" s="26" t="inlineStr">
        <is>
          <t>Aggregated from all TIDPs; monthly and per drop</t>
        </is>
      </c>
    </row>
    <row r="4">
      <c r="A4" s="24" t="inlineStr">
        <is>
          <t>Z-002</t>
        </is>
      </c>
      <c r="B4" s="24" t="inlineStr">
        <is>
          <t>Information Management</t>
        </is>
      </c>
      <c r="C4" s="24" t="inlineStr"/>
      <c r="D4" s="25" t="inlineStr">
        <is>
          <t>ZZ</t>
        </is>
      </c>
      <c r="E4" s="26" t="inlineStr">
        <is>
          <t>Project Delivery Playbook</t>
        </is>
      </c>
      <c r="F4" s="24" t="inlineStr">
        <is>
          <t>Document</t>
        </is>
      </c>
      <c r="G4" s="25" t="inlineStr">
        <is>
          <t>RP</t>
        </is>
      </c>
      <c r="H4" s="24" t="inlineStr">
        <is>
          <t>Mobilisation</t>
        </is>
      </c>
      <c r="I4" s="25" t="inlineStr">
        <is>
          <t>n/a</t>
        </is>
      </c>
      <c r="J4" s="24" t="inlineStr">
        <is>
          <t>DOCX/PDF</t>
        </is>
      </c>
      <c r="K4" s="25" t="inlineStr">
        <is>
          <t>A1</t>
        </is>
      </c>
      <c r="L4" s="25" t="inlineStr">
        <is>
          <t>Published</t>
        </is>
      </c>
      <c r="M4" s="25" t="n">
        <v>0</v>
      </c>
      <c r="N4" s="25" t="n">
        <v>0</v>
      </c>
      <c r="O4" s="27">
        <f>IF(Programme!$C$4="","",EOMONTH(Programme!$C$4,0))</f>
        <v/>
      </c>
      <c r="P4" s="27" t="n"/>
      <c r="Q4" s="28">
        <f>IF(AND(O4&lt;&gt;"",P4&lt;&gt;""),P4-O4,"")</f>
        <v/>
      </c>
      <c r="R4" s="24" t="inlineStr">
        <is>
          <t>Information Manager</t>
        </is>
      </c>
      <c r="S4" s="24" t="inlineStr">
        <is>
          <t>TIDP-Z</t>
        </is>
      </c>
      <c r="T4" s="25" t="inlineStr">
        <is>
          <t>N</t>
        </is>
      </c>
      <c r="U4" s="25" t="inlineStr">
        <is>
          <t>N</t>
        </is>
      </c>
      <c r="V4" s="25" t="inlineStr">
        <is>
          <t>N</t>
        </is>
      </c>
      <c r="W4" s="25" t="inlineStr"/>
      <c r="X4" s="26" t="inlineStr">
        <is>
          <t>Reference RP-Z-0002</t>
        </is>
      </c>
    </row>
    <row r="5">
      <c r="A5" s="24" t="inlineStr">
        <is>
          <t>Z-003</t>
        </is>
      </c>
      <c r="B5" s="24" t="inlineStr">
        <is>
          <t>Information Management</t>
        </is>
      </c>
      <c r="C5" s="24" t="inlineStr"/>
      <c r="D5" s="25" t="inlineStr">
        <is>
          <t>ZZ</t>
        </is>
      </c>
      <c r="E5" s="26" t="inlineStr">
        <is>
          <t>Responsibility matrix (RACI)</t>
        </is>
      </c>
      <c r="F5" s="24" t="inlineStr">
        <is>
          <t>Schedule</t>
        </is>
      </c>
      <c r="G5" s="25" t="inlineStr">
        <is>
          <t>SH</t>
        </is>
      </c>
      <c r="H5" s="24" t="inlineStr">
        <is>
          <t>Mobilisation</t>
        </is>
      </c>
      <c r="I5" s="25" t="inlineStr">
        <is>
          <t>n/a</t>
        </is>
      </c>
      <c r="J5" s="24" t="inlineStr">
        <is>
          <t>XLSX</t>
        </is>
      </c>
      <c r="K5" s="25" t="inlineStr">
        <is>
          <t>A1</t>
        </is>
      </c>
      <c r="L5" s="25" t="inlineStr">
        <is>
          <t>Published</t>
        </is>
      </c>
      <c r="M5" s="25" t="n">
        <v>0</v>
      </c>
      <c r="N5" s="25" t="n">
        <v>0</v>
      </c>
      <c r="O5" s="27">
        <f>IF(Programme!$C$4="","",EOMONTH(Programme!$C$4,0))</f>
        <v/>
      </c>
      <c r="P5" s="27" t="n"/>
      <c r="Q5" s="28">
        <f>IF(AND(O5&lt;&gt;"",P5&lt;&gt;""),P5-O5,"")</f>
        <v/>
      </c>
      <c r="R5" s="24" t="inlineStr">
        <is>
          <t>Information Manager</t>
        </is>
      </c>
      <c r="S5" s="24" t="inlineStr">
        <is>
          <t>TIDP-Z</t>
        </is>
      </c>
      <c r="T5" s="25" t="inlineStr">
        <is>
          <t>N</t>
        </is>
      </c>
      <c r="U5" s="25" t="inlineStr">
        <is>
          <t>N</t>
        </is>
      </c>
      <c r="V5" s="25" t="inlineStr">
        <is>
          <t>N</t>
        </is>
      </c>
      <c r="W5" s="25" t="inlineStr"/>
      <c r="X5" s="26" t="inlineStr">
        <is>
          <t>Reference SH-Z-0002</t>
        </is>
      </c>
    </row>
    <row r="6">
      <c r="A6" s="24" t="inlineStr">
        <is>
          <t>Z-004</t>
        </is>
      </c>
      <c r="B6" s="24" t="inlineStr">
        <is>
          <t>Information Management</t>
        </is>
      </c>
      <c r="C6" s="24" t="inlineStr"/>
      <c r="D6" s="25" t="inlineStr">
        <is>
          <t>ZZ</t>
        </is>
      </c>
      <c r="E6" s="26" t="inlineStr">
        <is>
          <t>Project template, family library and title blocks</t>
        </is>
      </c>
      <c r="F6" s="24" t="inlineStr">
        <is>
          <t>Model</t>
        </is>
      </c>
      <c r="G6" s="25" t="inlineStr">
        <is>
          <t>M3</t>
        </is>
      </c>
      <c r="H6" s="24" t="inlineStr">
        <is>
          <t>Mobilisation</t>
        </is>
      </c>
      <c r="I6" s="25" t="inlineStr">
        <is>
          <t>n/a</t>
        </is>
      </c>
      <c r="J6" s="24" t="inlineStr">
        <is>
          <t>RVT/RFA</t>
        </is>
      </c>
      <c r="K6" s="25" t="inlineStr">
        <is>
          <t>A1</t>
        </is>
      </c>
      <c r="L6" s="25" t="inlineStr">
        <is>
          <t>Published</t>
        </is>
      </c>
      <c r="M6" s="25" t="n">
        <v>0</v>
      </c>
      <c r="N6" s="25" t="n">
        <v>0</v>
      </c>
      <c r="O6" s="27">
        <f>IF(Programme!$C$4="","",EOMONTH(Programme!$C$4,0))</f>
        <v/>
      </c>
      <c r="P6" s="27" t="n"/>
      <c r="Q6" s="28">
        <f>IF(AND(O6&lt;&gt;"",P6&lt;&gt;""),P6-O6,"")</f>
        <v/>
      </c>
      <c r="R6" s="24" t="inlineStr">
        <is>
          <t>Information Manager</t>
        </is>
      </c>
      <c r="S6" s="24" t="inlineStr">
        <is>
          <t>TIDP-Z</t>
        </is>
      </c>
      <c r="T6" s="25" t="inlineStr">
        <is>
          <t>Y</t>
        </is>
      </c>
      <c r="U6" s="25" t="inlineStr">
        <is>
          <t>N</t>
        </is>
      </c>
      <c r="V6" s="25" t="inlineStr">
        <is>
          <t>N</t>
        </is>
      </c>
      <c r="W6" s="25" t="inlineStr"/>
      <c r="X6" s="26" t="inlineStr">
        <is>
          <t>Coordinates, levels, grids, worksets, shared parameters bound</t>
        </is>
      </c>
    </row>
    <row r="7">
      <c r="A7" s="24" t="inlineStr">
        <is>
          <t>Z-005</t>
        </is>
      </c>
      <c r="B7" s="24" t="inlineStr">
        <is>
          <t>Information Management</t>
        </is>
      </c>
      <c r="C7" s="24" t="inlineStr"/>
      <c r="D7" s="25" t="inlineStr">
        <is>
          <t>ZZ</t>
        </is>
      </c>
      <c r="E7" s="26" t="inlineStr">
        <is>
          <t>Originator code register</t>
        </is>
      </c>
      <c r="F7" s="24" t="inlineStr">
        <is>
          <t>Schedule</t>
        </is>
      </c>
      <c r="G7" s="25" t="inlineStr">
        <is>
          <t>SH</t>
        </is>
      </c>
      <c r="H7" s="24" t="inlineStr">
        <is>
          <t>Mobilisation</t>
        </is>
      </c>
      <c r="I7" s="25" t="inlineStr">
        <is>
          <t>n/a</t>
        </is>
      </c>
      <c r="J7" s="24" t="inlineStr">
        <is>
          <t>XLSX</t>
        </is>
      </c>
      <c r="K7" s="25" t="inlineStr">
        <is>
          <t>A1</t>
        </is>
      </c>
      <c r="L7" s="25" t="inlineStr">
        <is>
          <t>Published</t>
        </is>
      </c>
      <c r="M7" s="25" t="n">
        <v>0</v>
      </c>
      <c r="N7" s="25" t="n">
        <v>0</v>
      </c>
      <c r="O7" s="27">
        <f>IF(Programme!$C$4="","",EOMONTH(Programme!$C$4,0))</f>
        <v/>
      </c>
      <c r="P7" s="27" t="n"/>
      <c r="Q7" s="28">
        <f>IF(AND(O7&lt;&gt;"",P7&lt;&gt;""),P7-O7,"")</f>
        <v/>
      </c>
      <c r="R7" s="24" t="inlineStr">
        <is>
          <t>Lead Appointed Party</t>
        </is>
      </c>
      <c r="S7" s="24" t="inlineStr">
        <is>
          <t>TIDP-Z</t>
        </is>
      </c>
      <c r="T7" s="25" t="inlineStr">
        <is>
          <t>Y</t>
        </is>
      </c>
      <c r="U7" s="25" t="inlineStr">
        <is>
          <t>N</t>
        </is>
      </c>
      <c r="V7" s="25" t="inlineStr">
        <is>
          <t>N</t>
        </is>
      </c>
      <c r="W7" s="25" t="inlineStr"/>
      <c r="X7" s="26" t="inlineStr">
        <is>
          <t>Required before any container is numbered; 3-character codes</t>
        </is>
      </c>
    </row>
    <row r="8">
      <c r="A8" s="24" t="inlineStr">
        <is>
          <t>Z-006</t>
        </is>
      </c>
      <c r="B8" s="24" t="inlineStr">
        <is>
          <t>All disciplines</t>
        </is>
      </c>
      <c r="C8" s="24" t="inlineStr"/>
      <c r="D8" s="25" t="inlineStr">
        <is>
          <t>ZZ</t>
        </is>
      </c>
      <c r="E8" s="26" t="inlineStr">
        <is>
          <t>Task Information Delivery Plan (one per appointed party)</t>
        </is>
      </c>
      <c r="F8" s="24" t="inlineStr">
        <is>
          <t>Schedule</t>
        </is>
      </c>
      <c r="G8" s="25" t="inlineStr">
        <is>
          <t>SH</t>
        </is>
      </c>
      <c r="H8" s="24" t="inlineStr">
        <is>
          <t>Mobilisation</t>
        </is>
      </c>
      <c r="I8" s="25" t="inlineStr">
        <is>
          <t>n/a</t>
        </is>
      </c>
      <c r="J8" s="24" t="inlineStr">
        <is>
          <t>XLSX</t>
        </is>
      </c>
      <c r="K8" s="25" t="inlineStr">
        <is>
          <t>S3</t>
        </is>
      </c>
      <c r="L8" s="25" t="inlineStr">
        <is>
          <t>Shared</t>
        </is>
      </c>
      <c r="M8" s="25" t="n">
        <v>0</v>
      </c>
      <c r="N8" s="25" t="n">
        <v>0</v>
      </c>
      <c r="O8" s="27">
        <f>IF(Programme!$C$4="","",EOMONTH(Programme!$C$4,0))</f>
        <v/>
      </c>
      <c r="P8" s="27" t="n"/>
      <c r="Q8" s="28">
        <f>IF(AND(O8&lt;&gt;"",P8&lt;&gt;""),P8-O8,"")</f>
        <v/>
      </c>
      <c r="R8" s="24" t="inlineStr">
        <is>
          <t>Task Team Managers</t>
        </is>
      </c>
      <c r="S8" s="24" t="inlineStr">
        <is>
          <t>TIDP-ALL</t>
        </is>
      </c>
      <c r="T8" s="25" t="inlineStr">
        <is>
          <t>N</t>
        </is>
      </c>
      <c r="U8" s="25" t="inlineStr">
        <is>
          <t>N</t>
        </is>
      </c>
      <c r="V8" s="25" t="inlineStr">
        <is>
          <t>N</t>
        </is>
      </c>
      <c r="W8" s="25" t="inlineStr"/>
      <c r="X8" s="26" t="inlineStr">
        <is>
          <t>Returned to the Information Manager; merged into this MIDP</t>
        </is>
      </c>
    </row>
    <row r="9">
      <c r="A9" s="24" t="inlineStr">
        <is>
          <t>Z-007</t>
        </is>
      </c>
      <c r="B9" s="24" t="inlineStr">
        <is>
          <t>Information Management</t>
        </is>
      </c>
      <c r="C9" s="24" t="inlineStr"/>
      <c r="D9" s="25" t="inlineStr">
        <is>
          <t>ZZ</t>
        </is>
      </c>
      <c r="E9" s="26" t="inlineStr">
        <is>
          <t>Standards reconciliation schedule (BEP 4.1.3)</t>
        </is>
      </c>
      <c r="F9" s="24" t="inlineStr">
        <is>
          <t>Schedule</t>
        </is>
      </c>
      <c r="G9" s="25" t="inlineStr">
        <is>
          <t>SH</t>
        </is>
      </c>
      <c r="H9" s="24" t="inlineStr">
        <is>
          <t>Mobilisation</t>
        </is>
      </c>
      <c r="I9" s="25" t="inlineStr">
        <is>
          <t>n/a</t>
        </is>
      </c>
      <c r="J9" s="24" t="inlineStr">
        <is>
          <t>XLSX/PDF</t>
        </is>
      </c>
      <c r="K9" s="25" t="inlineStr">
        <is>
          <t>S3</t>
        </is>
      </c>
      <c r="L9" s="25" t="inlineStr">
        <is>
          <t>Shared</t>
        </is>
      </c>
      <c r="M9" s="25" t="n">
        <v>0</v>
      </c>
      <c r="N9" s="25" t="n">
        <v>8</v>
      </c>
      <c r="O9" s="27">
        <f>IF(Programme!$C$4="","",EOMONTH(Programme!$C$4,8))</f>
        <v/>
      </c>
      <c r="P9" s="27" t="n"/>
      <c r="Q9" s="28">
        <f>IF(AND(O9&lt;&gt;"",P9&lt;&gt;""),P9-O9,"")</f>
        <v/>
      </c>
      <c r="R9" s="24" t="inlineStr">
        <is>
          <t>All disciplines</t>
        </is>
      </c>
      <c r="S9" s="24" t="inlineStr">
        <is>
          <t>TIDP-Z</t>
        </is>
      </c>
      <c r="T9" s="25" t="inlineStr">
        <is>
          <t>Y</t>
        </is>
      </c>
      <c r="U9" s="25" t="inlineStr">
        <is>
          <t>N</t>
        </is>
      </c>
      <c r="V9" s="25" t="inlineStr">
        <is>
          <t>N</t>
        </is>
      </c>
      <c r="W9" s="25" t="inlineStr"/>
      <c r="X9" s="26" t="inlineStr">
        <is>
          <t>Opened at mobilisation; closed before Stage 2.3</t>
        </is>
      </c>
    </row>
    <row r="10">
      <c r="A10" s="24" t="inlineStr">
        <is>
          <t>Z-008</t>
        </is>
      </c>
      <c r="B10" s="24" t="inlineStr">
        <is>
          <t>Information Management</t>
        </is>
      </c>
      <c r="C10" s="24" t="inlineStr"/>
      <c r="D10" s="25" t="inlineStr">
        <is>
          <t>ZZ</t>
        </is>
      </c>
      <c r="E10" s="26" t="inlineStr">
        <is>
          <t>Shared coordinates seed model</t>
        </is>
      </c>
      <c r="F10" s="24" t="inlineStr">
        <is>
          <t>Model</t>
        </is>
      </c>
      <c r="G10" s="25" t="inlineStr">
        <is>
          <t>M3</t>
        </is>
      </c>
      <c r="H10" s="24" t="inlineStr">
        <is>
          <t>Mobilisation</t>
        </is>
      </c>
      <c r="I10" s="25" t="inlineStr">
        <is>
          <t>n/a</t>
        </is>
      </c>
      <c r="J10" s="24" t="inlineStr">
        <is>
          <t>RVT</t>
        </is>
      </c>
      <c r="K10" s="25" t="inlineStr">
        <is>
          <t>A1</t>
        </is>
      </c>
      <c r="L10" s="25" t="inlineStr">
        <is>
          <t>Published</t>
        </is>
      </c>
      <c r="M10" s="25" t="n">
        <v>0</v>
      </c>
      <c r="N10" s="25" t="n">
        <v>0</v>
      </c>
      <c r="O10" s="27">
        <f>IF(Programme!$C$4="","",EOMONTH(Programme!$C$4,0))</f>
        <v/>
      </c>
      <c r="P10" s="27" t="n"/>
      <c r="Q10" s="28">
        <f>IF(AND(O10&lt;&gt;"",P10&lt;&gt;""),P10-O10,"")</f>
        <v/>
      </c>
      <c r="R10" s="24" t="inlineStr">
        <is>
          <t>Information Manager</t>
        </is>
      </c>
      <c r="S10" s="24" t="inlineStr">
        <is>
          <t>TIDP-Z</t>
        </is>
      </c>
      <c r="T10" s="25" t="inlineStr">
        <is>
          <t>Y</t>
        </is>
      </c>
      <c r="U10" s="25" t="inlineStr">
        <is>
          <t>N</t>
        </is>
      </c>
      <c r="V10" s="25" t="inlineStr">
        <is>
          <t>N</t>
        </is>
      </c>
      <c r="W10" s="25" t="inlineStr"/>
      <c r="X10" s="26" t="inlineStr">
        <is>
          <t>Survey point, project base point, true north, levels and grids</t>
        </is>
      </c>
    </row>
    <row r="11">
      <c r="A11" s="24" t="inlineStr">
        <is>
          <t>Z-009</t>
        </is>
      </c>
      <c r="B11" s="24" t="inlineStr">
        <is>
          <t>Information Management</t>
        </is>
      </c>
      <c r="C11" s="24" t="inlineStr"/>
      <c r="D11" s="25" t="inlineStr">
        <is>
          <t>ZZ</t>
        </is>
      </c>
      <c r="E11" s="26" t="inlineStr">
        <is>
          <t>Level and grid register</t>
        </is>
      </c>
      <c r="F11" s="24" t="inlineStr">
        <is>
          <t>Schedule</t>
        </is>
      </c>
      <c r="G11" s="25" t="inlineStr">
        <is>
          <t>SH</t>
        </is>
      </c>
      <c r="H11" s="24" t="inlineStr">
        <is>
          <t>Mobilisation</t>
        </is>
      </c>
      <c r="I11" s="25" t="inlineStr">
        <is>
          <t>n/a</t>
        </is>
      </c>
      <c r="J11" s="24" t="inlineStr">
        <is>
          <t>XLSX/PDF</t>
        </is>
      </c>
      <c r="K11" s="25" t="inlineStr">
        <is>
          <t>A1</t>
        </is>
      </c>
      <c r="L11" s="25" t="inlineStr">
        <is>
          <t>Published</t>
        </is>
      </c>
      <c r="M11" s="25" t="n">
        <v>0</v>
      </c>
      <c r="N11" s="25" t="n">
        <v>0</v>
      </c>
      <c r="O11" s="27">
        <f>IF(Programme!$C$4="","",EOMONTH(Programme!$C$4,0))</f>
        <v/>
      </c>
      <c r="P11" s="27" t="n"/>
      <c r="Q11" s="28">
        <f>IF(AND(O11&lt;&gt;"",P11&lt;&gt;""),P11-O11,"")</f>
        <v/>
      </c>
      <c r="R11" s="24" t="inlineStr">
        <is>
          <t>Lead Appointed Party</t>
        </is>
      </c>
      <c r="S11" s="24" t="inlineStr">
        <is>
          <t>TIDP-Z</t>
        </is>
      </c>
      <c r="T11" s="25" t="inlineStr">
        <is>
          <t>Y</t>
        </is>
      </c>
      <c r="U11" s="25" t="inlineStr">
        <is>
          <t>N</t>
        </is>
      </c>
      <c r="V11" s="25" t="inlineStr">
        <is>
          <t>N</t>
        </is>
      </c>
      <c r="W11" s="25" t="inlineStr"/>
      <c r="X11" s="26" t="inlineStr">
        <is>
          <t>Reference SH-Z-0003</t>
        </is>
      </c>
    </row>
    <row r="12">
      <c r="A12" s="24" t="inlineStr">
        <is>
          <t>Z-011</t>
        </is>
      </c>
      <c r="B12" s="24" t="inlineStr">
        <is>
          <t>Information Management</t>
        </is>
      </c>
      <c r="C12" s="24" t="inlineStr"/>
      <c r="D12" s="25" t="inlineStr">
        <is>
          <t>ZZ</t>
        </is>
      </c>
      <c r="E12" s="26" t="inlineStr">
        <is>
          <t>Software and version register</t>
        </is>
      </c>
      <c r="F12" s="24" t="inlineStr">
        <is>
          <t>Schedule</t>
        </is>
      </c>
      <c r="G12" s="25" t="inlineStr">
        <is>
          <t>SH</t>
        </is>
      </c>
      <c r="H12" s="24" t="inlineStr">
        <is>
          <t>Mobilisation</t>
        </is>
      </c>
      <c r="I12" s="25" t="inlineStr">
        <is>
          <t>n/a</t>
        </is>
      </c>
      <c r="J12" s="24" t="inlineStr">
        <is>
          <t>XLSX</t>
        </is>
      </c>
      <c r="K12" s="25" t="inlineStr">
        <is>
          <t>A1</t>
        </is>
      </c>
      <c r="L12" s="25" t="inlineStr">
        <is>
          <t>Published</t>
        </is>
      </c>
      <c r="M12" s="25" t="n">
        <v>0</v>
      </c>
      <c r="N12" s="25" t="n">
        <v>0</v>
      </c>
      <c r="O12" s="27">
        <f>IF(Programme!$C$4="","",EOMONTH(Programme!$C$4,0))</f>
        <v/>
      </c>
      <c r="P12" s="27" t="n"/>
      <c r="Q12" s="28">
        <f>IF(AND(O12&lt;&gt;"",P12&lt;&gt;""),P12-O12,"")</f>
        <v/>
      </c>
      <c r="R12" s="24" t="inlineStr">
        <is>
          <t>All parties</t>
        </is>
      </c>
      <c r="S12" s="24" t="inlineStr">
        <is>
          <t>TIDP-Z</t>
        </is>
      </c>
      <c r="T12" s="25" t="inlineStr">
        <is>
          <t>N</t>
        </is>
      </c>
      <c r="U12" s="25" t="inlineStr">
        <is>
          <t>N</t>
        </is>
      </c>
      <c r="V12" s="25" t="inlineStr">
        <is>
          <t>N</t>
        </is>
      </c>
      <c r="W12" s="25" t="inlineStr"/>
      <c r="X12" s="26" t="inlineStr">
        <is>
          <t>Revit 2025 locked project-wide</t>
        </is>
      </c>
    </row>
    <row r="13">
      <c r="A13" s="24" t="inlineStr">
        <is>
          <t>Z-012</t>
        </is>
      </c>
      <c r="B13" s="24" t="inlineStr">
        <is>
          <t>Information Management</t>
        </is>
      </c>
      <c r="C13" s="24" t="inlineStr"/>
      <c r="D13" s="25" t="inlineStr">
        <is>
          <t>ZZ</t>
        </is>
      </c>
      <c r="E13" s="26" t="inlineStr">
        <is>
          <t>CDE folder structure and permission matrix</t>
        </is>
      </c>
      <c r="F13" s="24" t="inlineStr">
        <is>
          <t>Document</t>
        </is>
      </c>
      <c r="G13" s="25" t="inlineStr">
        <is>
          <t>RP</t>
        </is>
      </c>
      <c r="H13" s="24" t="inlineStr">
        <is>
          <t>Mobilisation</t>
        </is>
      </c>
      <c r="I13" s="25" t="inlineStr">
        <is>
          <t>n/a</t>
        </is>
      </c>
      <c r="J13" s="24" t="inlineStr">
        <is>
          <t>PDF</t>
        </is>
      </c>
      <c r="K13" s="25" t="inlineStr">
        <is>
          <t>A1</t>
        </is>
      </c>
      <c r="L13" s="25" t="inlineStr">
        <is>
          <t>Published</t>
        </is>
      </c>
      <c r="M13" s="25" t="n">
        <v>0</v>
      </c>
      <c r="N13" s="25" t="n">
        <v>0</v>
      </c>
      <c r="O13" s="27">
        <f>IF(Programme!$C$4="","",EOMONTH(Programme!$C$4,0))</f>
        <v/>
      </c>
      <c r="P13" s="27" t="n"/>
      <c r="Q13" s="28">
        <f>IF(AND(O13&lt;&gt;"",P13&lt;&gt;""),P13-O13,"")</f>
        <v/>
      </c>
      <c r="R13" s="24" t="inlineStr">
        <is>
          <t>Information Manager</t>
        </is>
      </c>
      <c r="S13" s="24" t="inlineStr">
        <is>
          <t>TIDP-Z</t>
        </is>
      </c>
      <c r="T13" s="25" t="inlineStr">
        <is>
          <t>N</t>
        </is>
      </c>
      <c r="U13" s="25" t="inlineStr">
        <is>
          <t>N</t>
        </is>
      </c>
      <c r="V13" s="25" t="inlineStr">
        <is>
          <t>N</t>
        </is>
      </c>
      <c r="W13" s="25" t="inlineStr"/>
      <c r="X13" s="26" t="inlineStr">
        <is>
          <t>ACC provisioned; seats confirmed for every party (E-01)</t>
        </is>
      </c>
    </row>
    <row r="14">
      <c r="A14" s="24" t="inlineStr">
        <is>
          <t>Z-013</t>
        </is>
      </c>
      <c r="B14" s="24" t="inlineStr">
        <is>
          <t>Information Management</t>
        </is>
      </c>
      <c r="C14" s="24" t="inlineStr"/>
      <c r="D14" s="25" t="inlineStr">
        <is>
          <t>ZZ</t>
        </is>
      </c>
      <c r="E14" s="26" t="inlineStr">
        <is>
          <t>Information classification and access schedule</t>
        </is>
      </c>
      <c r="F14" s="24" t="inlineStr">
        <is>
          <t>Document</t>
        </is>
      </c>
      <c r="G14" s="25" t="inlineStr">
        <is>
          <t>RP</t>
        </is>
      </c>
      <c r="H14" s="24" t="inlineStr">
        <is>
          <t>Mobilisation</t>
        </is>
      </c>
      <c r="I14" s="25" t="inlineStr">
        <is>
          <t>n/a</t>
        </is>
      </c>
      <c r="J14" s="24" t="inlineStr">
        <is>
          <t>PDF</t>
        </is>
      </c>
      <c r="K14" s="25" t="inlineStr">
        <is>
          <t>A1</t>
        </is>
      </c>
      <c r="L14" s="25" t="inlineStr">
        <is>
          <t>Published</t>
        </is>
      </c>
      <c r="M14" s="25" t="n">
        <v>0</v>
      </c>
      <c r="N14" s="25" t="n">
        <v>0</v>
      </c>
      <c r="O14" s="27">
        <f>IF(Programme!$C$4="","",EOMONTH(Programme!$C$4,0))</f>
        <v/>
      </c>
      <c r="P14" s="27" t="n"/>
      <c r="Q14" s="28">
        <f>IF(AND(O14&lt;&gt;"",P14&lt;&gt;""),P14-O14,"")</f>
        <v/>
      </c>
      <c r="R14" s="24" t="inlineStr">
        <is>
          <t>Appointing Party</t>
        </is>
      </c>
      <c r="S14" s="24" t="inlineStr">
        <is>
          <t>TIDP-Z</t>
        </is>
      </c>
      <c r="T14" s="25" t="inlineStr">
        <is>
          <t>Y</t>
        </is>
      </c>
      <c r="U14" s="25" t="inlineStr">
        <is>
          <t>N</t>
        </is>
      </c>
      <c r="V14" s="25" t="inlineStr">
        <is>
          <t>N</t>
        </is>
      </c>
      <c r="W14" s="25" t="inlineStr"/>
      <c r="X14" s="26" t="inlineStr">
        <is>
          <t>Restricted spaces and systems classified before modelling begins</t>
        </is>
      </c>
    </row>
    <row r="15">
      <c r="A15" s="24" t="inlineStr">
        <is>
          <t>Z-014</t>
        </is>
      </c>
      <c r="B15" s="24" t="inlineStr">
        <is>
          <t>Information Management</t>
        </is>
      </c>
      <c r="C15" s="24" t="inlineStr"/>
      <c r="D15" s="25" t="inlineStr">
        <is>
          <t>ZZ</t>
        </is>
      </c>
      <c r="E15" s="26" t="inlineStr">
        <is>
          <t>Clash matrix and tolerance schedule</t>
        </is>
      </c>
      <c r="F15" s="24" t="inlineStr">
        <is>
          <t>Document</t>
        </is>
      </c>
      <c r="G15" s="25" t="inlineStr">
        <is>
          <t>RP</t>
        </is>
      </c>
      <c r="H15" s="24" t="inlineStr">
        <is>
          <t>Mobilisation</t>
        </is>
      </c>
      <c r="I15" s="25" t="inlineStr">
        <is>
          <t>n/a</t>
        </is>
      </c>
      <c r="J15" s="24" t="inlineStr">
        <is>
          <t>PDF</t>
        </is>
      </c>
      <c r="K15" s="25" t="inlineStr">
        <is>
          <t>S3</t>
        </is>
      </c>
      <c r="L15" s="25" t="inlineStr">
        <is>
          <t>Shared</t>
        </is>
      </c>
      <c r="M15" s="25" t="n">
        <v>1</v>
      </c>
      <c r="N15" s="25" t="n">
        <v>1</v>
      </c>
      <c r="O15" s="27">
        <f>IF(Programme!$C$4="","",EOMONTH(Programme!$C$4,1))</f>
        <v/>
      </c>
      <c r="P15" s="27" t="n"/>
      <c r="Q15" s="28">
        <f>IF(AND(O15&lt;&gt;"",P15&lt;&gt;""),P15-O15,"")</f>
        <v/>
      </c>
      <c r="R15" s="24" t="inlineStr">
        <is>
          <t>MEP and structural leads</t>
        </is>
      </c>
      <c r="S15" s="24" t="inlineStr">
        <is>
          <t>TIDP-Z</t>
        </is>
      </c>
      <c r="T15" s="25" t="inlineStr">
        <is>
          <t>Y</t>
        </is>
      </c>
      <c r="U15" s="25" t="inlineStr">
        <is>
          <t>N</t>
        </is>
      </c>
      <c r="V15" s="25" t="inlineStr">
        <is>
          <t>N</t>
        </is>
      </c>
      <c r="W15" s="25" t="inlineStr"/>
      <c r="X15" s="26" t="inlineStr">
        <is>
          <t>Required before the first coordination cycle of Stage 2.2</t>
        </is>
      </c>
    </row>
    <row r="16">
      <c r="A16" s="24" t="inlineStr">
        <is>
          <t>Z-015</t>
        </is>
      </c>
      <c r="B16" s="24" t="inlineStr">
        <is>
          <t>Information Management</t>
        </is>
      </c>
      <c r="C16" s="24" t="inlineStr"/>
      <c r="D16" s="25" t="inlineStr">
        <is>
          <t>ZZ</t>
        </is>
      </c>
      <c r="E16" s="26" t="inlineStr">
        <is>
          <t>IFC export configuration</t>
        </is>
      </c>
      <c r="F16" s="24" t="inlineStr">
        <is>
          <t>Document</t>
        </is>
      </c>
      <c r="G16" s="25" t="inlineStr">
        <is>
          <t>RP</t>
        </is>
      </c>
      <c r="H16" s="24" t="inlineStr">
        <is>
          <t>Mobilisation</t>
        </is>
      </c>
      <c r="I16" s="25" t="inlineStr">
        <is>
          <t>n/a</t>
        </is>
      </c>
      <c r="J16" s="24" t="inlineStr">
        <is>
          <t>PDF/JSON</t>
        </is>
      </c>
      <c r="K16" s="25" t="inlineStr">
        <is>
          <t>A1</t>
        </is>
      </c>
      <c r="L16" s="25" t="inlineStr">
        <is>
          <t>Published</t>
        </is>
      </c>
      <c r="M16" s="25" t="n">
        <v>0</v>
      </c>
      <c r="N16" s="25" t="n">
        <v>0</v>
      </c>
      <c r="O16" s="27">
        <f>IF(Programme!$C$4="","",EOMONTH(Programme!$C$4,0))</f>
        <v/>
      </c>
      <c r="P16" s="27" t="n"/>
      <c r="Q16" s="28">
        <f>IF(AND(O16&lt;&gt;"",P16&lt;&gt;""),P16-O16,"")</f>
        <v/>
      </c>
      <c r="R16" s="24" t="inlineStr">
        <is>
          <t>Information Manager</t>
        </is>
      </c>
      <c r="S16" s="24" t="inlineStr">
        <is>
          <t>TIDP-Z</t>
        </is>
      </c>
      <c r="T16" s="25" t="inlineStr">
        <is>
          <t>N</t>
        </is>
      </c>
      <c r="U16" s="25" t="inlineStr">
        <is>
          <t>N</t>
        </is>
      </c>
      <c r="V16" s="25" t="inlineStr">
        <is>
          <t>N</t>
        </is>
      </c>
      <c r="W16" s="25" t="inlineStr"/>
      <c r="X16" s="26" t="inlineStr">
        <is>
          <t>Issued centrally</t>
        </is>
      </c>
    </row>
    <row r="17">
      <c r="A17" s="24" t="inlineStr">
        <is>
          <t>Z-016</t>
        </is>
      </c>
      <c r="B17" s="24" t="inlineStr">
        <is>
          <t>Information Management</t>
        </is>
      </c>
      <c r="C17" s="24" t="inlineStr"/>
      <c r="D17" s="25" t="inlineStr">
        <is>
          <t>ZZ</t>
        </is>
      </c>
      <c r="E17" s="26" t="inlineStr">
        <is>
          <t>Shared parameter file</t>
        </is>
      </c>
      <c r="F17" s="24" t="inlineStr">
        <is>
          <t>Document</t>
        </is>
      </c>
      <c r="G17" s="25" t="inlineStr">
        <is>
          <t>RP</t>
        </is>
      </c>
      <c r="H17" s="24" t="inlineStr">
        <is>
          <t>Mobilisation</t>
        </is>
      </c>
      <c r="I17" s="25" t="inlineStr">
        <is>
          <t>n/a</t>
        </is>
      </c>
      <c r="J17" s="24" t="inlineStr">
        <is>
          <t>TXT</t>
        </is>
      </c>
      <c r="K17" s="25" t="inlineStr">
        <is>
          <t>A1</t>
        </is>
      </c>
      <c r="L17" s="25" t="inlineStr">
        <is>
          <t>Published</t>
        </is>
      </c>
      <c r="M17" s="25" t="n">
        <v>0</v>
      </c>
      <c r="N17" s="25" t="n">
        <v>0</v>
      </c>
      <c r="O17" s="27">
        <f>IF(Programme!$C$4="","",EOMONTH(Programme!$C$4,0))</f>
        <v/>
      </c>
      <c r="P17" s="27" t="n"/>
      <c r="Q17" s="28">
        <f>IF(AND(O17&lt;&gt;"",P17&lt;&gt;""),P17-O17,"")</f>
        <v/>
      </c>
      <c r="R17" s="24" t="inlineStr">
        <is>
          <t>Information Manager</t>
        </is>
      </c>
      <c r="S17" s="24" t="inlineStr">
        <is>
          <t>TIDP-Z</t>
        </is>
      </c>
      <c r="T17" s="25" t="inlineStr">
        <is>
          <t>Y</t>
        </is>
      </c>
      <c r="U17" s="25" t="inlineStr">
        <is>
          <t>N</t>
        </is>
      </c>
      <c r="V17" s="25" t="inlineStr">
        <is>
          <t>N</t>
        </is>
      </c>
      <c r="W17" s="25" t="inlineStr"/>
      <c r="X17" s="26" t="inlineStr">
        <is>
          <t>Central ownership</t>
        </is>
      </c>
    </row>
    <row r="18">
      <c r="A18" s="24" t="inlineStr">
        <is>
          <t>Z-017</t>
        </is>
      </c>
      <c r="B18" s="24" t="inlineStr">
        <is>
          <t>Information Management</t>
        </is>
      </c>
      <c r="C18" s="24" t="inlineStr"/>
      <c r="D18" s="25" t="inlineStr">
        <is>
          <t>ZZ</t>
        </is>
      </c>
      <c r="E18" s="26" t="inlineStr">
        <is>
          <t>Capability and capacity assessment</t>
        </is>
      </c>
      <c r="F18" s="24" t="inlineStr">
        <is>
          <t>Report</t>
        </is>
      </c>
      <c r="G18" s="25" t="inlineStr">
        <is>
          <t>RP</t>
        </is>
      </c>
      <c r="H18" s="24" t="inlineStr">
        <is>
          <t>Mobilisation</t>
        </is>
      </c>
      <c r="I18" s="25" t="inlineStr">
        <is>
          <t>n/a</t>
        </is>
      </c>
      <c r="J18" s="24" t="inlineStr">
        <is>
          <t>XLSX</t>
        </is>
      </c>
      <c r="K18" s="25" t="inlineStr">
        <is>
          <t>S3</t>
        </is>
      </c>
      <c r="L18" s="25" t="inlineStr">
        <is>
          <t>Shared</t>
        </is>
      </c>
      <c r="M18" s="25" t="n">
        <v>1</v>
      </c>
      <c r="N18" s="25" t="n">
        <v>1</v>
      </c>
      <c r="O18" s="27">
        <f>IF(Programme!$C$4="","",EOMONTH(Programme!$C$4,1))</f>
        <v/>
      </c>
      <c r="P18" s="27" t="n"/>
      <c r="Q18" s="28">
        <f>IF(AND(O18&lt;&gt;"",P18&lt;&gt;""),P18-O18,"")</f>
        <v/>
      </c>
      <c r="R18" s="24" t="inlineStr">
        <is>
          <t>Lead Appointed Party</t>
        </is>
      </c>
      <c r="S18" s="24" t="inlineStr">
        <is>
          <t>TIDP-Z</t>
        </is>
      </c>
      <c r="T18" s="25" t="inlineStr">
        <is>
          <t>N</t>
        </is>
      </c>
      <c r="U18" s="25" t="inlineStr">
        <is>
          <t>N</t>
        </is>
      </c>
      <c r="V18" s="25" t="inlineStr">
        <is>
          <t>N</t>
        </is>
      </c>
      <c r="W18" s="25" t="inlineStr"/>
      <c r="X18" s="26" t="inlineStr">
        <is>
          <t>ISO 19650-2; the Stage 0 test model is its practical form</t>
        </is>
      </c>
    </row>
    <row r="19">
      <c r="A19" s="24" t="inlineStr">
        <is>
          <t>Z-018</t>
        </is>
      </c>
      <c r="B19" s="24" t="inlineStr">
        <is>
          <t>Information Management</t>
        </is>
      </c>
      <c r="C19" s="24" t="inlineStr"/>
      <c r="D19" s="25" t="inlineStr">
        <is>
          <t>ZZ</t>
        </is>
      </c>
      <c r="E19" s="26" t="inlineStr">
        <is>
          <t>Standards localisation note (Owner standards to Ugandan practice)</t>
        </is>
      </c>
      <c r="F19" s="24" t="inlineStr">
        <is>
          <t>Document</t>
        </is>
      </c>
      <c r="G19" s="25" t="inlineStr">
        <is>
          <t>RP</t>
        </is>
      </c>
      <c r="H19" s="24" t="inlineStr">
        <is>
          <t>Mobilisation</t>
        </is>
      </c>
      <c r="I19" s="25" t="inlineStr">
        <is>
          <t>n/a</t>
        </is>
      </c>
      <c r="J19" s="24" t="inlineStr">
        <is>
          <t>DOCX/PDF</t>
        </is>
      </c>
      <c r="K19" s="25" t="inlineStr">
        <is>
          <t>S3</t>
        </is>
      </c>
      <c r="L19" s="25" t="inlineStr">
        <is>
          <t>Shared</t>
        </is>
      </c>
      <c r="M19" s="25" t="n">
        <v>0</v>
      </c>
      <c r="N19" s="25" t="n">
        <v>1</v>
      </c>
      <c r="O19" s="27">
        <f>IF(Programme!$C$4="","",EOMONTH(Programme!$C$4,1))</f>
        <v/>
      </c>
      <c r="P19" s="27" t="n"/>
      <c r="Q19" s="28">
        <f>IF(AND(O19&lt;&gt;"",P19&lt;&gt;""),P19-O19,"")</f>
        <v/>
      </c>
      <c r="R19" s="24" t="inlineStr">
        <is>
          <t>Information Manager</t>
        </is>
      </c>
      <c r="S19" s="24" t="inlineStr">
        <is>
          <t>TIDP-Z</t>
        </is>
      </c>
      <c r="T19" s="25" t="inlineStr">
        <is>
          <t>N</t>
        </is>
      </c>
      <c r="U19" s="25" t="inlineStr">
        <is>
          <t>N</t>
        </is>
      </c>
      <c r="V19" s="25" t="inlineStr">
        <is>
          <t>N</t>
        </is>
      </c>
      <c r="W19" s="25" t="inlineStr"/>
      <c r="X19" s="26" t="inlineStr">
        <is>
          <t>Reference RP-Z-0005; weeks 2–3 after the Owner standards are received</t>
        </is>
      </c>
    </row>
    <row r="20">
      <c r="A20" s="24" t="inlineStr">
        <is>
          <t>Z-019</t>
        </is>
      </c>
      <c r="B20" s="24" t="inlineStr">
        <is>
          <t>Information Management</t>
        </is>
      </c>
      <c r="C20" s="24" t="inlineStr"/>
      <c r="D20" s="25" t="inlineStr">
        <is>
          <t>ZZ</t>
        </is>
      </c>
      <c r="E20" s="26" t="inlineStr">
        <is>
          <t>Stage 0 gate record (test model shared by every appointed party)</t>
        </is>
      </c>
      <c r="F20" s="24" t="inlineStr">
        <is>
          <t>Report</t>
        </is>
      </c>
      <c r="G20" s="25" t="inlineStr">
        <is>
          <t>RP</t>
        </is>
      </c>
      <c r="H20" s="24" t="inlineStr">
        <is>
          <t>Mobilisation</t>
        </is>
      </c>
      <c r="I20" s="25" t="inlineStr">
        <is>
          <t>n/a</t>
        </is>
      </c>
      <c r="J20" s="24" t="inlineStr">
        <is>
          <t>PDF</t>
        </is>
      </c>
      <c r="K20" s="25" t="inlineStr">
        <is>
          <t>S3</t>
        </is>
      </c>
      <c r="L20" s="25" t="inlineStr">
        <is>
          <t>Shared</t>
        </is>
      </c>
      <c r="M20" s="25" t="n">
        <v>1</v>
      </c>
      <c r="N20" s="25" t="n">
        <v>1</v>
      </c>
      <c r="O20" s="27">
        <f>IF(Programme!$C$4="","",EOMONTH(Programme!$C$4,1))</f>
        <v/>
      </c>
      <c r="P20" s="27" t="n"/>
      <c r="Q20" s="28">
        <f>IF(AND(O20&lt;&gt;"",P20&lt;&gt;""),P20-O20,"")</f>
        <v/>
      </c>
      <c r="R20" s="24" t="inlineStr">
        <is>
          <t>Information Manager</t>
        </is>
      </c>
      <c r="S20" s="24" t="inlineStr">
        <is>
          <t>TIDP-Z</t>
        </is>
      </c>
      <c r="T20" s="25" t="inlineStr">
        <is>
          <t>Y</t>
        </is>
      </c>
      <c r="U20" s="25" t="inlineStr">
        <is>
          <t>N</t>
        </is>
      </c>
      <c r="V20" s="25" t="inlineStr">
        <is>
          <t>N</t>
        </is>
      </c>
      <c r="W20" s="25" t="inlineStr"/>
      <c r="X20" s="26" t="inlineStr">
        <is>
          <t>No discipline enters the fortnightly cycle before this</t>
        </is>
      </c>
    </row>
    <row r="21">
      <c r="A21" s="24" t="inlineStr">
        <is>
          <t>Z-020</t>
        </is>
      </c>
      <c r="B21" s="24" t="inlineStr">
        <is>
          <t>Information Management</t>
        </is>
      </c>
      <c r="C21" s="24" t="inlineStr"/>
      <c r="D21" s="25" t="inlineStr">
        <is>
          <t>ZZ</t>
        </is>
      </c>
      <c r="E21" s="26" t="inlineStr">
        <is>
          <t>Monthly BIM status report (design stage)</t>
        </is>
      </c>
      <c r="F21" s="24" t="inlineStr">
        <is>
          <t>Report</t>
        </is>
      </c>
      <c r="G21" s="25" t="inlineStr">
        <is>
          <t>RP</t>
        </is>
      </c>
      <c r="H21" s="24" t="inlineStr">
        <is>
          <t>Mobilisation</t>
        </is>
      </c>
      <c r="I21" s="25" t="inlineStr">
        <is>
          <t>n/a</t>
        </is>
      </c>
      <c r="J21" s="24" t="inlineStr">
        <is>
          <t>PDF</t>
        </is>
      </c>
      <c r="K21" s="25" t="inlineStr">
        <is>
          <t>S2</t>
        </is>
      </c>
      <c r="L21" s="25" t="inlineStr">
        <is>
          <t>Shared</t>
        </is>
      </c>
      <c r="M21" s="25" t="n">
        <v>1</v>
      </c>
      <c r="N21" s="25" t="n">
        <v>11</v>
      </c>
      <c r="O21" s="27">
        <f>IF(Programme!$C$4="","",EOMONTH(Programme!$C$4,11))</f>
        <v/>
      </c>
      <c r="P21" s="27" t="n"/>
      <c r="Q21" s="28">
        <f>IF(AND(O21&lt;&gt;"",P21&lt;&gt;""),P21-O21,"")</f>
        <v/>
      </c>
      <c r="R21" s="24" t="inlineStr">
        <is>
          <t>Information Manager</t>
        </is>
      </c>
      <c r="S21" s="24" t="inlineStr">
        <is>
          <t>TIDP-Z</t>
        </is>
      </c>
      <c r="T21" s="25" t="inlineStr">
        <is>
          <t>N</t>
        </is>
      </c>
      <c r="U21" s="25" t="inlineStr">
        <is>
          <t>N</t>
        </is>
      </c>
      <c r="V21" s="25" t="inlineStr">
        <is>
          <t>N</t>
        </is>
      </c>
      <c r="W21" s="25" t="inlineStr"/>
      <c r="X21" s="26" t="inlineStr">
        <is>
          <t>KPIs per BEP 10.5</t>
        </is>
      </c>
    </row>
    <row r="22">
      <c r="A22" s="24" t="inlineStr">
        <is>
          <t>Z-021</t>
        </is>
      </c>
      <c r="B22" s="24" t="inlineStr">
        <is>
          <t>Information Management</t>
        </is>
      </c>
      <c r="C22" s="24" t="inlineStr"/>
      <c r="D22" s="25" t="inlineStr">
        <is>
          <t>ZZ</t>
        </is>
      </c>
      <c r="E22" s="26" t="inlineStr">
        <is>
          <t>Kickoff induction record and BEP acknowledgement</t>
        </is>
      </c>
      <c r="F22" s="24" t="inlineStr">
        <is>
          <t>Document</t>
        </is>
      </c>
      <c r="G22" s="25" t="inlineStr">
        <is>
          <t>RP</t>
        </is>
      </c>
      <c r="H22" s="24" t="inlineStr">
        <is>
          <t>Mobilisation</t>
        </is>
      </c>
      <c r="I22" s="25" t="inlineStr">
        <is>
          <t>n/a</t>
        </is>
      </c>
      <c r="J22" s="24" t="inlineStr">
        <is>
          <t>PDF</t>
        </is>
      </c>
      <c r="K22" s="25" t="inlineStr">
        <is>
          <t>A1</t>
        </is>
      </c>
      <c r="L22" s="25" t="inlineStr">
        <is>
          <t>Published</t>
        </is>
      </c>
      <c r="M22" s="25" t="n">
        <v>0</v>
      </c>
      <c r="N22" s="25" t="n">
        <v>1</v>
      </c>
      <c r="O22" s="27">
        <f>IF(Programme!$C$4="","",EOMONTH(Programme!$C$4,1))</f>
        <v/>
      </c>
      <c r="P22" s="27" t="n"/>
      <c r="Q22" s="28">
        <f>IF(AND(O22&lt;&gt;"",P22&lt;&gt;""),P22-O22,"")</f>
        <v/>
      </c>
      <c r="R22" s="24" t="inlineStr">
        <is>
          <t>Information Manager</t>
        </is>
      </c>
      <c r="S22" s="24" t="inlineStr">
        <is>
          <t>TIDP-Z</t>
        </is>
      </c>
      <c r="T22" s="25" t="inlineStr">
        <is>
          <t>N</t>
        </is>
      </c>
      <c r="U22" s="25" t="inlineStr">
        <is>
          <t>N</t>
        </is>
      </c>
      <c r="V22" s="25" t="inlineStr">
        <is>
          <t>N</t>
        </is>
      </c>
      <c r="W22" s="25" t="inlineStr"/>
      <c r="X22" s="26" t="inlineStr">
        <is>
          <t>Attendance and signed acknowledgement from every task team</t>
        </is>
      </c>
    </row>
    <row r="23">
      <c r="A23" s="24" t="inlineStr">
        <is>
          <t>Z-022</t>
        </is>
      </c>
      <c r="B23" s="24" t="inlineStr">
        <is>
          <t>Information Management</t>
        </is>
      </c>
      <c r="C23" s="24" t="inlineStr"/>
      <c r="D23" s="25" t="inlineStr">
        <is>
          <t>ZZ</t>
        </is>
      </c>
      <c r="E23" s="26" t="inlineStr">
        <is>
          <t>Document Control Standard (reissued to P02 codes)</t>
        </is>
      </c>
      <c r="F23" s="24" t="inlineStr">
        <is>
          <t>Document</t>
        </is>
      </c>
      <c r="G23" s="25" t="inlineStr">
        <is>
          <t>RP</t>
        </is>
      </c>
      <c r="H23" s="24" t="inlineStr">
        <is>
          <t>Mobilisation</t>
        </is>
      </c>
      <c r="I23" s="25" t="inlineStr">
        <is>
          <t>n/a</t>
        </is>
      </c>
      <c r="J23" s="24" t="inlineStr">
        <is>
          <t>DOCX/PDF</t>
        </is>
      </c>
      <c r="K23" s="25" t="inlineStr">
        <is>
          <t>A1</t>
        </is>
      </c>
      <c r="L23" s="25" t="inlineStr">
        <is>
          <t>Published</t>
        </is>
      </c>
      <c r="M23" s="25" t="n">
        <v>0</v>
      </c>
      <c r="N23" s="25" t="n">
        <v>0</v>
      </c>
      <c r="O23" s="27">
        <f>IF(Programme!$C$4="","",EOMONTH(Programme!$C$4,0))</f>
        <v/>
      </c>
      <c r="P23" s="27" t="n"/>
      <c r="Q23" s="28">
        <f>IF(AND(O23&lt;&gt;"",P23&lt;&gt;""),P23-O23,"")</f>
        <v/>
      </c>
      <c r="R23" s="24" t="inlineStr">
        <is>
          <t>Information Manager</t>
        </is>
      </c>
      <c r="S23" s="24" t="inlineStr">
        <is>
          <t>TIDP-Z</t>
        </is>
      </c>
      <c r="T23" s="25" t="inlineStr">
        <is>
          <t>N</t>
        </is>
      </c>
      <c r="U23" s="25" t="inlineStr">
        <is>
          <t>N</t>
        </is>
      </c>
      <c r="V23" s="25" t="inlineStr">
        <is>
          <t>N</t>
        </is>
      </c>
      <c r="W23" s="25" t="inlineStr"/>
      <c r="X23" s="26" t="inlineStr">
        <is>
          <t>KUT-SMB-ZZ-ZZ-RP-Z-0003. Container naming, sheet number bands, revision, authorisation, transmittal, superseded/cancelled/replaced notices, number retirement</t>
        </is>
      </c>
    </row>
    <row r="24">
      <c r="A24" s="24" t="inlineStr">
        <is>
          <t>Z-024</t>
        </is>
      </c>
      <c r="B24" s="24" t="inlineStr">
        <is>
          <t>Information Management</t>
        </is>
      </c>
      <c r="C24" s="24" t="inlineStr"/>
      <c r="D24" s="25" t="inlineStr">
        <is>
          <t>ZZ</t>
        </is>
      </c>
      <c r="E24" s="26" t="inlineStr">
        <is>
          <t>Drawing register, transmittal and notice templates</t>
        </is>
      </c>
      <c r="F24" s="24" t="inlineStr">
        <is>
          <t>Document</t>
        </is>
      </c>
      <c r="G24" s="25" t="inlineStr">
        <is>
          <t>IE</t>
        </is>
      </c>
      <c r="H24" s="24" t="inlineStr">
        <is>
          <t>Mobilisation</t>
        </is>
      </c>
      <c r="I24" s="25" t="inlineStr">
        <is>
          <t>n/a</t>
        </is>
      </c>
      <c r="J24" s="24" t="inlineStr">
        <is>
          <t>XLSX/DOCX</t>
        </is>
      </c>
      <c r="K24" s="25" t="inlineStr">
        <is>
          <t>A1</t>
        </is>
      </c>
      <c r="L24" s="25" t="inlineStr">
        <is>
          <t>Published</t>
        </is>
      </c>
      <c r="M24" s="25" t="n">
        <v>0</v>
      </c>
      <c r="N24" s="25" t="n">
        <v>0</v>
      </c>
      <c r="O24" s="27">
        <f>IF(Programme!$C$4="","",EOMONTH(Programme!$C$4,0))</f>
        <v/>
      </c>
      <c r="P24" s="27" t="n"/>
      <c r="Q24" s="28">
        <f>IF(AND(O24&lt;&gt;"",P24&lt;&gt;""),P24-O24,"")</f>
        <v/>
      </c>
      <c r="R24" s="24" t="inlineStr">
        <is>
          <t>Information Manager</t>
        </is>
      </c>
      <c r="S24" s="24" t="inlineStr">
        <is>
          <t>TIDP-Z</t>
        </is>
      </c>
      <c r="T24" s="25" t="inlineStr">
        <is>
          <t>N</t>
        </is>
      </c>
      <c r="U24" s="25" t="inlineStr">
        <is>
          <t>N</t>
        </is>
      </c>
      <c r="V24" s="25" t="inlineStr">
        <is>
          <t>N</t>
        </is>
      </c>
      <c r="W24" s="25" t="inlineStr"/>
      <c r="X24" s="26" t="inlineStr"/>
    </row>
    <row r="25">
      <c r="A25" s="24" t="inlineStr">
        <is>
          <t>Z-010</t>
        </is>
      </c>
      <c r="B25" s="24" t="inlineStr">
        <is>
          <t>Information Management</t>
        </is>
      </c>
      <c r="C25" s="24" t="inlineStr"/>
      <c r="D25" s="25" t="inlineStr">
        <is>
          <t>ZZ</t>
        </is>
      </c>
      <c r="E25" s="26" t="inlineStr">
        <is>
          <t>Federated coordination model</t>
        </is>
      </c>
      <c r="F25" s="24" t="inlineStr">
        <is>
          <t>Model</t>
        </is>
      </c>
      <c r="G25" s="25" t="inlineStr">
        <is>
          <t>M3</t>
        </is>
      </c>
      <c r="H25" s="24" t="inlineStr">
        <is>
          <t>2.1 Deliverable A</t>
        </is>
      </c>
      <c r="I25" s="25" t="inlineStr">
        <is>
          <t>200</t>
        </is>
      </c>
      <c r="J25" s="24" t="inlineStr">
        <is>
          <t>NWC/NWD/IFC</t>
        </is>
      </c>
      <c r="K25" s="25" t="inlineStr">
        <is>
          <t>S1</t>
        </is>
      </c>
      <c r="L25" s="25" t="inlineStr">
        <is>
          <t>Shared</t>
        </is>
      </c>
      <c r="M25" s="25" t="n">
        <v>1</v>
      </c>
      <c r="N25" s="25" t="n">
        <v>1</v>
      </c>
      <c r="O25" s="27">
        <f>IF(Programme!$C$4="","",EOMONTH(Programme!$C$4,1))</f>
        <v/>
      </c>
      <c r="P25" s="27" t="n"/>
      <c r="Q25" s="28">
        <f>IF(AND(O25&lt;&gt;"",P25&lt;&gt;""),P25-O25,"")</f>
        <v/>
      </c>
      <c r="R25" s="24" t="inlineStr">
        <is>
          <t>Information Manager</t>
        </is>
      </c>
      <c r="S25" s="24" t="inlineStr">
        <is>
          <t>TIDP-Z</t>
        </is>
      </c>
      <c r="T25" s="25" t="inlineStr">
        <is>
          <t>Y</t>
        </is>
      </c>
      <c r="U25" s="25" t="inlineStr">
        <is>
          <t>Y</t>
        </is>
      </c>
      <c r="V25" s="25" t="inlineStr">
        <is>
          <t>N</t>
        </is>
      </c>
      <c r="W25" s="25" t="inlineStr"/>
      <c r="X25" s="26" t="inlineStr">
        <is>
          <t>First federation; container M3-Z-0001</t>
        </is>
      </c>
    </row>
    <row r="26">
      <c r="A26" s="24" t="inlineStr">
        <is>
          <t>A-100</t>
        </is>
      </c>
      <c r="B26" s="24" t="inlineStr">
        <is>
          <t>Architecture</t>
        </is>
      </c>
      <c r="C26" s="24" t="inlineStr"/>
      <c r="D26" s="25" t="inlineStr">
        <is>
          <t>ZZ</t>
        </is>
      </c>
      <c r="E26" s="26" t="inlineStr">
        <is>
          <t>Architectural model</t>
        </is>
      </c>
      <c r="F26" s="24" t="inlineStr">
        <is>
          <t>Model</t>
        </is>
      </c>
      <c r="G26" s="25" t="inlineStr">
        <is>
          <t>M3</t>
        </is>
      </c>
      <c r="H26" s="24" t="inlineStr">
        <is>
          <t>2.1 Deliverable A</t>
        </is>
      </c>
      <c r="I26" s="25" t="inlineStr">
        <is>
          <t>200</t>
        </is>
      </c>
      <c r="J26" s="24" t="inlineStr">
        <is>
          <t>RVT/IFC</t>
        </is>
      </c>
      <c r="K26" s="25" t="inlineStr">
        <is>
          <t>S2</t>
        </is>
      </c>
      <c r="L26" s="25" t="inlineStr">
        <is>
          <t>Shared</t>
        </is>
      </c>
      <c r="M26" s="25" t="n">
        <v>1</v>
      </c>
      <c r="N26" s="25" t="n">
        <v>1</v>
      </c>
      <c r="O26" s="27">
        <f>IF(Programme!$C$4="","",EOMONTH(Programme!$C$4,1))</f>
        <v/>
      </c>
      <c r="P26" s="27" t="n"/>
      <c r="Q26" s="28">
        <f>IF(AND(O26&lt;&gt;"",P26&lt;&gt;""),P26-O26,"")</f>
        <v/>
      </c>
      <c r="R26" s="24" t="inlineStr">
        <is>
          <t>Architecture lead</t>
        </is>
      </c>
      <c r="S26" s="24" t="inlineStr">
        <is>
          <t>TIDP-A</t>
        </is>
      </c>
      <c r="T26" s="25" t="inlineStr">
        <is>
          <t>Y</t>
        </is>
      </c>
      <c r="U26" s="25" t="inlineStr">
        <is>
          <t>Y</t>
        </is>
      </c>
      <c r="V26" s="25" t="inlineStr">
        <is>
          <t>N</t>
        </is>
      </c>
      <c r="W26" s="25" t="inlineStr"/>
      <c r="X26" s="26" t="inlineStr">
        <is>
          <t>Massing and generic systems; rooms placed</t>
        </is>
      </c>
    </row>
    <row r="27">
      <c r="A27" s="24" t="inlineStr">
        <is>
          <t>A-101</t>
        </is>
      </c>
      <c r="B27" s="24" t="inlineStr">
        <is>
          <t>Architecture</t>
        </is>
      </c>
      <c r="C27" s="24" t="inlineStr"/>
      <c r="D27" s="25" t="inlineStr">
        <is>
          <t>ZZ</t>
        </is>
      </c>
      <c r="E27" s="26" t="inlineStr">
        <is>
          <t>Deliverable A drawing set</t>
        </is>
      </c>
      <c r="F27" s="24" t="inlineStr">
        <is>
          <t>Drawing</t>
        </is>
      </c>
      <c r="G27" s="25" t="inlineStr">
        <is>
          <t>DR</t>
        </is>
      </c>
      <c r="H27" s="24" t="inlineStr">
        <is>
          <t>2.1 Deliverable A</t>
        </is>
      </c>
      <c r="I27" s="25" t="inlineStr">
        <is>
          <t>200</t>
        </is>
      </c>
      <c r="J27" s="24" t="inlineStr">
        <is>
          <t>PDF/DWG</t>
        </is>
      </c>
      <c r="K27" s="25" t="inlineStr">
        <is>
          <t>S3</t>
        </is>
      </c>
      <c r="L27" s="25" t="inlineStr">
        <is>
          <t>Shared</t>
        </is>
      </c>
      <c r="M27" s="25" t="n">
        <v>1</v>
      </c>
      <c r="N27" s="25" t="n">
        <v>1</v>
      </c>
      <c r="O27" s="27">
        <f>IF(Programme!$C$4="","",EOMONTH(Programme!$C$4,1))</f>
        <v/>
      </c>
      <c r="P27" s="27" t="n"/>
      <c r="Q27" s="28">
        <f>IF(AND(O27&lt;&gt;"",P27&lt;&gt;""),P27-O27,"")</f>
        <v/>
      </c>
      <c r="R27" s="24" t="inlineStr">
        <is>
          <t>Architecture lead</t>
        </is>
      </c>
      <c r="S27" s="24" t="inlineStr">
        <is>
          <t>TIDP-A</t>
        </is>
      </c>
      <c r="T27" s="25" t="inlineStr">
        <is>
          <t>N</t>
        </is>
      </c>
      <c r="U27" s="25" t="inlineStr">
        <is>
          <t>N</t>
        </is>
      </c>
      <c r="V27" s="25" t="inlineStr">
        <is>
          <t>N</t>
        </is>
      </c>
      <c r="W27" s="25" t="inlineStr"/>
      <c r="X27" s="26" t="inlineStr"/>
    </row>
    <row r="28">
      <c r="A28" s="24" t="inlineStr">
        <is>
          <t>S-100</t>
        </is>
      </c>
      <c r="B28" s="24" t="inlineStr">
        <is>
          <t>Structure</t>
        </is>
      </c>
      <c r="C28" s="24" t="inlineStr"/>
      <c r="D28" s="25" t="inlineStr">
        <is>
          <t>ZZ</t>
        </is>
      </c>
      <c r="E28" s="26" t="inlineStr">
        <is>
          <t>Structural model</t>
        </is>
      </c>
      <c r="F28" s="24" t="inlineStr">
        <is>
          <t>Model</t>
        </is>
      </c>
      <c r="G28" s="25" t="inlineStr">
        <is>
          <t>M3</t>
        </is>
      </c>
      <c r="H28" s="24" t="inlineStr">
        <is>
          <t>2.1 Deliverable A</t>
        </is>
      </c>
      <c r="I28" s="25" t="inlineStr">
        <is>
          <t>200</t>
        </is>
      </c>
      <c r="J28" s="24" t="inlineStr">
        <is>
          <t>RVT/IFC</t>
        </is>
      </c>
      <c r="K28" s="25" t="inlineStr">
        <is>
          <t>S2</t>
        </is>
      </c>
      <c r="L28" s="25" t="inlineStr">
        <is>
          <t>Shared</t>
        </is>
      </c>
      <c r="M28" s="25" t="n">
        <v>1</v>
      </c>
      <c r="N28" s="25" t="n">
        <v>1</v>
      </c>
      <c r="O28" s="27">
        <f>IF(Programme!$C$4="","",EOMONTH(Programme!$C$4,1))</f>
        <v/>
      </c>
      <c r="P28" s="27" t="n"/>
      <c r="Q28" s="28">
        <f>IF(AND(O28&lt;&gt;"",P28&lt;&gt;""),P28-O28,"")</f>
        <v/>
      </c>
      <c r="R28" s="24" t="inlineStr">
        <is>
          <t>Structural lead</t>
        </is>
      </c>
      <c r="S28" s="24" t="inlineStr">
        <is>
          <t>TIDP-S</t>
        </is>
      </c>
      <c r="T28" s="25" t="inlineStr">
        <is>
          <t>Y</t>
        </is>
      </c>
      <c r="U28" s="25" t="inlineStr">
        <is>
          <t>Y</t>
        </is>
      </c>
      <c r="V28" s="25" t="inlineStr">
        <is>
          <t>N</t>
        </is>
      </c>
      <c r="W28" s="25" t="inlineStr"/>
      <c r="X28" s="26" t="inlineStr">
        <is>
          <t>Indicative frame and foundations</t>
        </is>
      </c>
    </row>
    <row r="29">
      <c r="A29" s="24" t="inlineStr">
        <is>
          <t>M-100</t>
        </is>
      </c>
      <c r="B29" s="24" t="inlineStr">
        <is>
          <t>Mechanical</t>
        </is>
      </c>
      <c r="C29" s="24" t="inlineStr"/>
      <c r="D29" s="25" t="inlineStr">
        <is>
          <t>ZZ</t>
        </is>
      </c>
      <c r="E29" s="26" t="inlineStr">
        <is>
          <t>Mechanical model</t>
        </is>
      </c>
      <c r="F29" s="24" t="inlineStr">
        <is>
          <t>Model</t>
        </is>
      </c>
      <c r="G29" s="25" t="inlineStr">
        <is>
          <t>M3</t>
        </is>
      </c>
      <c r="H29" s="24" t="inlineStr">
        <is>
          <t>2.1 Deliverable A</t>
        </is>
      </c>
      <c r="I29" s="25" t="inlineStr">
        <is>
          <t>200</t>
        </is>
      </c>
      <c r="J29" s="24" t="inlineStr">
        <is>
          <t>RVT/IFC</t>
        </is>
      </c>
      <c r="K29" s="25" t="inlineStr">
        <is>
          <t>S2</t>
        </is>
      </c>
      <c r="L29" s="25" t="inlineStr">
        <is>
          <t>Shared</t>
        </is>
      </c>
      <c r="M29" s="25" t="n">
        <v>1</v>
      </c>
      <c r="N29" s="25" t="n">
        <v>1</v>
      </c>
      <c r="O29" s="27">
        <f>IF(Programme!$C$4="","",EOMONTH(Programme!$C$4,1))</f>
        <v/>
      </c>
      <c r="P29" s="27" t="n"/>
      <c r="Q29" s="28">
        <f>IF(AND(O29&lt;&gt;"",P29&lt;&gt;""),P29-O29,"")</f>
        <v/>
      </c>
      <c r="R29" s="24" t="inlineStr">
        <is>
          <t>MEP lead</t>
        </is>
      </c>
      <c r="S29" s="24" t="inlineStr">
        <is>
          <t>TIDP-M</t>
        </is>
      </c>
      <c r="T29" s="25" t="inlineStr">
        <is>
          <t>Y</t>
        </is>
      </c>
      <c r="U29" s="25" t="inlineStr">
        <is>
          <t>Y</t>
        </is>
      </c>
      <c r="V29" s="25" t="inlineStr">
        <is>
          <t>N</t>
        </is>
      </c>
      <c r="W29" s="25" t="inlineStr"/>
      <c r="X29" s="26" t="inlineStr">
        <is>
          <t>Plant space allocation, primary routes</t>
        </is>
      </c>
    </row>
    <row r="30">
      <c r="A30" s="24" t="inlineStr">
        <is>
          <t>E-100</t>
        </is>
      </c>
      <c r="B30" s="24" t="inlineStr">
        <is>
          <t>Electrical</t>
        </is>
      </c>
      <c r="C30" s="24" t="inlineStr"/>
      <c r="D30" s="25" t="inlineStr">
        <is>
          <t>ZZ</t>
        </is>
      </c>
      <c r="E30" s="26" t="inlineStr">
        <is>
          <t>Electrical model</t>
        </is>
      </c>
      <c r="F30" s="24" t="inlineStr">
        <is>
          <t>Model</t>
        </is>
      </c>
      <c r="G30" s="25" t="inlineStr">
        <is>
          <t>M3</t>
        </is>
      </c>
      <c r="H30" s="24" t="inlineStr">
        <is>
          <t>2.1 Deliverable A</t>
        </is>
      </c>
      <c r="I30" s="25" t="inlineStr">
        <is>
          <t>200</t>
        </is>
      </c>
      <c r="J30" s="24" t="inlineStr">
        <is>
          <t>RVT/IFC</t>
        </is>
      </c>
      <c r="K30" s="25" t="inlineStr">
        <is>
          <t>S2</t>
        </is>
      </c>
      <c r="L30" s="25" t="inlineStr">
        <is>
          <t>Shared</t>
        </is>
      </c>
      <c r="M30" s="25" t="n">
        <v>1</v>
      </c>
      <c r="N30" s="25" t="n">
        <v>1</v>
      </c>
      <c r="O30" s="27">
        <f>IF(Programme!$C$4="","",EOMONTH(Programme!$C$4,1))</f>
        <v/>
      </c>
      <c r="P30" s="27" t="n"/>
      <c r="Q30" s="28">
        <f>IF(AND(O30&lt;&gt;"",P30&lt;&gt;""),P30-O30,"")</f>
        <v/>
      </c>
      <c r="R30" s="24" t="inlineStr">
        <is>
          <t>MEP lead</t>
        </is>
      </c>
      <c r="S30" s="24" t="inlineStr">
        <is>
          <t>TIDP-E</t>
        </is>
      </c>
      <c r="T30" s="25" t="inlineStr">
        <is>
          <t>Y</t>
        </is>
      </c>
      <c r="U30" s="25" t="inlineStr">
        <is>
          <t>Y</t>
        </is>
      </c>
      <c r="V30" s="25" t="inlineStr">
        <is>
          <t>N</t>
        </is>
      </c>
      <c r="W30" s="25" t="inlineStr"/>
      <c r="X30" s="26" t="inlineStr">
        <is>
          <t>Generic equipment and main containment</t>
        </is>
      </c>
    </row>
    <row r="31">
      <c r="A31" s="24" t="inlineStr">
        <is>
          <t>P-100</t>
        </is>
      </c>
      <c r="B31" s="24" t="inlineStr">
        <is>
          <t>Public Health</t>
        </is>
      </c>
      <c r="C31" s="24" t="inlineStr"/>
      <c r="D31" s="25" t="inlineStr">
        <is>
          <t>ZZ</t>
        </is>
      </c>
      <c r="E31" s="26" t="inlineStr">
        <is>
          <t>Plumbing and drainage model</t>
        </is>
      </c>
      <c r="F31" s="24" t="inlineStr">
        <is>
          <t>Model</t>
        </is>
      </c>
      <c r="G31" s="25" t="inlineStr">
        <is>
          <t>M3</t>
        </is>
      </c>
      <c r="H31" s="24" t="inlineStr">
        <is>
          <t>2.1 Deliverable A</t>
        </is>
      </c>
      <c r="I31" s="25" t="inlineStr">
        <is>
          <t>200</t>
        </is>
      </c>
      <c r="J31" s="24" t="inlineStr">
        <is>
          <t>RVT/IFC</t>
        </is>
      </c>
      <c r="K31" s="25" t="inlineStr">
        <is>
          <t>S2</t>
        </is>
      </c>
      <c r="L31" s="25" t="inlineStr">
        <is>
          <t>Shared</t>
        </is>
      </c>
      <c r="M31" s="25" t="n">
        <v>1</v>
      </c>
      <c r="N31" s="25" t="n">
        <v>1</v>
      </c>
      <c r="O31" s="27">
        <f>IF(Programme!$C$4="","",EOMONTH(Programme!$C$4,1))</f>
        <v/>
      </c>
      <c r="P31" s="27" t="n"/>
      <c r="Q31" s="28">
        <f>IF(AND(O31&lt;&gt;"",P31&lt;&gt;""),P31-O31,"")</f>
        <v/>
      </c>
      <c r="R31" s="24" t="inlineStr">
        <is>
          <t>MEP lead</t>
        </is>
      </c>
      <c r="S31" s="24" t="inlineStr">
        <is>
          <t>TIDP-P</t>
        </is>
      </c>
      <c r="T31" s="25" t="inlineStr">
        <is>
          <t>Y</t>
        </is>
      </c>
      <c r="U31" s="25" t="inlineStr">
        <is>
          <t>Y</t>
        </is>
      </c>
      <c r="V31" s="25" t="inlineStr">
        <is>
          <t>N</t>
        </is>
      </c>
      <c r="W31" s="25" t="inlineStr"/>
      <c r="X31" s="26" t="inlineStr">
        <is>
          <t>Primary routes; font systems indicated</t>
        </is>
      </c>
    </row>
    <row r="32">
      <c r="A32" s="24" t="inlineStr">
        <is>
          <t>G-100</t>
        </is>
      </c>
      <c r="B32" s="24" t="inlineStr">
        <is>
          <t>Civil and Site</t>
        </is>
      </c>
      <c r="C32" s="24" t="inlineStr"/>
      <c r="D32" s="25" t="inlineStr">
        <is>
          <t>00</t>
        </is>
      </c>
      <c r="E32" s="26" t="inlineStr">
        <is>
          <t>Site model and levels</t>
        </is>
      </c>
      <c r="F32" s="24" t="inlineStr">
        <is>
          <t>Model</t>
        </is>
      </c>
      <c r="G32" s="25" t="inlineStr">
        <is>
          <t>M3</t>
        </is>
      </c>
      <c r="H32" s="24" t="inlineStr">
        <is>
          <t>2.1 Deliverable A</t>
        </is>
      </c>
      <c r="I32" s="25" t="inlineStr">
        <is>
          <t>200</t>
        </is>
      </c>
      <c r="J32" s="24" t="inlineStr">
        <is>
          <t>RVT/IFC</t>
        </is>
      </c>
      <c r="K32" s="25" t="inlineStr">
        <is>
          <t>S2</t>
        </is>
      </c>
      <c r="L32" s="25" t="inlineStr">
        <is>
          <t>Shared</t>
        </is>
      </c>
      <c r="M32" s="25" t="n">
        <v>1</v>
      </c>
      <c r="N32" s="25" t="n">
        <v>1</v>
      </c>
      <c r="O32" s="27">
        <f>IF(Programme!$C$4="","",EOMONTH(Programme!$C$4,1))</f>
        <v/>
      </c>
      <c r="P32" s="27" t="n"/>
      <c r="Q32" s="28">
        <f>IF(AND(O32&lt;&gt;"",P32&lt;&gt;""),P32-O32,"")</f>
        <v/>
      </c>
      <c r="R32" s="24" t="inlineStr">
        <is>
          <t>Civil lead</t>
        </is>
      </c>
      <c r="S32" s="24" t="inlineStr">
        <is>
          <t>TIDP-C</t>
        </is>
      </c>
      <c r="T32" s="25" t="inlineStr">
        <is>
          <t>Y</t>
        </is>
      </c>
      <c r="U32" s="25" t="inlineStr">
        <is>
          <t>Y</t>
        </is>
      </c>
      <c r="V32" s="25" t="inlineStr">
        <is>
          <t>N</t>
        </is>
      </c>
      <c r="W32" s="25" t="inlineStr"/>
      <c r="X32" s="26" t="inlineStr">
        <is>
          <t>Site levels, access, drainage strategy; scope to confirm</t>
        </is>
      </c>
    </row>
    <row r="33">
      <c r="A33" s="24" t="inlineStr">
        <is>
          <t>Z-110</t>
        </is>
      </c>
      <c r="B33" s="24" t="inlineStr">
        <is>
          <t>Information Management</t>
        </is>
      </c>
      <c r="C33" s="24" t="inlineStr"/>
      <c r="D33" s="25" t="inlineStr">
        <is>
          <t>ZZ</t>
        </is>
      </c>
      <c r="E33" s="26" t="inlineStr">
        <is>
          <t>Basis of design report</t>
        </is>
      </c>
      <c r="F33" s="24" t="inlineStr">
        <is>
          <t>Document</t>
        </is>
      </c>
      <c r="G33" s="25" t="inlineStr">
        <is>
          <t>RP</t>
        </is>
      </c>
      <c r="H33" s="24" t="inlineStr">
        <is>
          <t>2.1 Deliverable A</t>
        </is>
      </c>
      <c r="I33" s="25" t="inlineStr">
        <is>
          <t>200</t>
        </is>
      </c>
      <c r="J33" s="24" t="inlineStr">
        <is>
          <t>DOCX/PDF</t>
        </is>
      </c>
      <c r="K33" s="25" t="inlineStr">
        <is>
          <t>S3</t>
        </is>
      </c>
      <c r="L33" s="25" t="inlineStr">
        <is>
          <t>Shared</t>
        </is>
      </c>
      <c r="M33" s="25" t="n">
        <v>1</v>
      </c>
      <c r="N33" s="25" t="n">
        <v>1</v>
      </c>
      <c r="O33" s="27">
        <f>IF(Programme!$C$4="","",EOMONTH(Programme!$C$4,1))</f>
        <v/>
      </c>
      <c r="P33" s="27" t="n"/>
      <c r="Q33" s="28">
        <f>IF(AND(O33&lt;&gt;"",P33&lt;&gt;""),P33-O33,"")</f>
        <v/>
      </c>
      <c r="R33" s="24" t="inlineStr">
        <is>
          <t>Lead Appointed Party</t>
        </is>
      </c>
      <c r="S33" s="24" t="inlineStr">
        <is>
          <t>TIDP-Z</t>
        </is>
      </c>
      <c r="T33" s="25" t="inlineStr">
        <is>
          <t>N</t>
        </is>
      </c>
      <c r="U33" s="25" t="inlineStr">
        <is>
          <t>N</t>
        </is>
      </c>
      <c r="V33" s="25" t="inlineStr">
        <is>
          <t>N</t>
        </is>
      </c>
      <c r="W33" s="25" t="inlineStr"/>
      <c r="X33" s="26" t="inlineStr">
        <is>
          <t>Design intent</t>
        </is>
      </c>
    </row>
    <row r="34">
      <c r="A34" s="24" t="inlineStr">
        <is>
          <t>Z-111</t>
        </is>
      </c>
      <c r="B34" s="24" t="inlineStr">
        <is>
          <t>Information Management</t>
        </is>
      </c>
      <c r="C34" s="24" t="inlineStr"/>
      <c r="D34" s="25" t="inlineStr">
        <is>
          <t>ZZ</t>
        </is>
      </c>
      <c r="E34" s="26" t="inlineStr">
        <is>
          <t>Area schedule reconciled to the brief</t>
        </is>
      </c>
      <c r="F34" s="24" t="inlineStr">
        <is>
          <t>Schedule</t>
        </is>
      </c>
      <c r="G34" s="25" t="inlineStr">
        <is>
          <t>SH</t>
        </is>
      </c>
      <c r="H34" s="24" t="inlineStr">
        <is>
          <t>2.1 Deliverable A</t>
        </is>
      </c>
      <c r="I34" s="25" t="inlineStr">
        <is>
          <t>200</t>
        </is>
      </c>
      <c r="J34" s="24" t="inlineStr">
        <is>
          <t>XLSX/PDF</t>
        </is>
      </c>
      <c r="K34" s="25" t="inlineStr">
        <is>
          <t>S3</t>
        </is>
      </c>
      <c r="L34" s="25" t="inlineStr">
        <is>
          <t>Shared</t>
        </is>
      </c>
      <c r="M34" s="25" t="n">
        <v>1</v>
      </c>
      <c r="N34" s="25" t="n">
        <v>1</v>
      </c>
      <c r="O34" s="27">
        <f>IF(Programme!$C$4="","",EOMONTH(Programme!$C$4,1))</f>
        <v/>
      </c>
      <c r="P34" s="27" t="n"/>
      <c r="Q34" s="28">
        <f>IF(AND(O34&lt;&gt;"",P34&lt;&gt;""),P34-O34,"")</f>
        <v/>
      </c>
      <c r="R34" s="24" t="inlineStr">
        <is>
          <t>Information Manager</t>
        </is>
      </c>
      <c r="S34" s="24" t="inlineStr">
        <is>
          <t>TIDP-Z</t>
        </is>
      </c>
      <c r="T34" s="25" t="inlineStr">
        <is>
          <t>N</t>
        </is>
      </c>
      <c r="U34" s="25" t="inlineStr">
        <is>
          <t>N</t>
        </is>
      </c>
      <c r="V34" s="25" t="inlineStr">
        <is>
          <t>N</t>
        </is>
      </c>
      <c r="W34" s="25" t="inlineStr"/>
      <c r="X34" s="26" t="inlineStr">
        <is>
          <t>Gate condition</t>
        </is>
      </c>
    </row>
    <row r="35">
      <c r="A35" s="24" t="inlineStr">
        <is>
          <t>Z-112</t>
        </is>
      </c>
      <c r="B35" s="24" t="inlineStr">
        <is>
          <t>Information Management</t>
        </is>
      </c>
      <c r="C35" s="24" t="inlineStr"/>
      <c r="D35" s="25" t="inlineStr">
        <is>
          <t>ZZ</t>
        </is>
      </c>
      <c r="E35" s="26" t="inlineStr">
        <is>
          <t>Deliverable A gate pack and compliance report</t>
        </is>
      </c>
      <c r="F35" s="24" t="inlineStr">
        <is>
          <t>Document</t>
        </is>
      </c>
      <c r="G35" s="25" t="inlineStr">
        <is>
          <t>RP</t>
        </is>
      </c>
      <c r="H35" s="24" t="inlineStr">
        <is>
          <t>2.1 Deliverable A</t>
        </is>
      </c>
      <c r="I35" s="25" t="inlineStr">
        <is>
          <t>200</t>
        </is>
      </c>
      <c r="J35" s="24" t="inlineStr">
        <is>
          <t>PDF</t>
        </is>
      </c>
      <c r="K35" s="25" t="inlineStr">
        <is>
          <t>S4</t>
        </is>
      </c>
      <c r="L35" s="25" t="inlineStr">
        <is>
          <t>Shared</t>
        </is>
      </c>
      <c r="M35" s="25" t="n">
        <v>1</v>
      </c>
      <c r="N35" s="25" t="n">
        <v>1</v>
      </c>
      <c r="O35" s="27">
        <f>IF(Programme!$C$4="","",EOMONTH(Programme!$C$4,1))</f>
        <v/>
      </c>
      <c r="P35" s="27" t="n"/>
      <c r="Q35" s="28">
        <f>IF(AND(O35&lt;&gt;"",P35&lt;&gt;""),P35-O35,"")</f>
        <v/>
      </c>
      <c r="R35" s="24" t="inlineStr">
        <is>
          <t>Information Manager</t>
        </is>
      </c>
      <c r="S35" s="24" t="inlineStr">
        <is>
          <t>TIDP-Z</t>
        </is>
      </c>
      <c r="T35" s="25" t="inlineStr">
        <is>
          <t>Y</t>
        </is>
      </c>
      <c r="U35" s="25" t="inlineStr">
        <is>
          <t>N</t>
        </is>
      </c>
      <c r="V35" s="25" t="inlineStr">
        <is>
          <t>N</t>
        </is>
      </c>
      <c r="W35" s="25" t="inlineStr"/>
      <c r="X35" s="26" t="inlineStr">
        <is>
          <t>Contents per Playbook Appendix B</t>
        </is>
      </c>
    </row>
    <row r="36">
      <c r="A36" s="24" t="inlineStr">
        <is>
          <t>Z-113</t>
        </is>
      </c>
      <c r="B36" s="24" t="inlineStr">
        <is>
          <t>Information Management</t>
        </is>
      </c>
      <c r="C36" s="24" t="inlineStr"/>
      <c r="D36" s="25" t="inlineStr">
        <is>
          <t>ZZ</t>
        </is>
      </c>
      <c r="E36" s="26" t="inlineStr">
        <is>
          <t>Deliverable A Owner review set and comment close-out report</t>
        </is>
      </c>
      <c r="F36" s="24" t="inlineStr">
        <is>
          <t>Document</t>
        </is>
      </c>
      <c r="G36" s="25" t="inlineStr">
        <is>
          <t>RP</t>
        </is>
      </c>
      <c r="H36" s="24" t="inlineStr">
        <is>
          <t>2.1 Deliverable A</t>
        </is>
      </c>
      <c r="I36" s="25" t="inlineStr">
        <is>
          <t>200</t>
        </is>
      </c>
      <c r="J36" s="24" t="inlineStr">
        <is>
          <t>PDF</t>
        </is>
      </c>
      <c r="K36" s="25" t="inlineStr">
        <is>
          <t>S3</t>
        </is>
      </c>
      <c r="L36" s="25" t="inlineStr">
        <is>
          <t>Shared</t>
        </is>
      </c>
      <c r="M36" s="25" t="n">
        <v>1</v>
      </c>
      <c r="N36" s="25" t="n">
        <v>2</v>
      </c>
      <c r="O36" s="27">
        <f>IF(Programme!$C$4="","",EOMONTH(Programme!$C$4,2))</f>
        <v/>
      </c>
      <c r="P36" s="27" t="n"/>
      <c r="Q36" s="28">
        <f>IF(AND(O36&lt;&gt;"",P36&lt;&gt;""),P36-O36,"")</f>
        <v/>
      </c>
      <c r="R36" s="24" t="inlineStr">
        <is>
          <t>Information Manager</t>
        </is>
      </c>
      <c r="S36" s="24" t="inlineStr">
        <is>
          <t>TIDP-Z</t>
        </is>
      </c>
      <c r="T36" s="25" t="inlineStr">
        <is>
          <t>Y</t>
        </is>
      </c>
      <c r="U36" s="25" t="inlineStr">
        <is>
          <t>N</t>
        </is>
      </c>
      <c r="V36" s="25" t="inlineStr">
        <is>
          <t>N</t>
        </is>
      </c>
      <c r="W36" s="25" t="inlineStr"/>
      <c r="X36" s="26" t="inlineStr">
        <is>
          <t>Comments closed before the gate</t>
        </is>
      </c>
    </row>
    <row r="37">
      <c r="A37" s="24" t="inlineStr">
        <is>
          <t>Z-114</t>
        </is>
      </c>
      <c r="B37" s="24" t="inlineStr">
        <is>
          <t>Information Management</t>
        </is>
      </c>
      <c r="C37" s="24" t="inlineStr"/>
      <c r="D37" s="25" t="inlineStr">
        <is>
          <t>ZZ</t>
        </is>
      </c>
      <c r="E37" s="26" t="inlineStr">
        <is>
          <t>Baseline model-health report</t>
        </is>
      </c>
      <c r="F37" s="24" t="inlineStr">
        <is>
          <t>Report</t>
        </is>
      </c>
      <c r="G37" s="25" t="inlineStr">
        <is>
          <t>RP</t>
        </is>
      </c>
      <c r="H37" s="24" t="inlineStr">
        <is>
          <t>2.1 Deliverable A</t>
        </is>
      </c>
      <c r="I37" s="25" t="inlineStr">
        <is>
          <t>200</t>
        </is>
      </c>
      <c r="J37" s="24" t="inlineStr">
        <is>
          <t>PDF</t>
        </is>
      </c>
      <c r="K37" s="25" t="inlineStr">
        <is>
          <t>S2</t>
        </is>
      </c>
      <c r="L37" s="25" t="inlineStr">
        <is>
          <t>Shared</t>
        </is>
      </c>
      <c r="M37" s="25" t="n">
        <v>1</v>
      </c>
      <c r="N37" s="25" t="n">
        <v>1</v>
      </c>
      <c r="O37" s="27">
        <f>IF(Programme!$C$4="","",EOMONTH(Programme!$C$4,1))</f>
        <v/>
      </c>
      <c r="P37" s="27" t="n"/>
      <c r="Q37" s="28">
        <f>IF(AND(O37&lt;&gt;"",P37&lt;&gt;""),P37-O37,"")</f>
        <v/>
      </c>
      <c r="R37" s="24" t="inlineStr">
        <is>
          <t>Information Manager</t>
        </is>
      </c>
      <c r="S37" s="24" t="inlineStr">
        <is>
          <t>TIDP-Z</t>
        </is>
      </c>
      <c r="T37" s="25" t="inlineStr">
        <is>
          <t>N</t>
        </is>
      </c>
      <c r="U37" s="25" t="inlineStr">
        <is>
          <t>N</t>
        </is>
      </c>
      <c r="V37" s="25" t="inlineStr">
        <is>
          <t>N</t>
        </is>
      </c>
      <c r="W37" s="25" t="inlineStr"/>
      <c r="X37" s="26" t="inlineStr"/>
    </row>
    <row r="38">
      <c r="A38" s="24" t="inlineStr">
        <is>
          <t>A-200</t>
        </is>
      </c>
      <c r="B38" s="24" t="inlineStr">
        <is>
          <t>Architecture</t>
        </is>
      </c>
      <c r="C38" s="24" t="inlineStr"/>
      <c r="D38" s="25" t="inlineStr">
        <is>
          <t>ZZ</t>
        </is>
      </c>
      <c r="E38" s="26" t="inlineStr">
        <is>
          <t>Architectural model</t>
        </is>
      </c>
      <c r="F38" s="24" t="inlineStr">
        <is>
          <t>Model</t>
        </is>
      </c>
      <c r="G38" s="25" t="inlineStr">
        <is>
          <t>M3</t>
        </is>
      </c>
      <c r="H38" s="24" t="inlineStr">
        <is>
          <t>2.2 Deliverable B</t>
        </is>
      </c>
      <c r="I38" s="25" t="inlineStr">
        <is>
          <t>300</t>
        </is>
      </c>
      <c r="J38" s="24" t="inlineStr">
        <is>
          <t>RVT/IFC</t>
        </is>
      </c>
      <c r="K38" s="25" t="inlineStr">
        <is>
          <t>S2</t>
        </is>
      </c>
      <c r="L38" s="25" t="inlineStr">
        <is>
          <t>Shared</t>
        </is>
      </c>
      <c r="M38" s="25" t="n">
        <v>2</v>
      </c>
      <c r="N38" s="25" t="n">
        <v>4</v>
      </c>
      <c r="O38" s="27">
        <f>IF(Programme!$C$4="","",EOMONTH(Programme!$C$4,4))</f>
        <v/>
      </c>
      <c r="P38" s="27" t="n"/>
      <c r="Q38" s="28">
        <f>IF(AND(O38&lt;&gt;"",P38&lt;&gt;""),P38-O38,"")</f>
        <v/>
      </c>
      <c r="R38" s="24" t="inlineStr">
        <is>
          <t>Architecture lead</t>
        </is>
      </c>
      <c r="S38" s="24" t="inlineStr">
        <is>
          <t>TIDP-A</t>
        </is>
      </c>
      <c r="T38" s="25" t="inlineStr">
        <is>
          <t>Y</t>
        </is>
      </c>
      <c r="U38" s="25" t="inlineStr">
        <is>
          <t>Y</t>
        </is>
      </c>
      <c r="V38" s="25" t="inlineStr">
        <is>
          <t>N</t>
        </is>
      </c>
      <c r="W38" s="25" t="inlineStr"/>
      <c r="X38" s="26" t="inlineStr">
        <is>
          <t>Real geometry, correctly located; no placeholder families</t>
        </is>
      </c>
    </row>
    <row r="39">
      <c r="A39" s="24" t="inlineStr">
        <is>
          <t>A-201</t>
        </is>
      </c>
      <c r="B39" s="24" t="inlineStr">
        <is>
          <t>Architecture</t>
        </is>
      </c>
      <c r="C39" s="24" t="inlineStr"/>
      <c r="D39" s="25" t="inlineStr">
        <is>
          <t>ZZ</t>
        </is>
      </c>
      <c r="E39" s="26" t="inlineStr">
        <is>
          <t>General arrangement plans, sections and elevations (50%)</t>
        </is>
      </c>
      <c r="F39" s="24" t="inlineStr">
        <is>
          <t>Drawing</t>
        </is>
      </c>
      <c r="G39" s="25" t="inlineStr">
        <is>
          <t>DR</t>
        </is>
      </c>
      <c r="H39" s="24" t="inlineStr">
        <is>
          <t>2.2 Deliverable B</t>
        </is>
      </c>
      <c r="I39" s="25" t="inlineStr">
        <is>
          <t>300</t>
        </is>
      </c>
      <c r="J39" s="24" t="inlineStr">
        <is>
          <t>PDF/DWG</t>
        </is>
      </c>
      <c r="K39" s="25" t="inlineStr">
        <is>
          <t>S2</t>
        </is>
      </c>
      <c r="L39" s="25" t="inlineStr">
        <is>
          <t>Shared</t>
        </is>
      </c>
      <c r="M39" s="25" t="n">
        <v>4</v>
      </c>
      <c r="N39" s="25" t="n">
        <v>4</v>
      </c>
      <c r="O39" s="27">
        <f>IF(Programme!$C$4="","",EOMONTH(Programme!$C$4,4))</f>
        <v/>
      </c>
      <c r="P39" s="27" t="n"/>
      <c r="Q39" s="28">
        <f>IF(AND(O39&lt;&gt;"",P39&lt;&gt;""),P39-O39,"")</f>
        <v/>
      </c>
      <c r="R39" s="24" t="inlineStr">
        <is>
          <t>Architecture lead</t>
        </is>
      </c>
      <c r="S39" s="24" t="inlineStr">
        <is>
          <t>TIDP-A</t>
        </is>
      </c>
      <c r="T39" s="25" t="inlineStr">
        <is>
          <t>N</t>
        </is>
      </c>
      <c r="U39" s="25" t="inlineStr">
        <is>
          <t>Y</t>
        </is>
      </c>
      <c r="V39" s="25" t="inlineStr">
        <is>
          <t>N</t>
        </is>
      </c>
      <c r="W39" s="25" t="inlineStr"/>
      <c r="X39" s="26" t="inlineStr"/>
    </row>
    <row r="40">
      <c r="A40" s="24" t="inlineStr">
        <is>
          <t>A-202</t>
        </is>
      </c>
      <c r="B40" s="24" t="inlineStr">
        <is>
          <t>Architecture</t>
        </is>
      </c>
      <c r="C40" s="24" t="inlineStr"/>
      <c r="D40" s="25" t="inlineStr">
        <is>
          <t>ZZ</t>
        </is>
      </c>
      <c r="E40" s="26" t="inlineStr">
        <is>
          <t>Door and window schedules</t>
        </is>
      </c>
      <c r="F40" s="24" t="inlineStr">
        <is>
          <t>Schedule</t>
        </is>
      </c>
      <c r="G40" s="25" t="inlineStr">
        <is>
          <t>SH</t>
        </is>
      </c>
      <c r="H40" s="24" t="inlineStr">
        <is>
          <t>2.2 Deliverable B</t>
        </is>
      </c>
      <c r="I40" s="25" t="inlineStr">
        <is>
          <t>300</t>
        </is>
      </c>
      <c r="J40" s="24" t="inlineStr">
        <is>
          <t>PDF/XLSX</t>
        </is>
      </c>
      <c r="K40" s="25" t="inlineStr">
        <is>
          <t>S2</t>
        </is>
      </c>
      <c r="L40" s="25" t="inlineStr">
        <is>
          <t>Shared</t>
        </is>
      </c>
      <c r="M40" s="25" t="n">
        <v>4</v>
      </c>
      <c r="N40" s="25" t="n">
        <v>4</v>
      </c>
      <c r="O40" s="27">
        <f>IF(Programme!$C$4="","",EOMONTH(Programme!$C$4,4))</f>
        <v/>
      </c>
      <c r="P40" s="27" t="n"/>
      <c r="Q40" s="28">
        <f>IF(AND(O40&lt;&gt;"",P40&lt;&gt;""),P40-O40,"")</f>
        <v/>
      </c>
      <c r="R40" s="24" t="inlineStr">
        <is>
          <t>Architecture lead</t>
        </is>
      </c>
      <c r="S40" s="24" t="inlineStr">
        <is>
          <t>TIDP-A</t>
        </is>
      </c>
      <c r="T40" s="25" t="inlineStr">
        <is>
          <t>N</t>
        </is>
      </c>
      <c r="U40" s="25" t="inlineStr">
        <is>
          <t>N</t>
        </is>
      </c>
      <c r="V40" s="25" t="inlineStr">
        <is>
          <t>N</t>
        </is>
      </c>
      <c r="W40" s="25" t="inlineStr"/>
      <c r="X40" s="26" t="inlineStr"/>
    </row>
    <row r="41">
      <c r="A41" s="24" t="inlineStr">
        <is>
          <t>A-203</t>
        </is>
      </c>
      <c r="B41" s="24" t="inlineStr">
        <is>
          <t>Architecture</t>
        </is>
      </c>
      <c r="C41" s="24" t="inlineStr"/>
      <c r="D41" s="25" t="inlineStr">
        <is>
          <t>ZZ</t>
        </is>
      </c>
      <c r="E41" s="26" t="inlineStr">
        <is>
          <t>Room data sheets (key spaces)</t>
        </is>
      </c>
      <c r="F41" s="24" t="inlineStr">
        <is>
          <t>Room data sheet</t>
        </is>
      </c>
      <c r="G41" s="25" t="inlineStr">
        <is>
          <t>RD</t>
        </is>
      </c>
      <c r="H41" s="24" t="inlineStr">
        <is>
          <t>2.2 Deliverable B</t>
        </is>
      </c>
      <c r="I41" s="25" t="inlineStr">
        <is>
          <t>300</t>
        </is>
      </c>
      <c r="J41" s="24" t="inlineStr">
        <is>
          <t>PDF</t>
        </is>
      </c>
      <c r="K41" s="25" t="inlineStr">
        <is>
          <t>S2</t>
        </is>
      </c>
      <c r="L41" s="25" t="inlineStr">
        <is>
          <t>Shared</t>
        </is>
      </c>
      <c r="M41" s="25" t="n">
        <v>4</v>
      </c>
      <c r="N41" s="25" t="n">
        <v>4</v>
      </c>
      <c r="O41" s="27">
        <f>IF(Programme!$C$4="","",EOMONTH(Programme!$C$4,4))</f>
        <v/>
      </c>
      <c r="P41" s="27" t="n"/>
      <c r="Q41" s="28">
        <f>IF(AND(O41&lt;&gt;"",P41&lt;&gt;""),P41-O41,"")</f>
        <v/>
      </c>
      <c r="R41" s="24" t="inlineStr">
        <is>
          <t>Architecture lead</t>
        </is>
      </c>
      <c r="S41" s="24" t="inlineStr">
        <is>
          <t>TIDP-A</t>
        </is>
      </c>
      <c r="T41" s="25" t="inlineStr">
        <is>
          <t>N</t>
        </is>
      </c>
      <c r="U41" s="25" t="inlineStr">
        <is>
          <t>N</t>
        </is>
      </c>
      <c r="V41" s="25" t="inlineStr">
        <is>
          <t>N</t>
        </is>
      </c>
      <c r="W41" s="25" t="inlineStr"/>
      <c r="X41" s="26" t="inlineStr">
        <is>
          <t>Complete set at Deliverable C (A-302)</t>
        </is>
      </c>
    </row>
    <row r="42">
      <c r="A42" s="24" t="inlineStr">
        <is>
          <t>A-204</t>
        </is>
      </c>
      <c r="B42" s="24" t="inlineStr">
        <is>
          <t>Architecture</t>
        </is>
      </c>
      <c r="C42" s="24" t="inlineStr"/>
      <c r="D42" s="25" t="inlineStr">
        <is>
          <t>ZZ</t>
        </is>
      </c>
      <c r="E42" s="26" t="inlineStr">
        <is>
          <t>Existing conditions and removals plan</t>
        </is>
      </c>
      <c r="F42" s="24" t="inlineStr">
        <is>
          <t>Drawing</t>
        </is>
      </c>
      <c r="G42" s="25" t="inlineStr">
        <is>
          <t>DR</t>
        </is>
      </c>
      <c r="H42" s="24" t="inlineStr">
        <is>
          <t>2.2 Deliverable B</t>
        </is>
      </c>
      <c r="I42" s="25" t="inlineStr">
        <is>
          <t>300</t>
        </is>
      </c>
      <c r="J42" s="24" t="inlineStr">
        <is>
          <t>PDF/DWG</t>
        </is>
      </c>
      <c r="K42" s="25" t="inlineStr">
        <is>
          <t>S2</t>
        </is>
      </c>
      <c r="L42" s="25" t="inlineStr">
        <is>
          <t>Shared</t>
        </is>
      </c>
      <c r="M42" s="25" t="n">
        <v>4</v>
      </c>
      <c r="N42" s="25" t="n">
        <v>4</v>
      </c>
      <c r="O42" s="27">
        <f>IF(Programme!$C$4="","",EOMONTH(Programme!$C$4,4))</f>
        <v/>
      </c>
      <c r="P42" s="27" t="n"/>
      <c r="Q42" s="28">
        <f>IF(AND(O42&lt;&gt;"",P42&lt;&gt;""),P42-O42,"")</f>
        <v/>
      </c>
      <c r="R42" s="24" t="inlineStr">
        <is>
          <t>Architecture lead</t>
        </is>
      </c>
      <c r="S42" s="24" t="inlineStr">
        <is>
          <t>TIDP-A</t>
        </is>
      </c>
      <c r="T42" s="25" t="inlineStr">
        <is>
          <t>N</t>
        </is>
      </c>
      <c r="U42" s="25" t="inlineStr">
        <is>
          <t>N</t>
        </is>
      </c>
      <c r="V42" s="25" t="inlineStr">
        <is>
          <t>N</t>
        </is>
      </c>
      <c r="W42" s="25" t="inlineStr"/>
      <c r="X42" s="26" t="inlineStr">
        <is>
          <t>Demolition classification is a manual task; BEP 10.4</t>
        </is>
      </c>
    </row>
    <row r="43">
      <c r="A43" s="24" t="inlineStr">
        <is>
          <t>S-200</t>
        </is>
      </c>
      <c r="B43" s="24" t="inlineStr">
        <is>
          <t>Structure</t>
        </is>
      </c>
      <c r="C43" s="24" t="inlineStr"/>
      <c r="D43" s="25" t="inlineStr">
        <is>
          <t>ZZ</t>
        </is>
      </c>
      <c r="E43" s="26" t="inlineStr">
        <is>
          <t>Structural model</t>
        </is>
      </c>
      <c r="F43" s="24" t="inlineStr">
        <is>
          <t>Model</t>
        </is>
      </c>
      <c r="G43" s="25" t="inlineStr">
        <is>
          <t>M3</t>
        </is>
      </c>
      <c r="H43" s="24" t="inlineStr">
        <is>
          <t>2.2 Deliverable B</t>
        </is>
      </c>
      <c r="I43" s="25" t="inlineStr">
        <is>
          <t>300</t>
        </is>
      </c>
      <c r="J43" s="24" t="inlineStr">
        <is>
          <t>RVT/IFC</t>
        </is>
      </c>
      <c r="K43" s="25" t="inlineStr">
        <is>
          <t>S2</t>
        </is>
      </c>
      <c r="L43" s="25" t="inlineStr">
        <is>
          <t>Shared</t>
        </is>
      </c>
      <c r="M43" s="25" t="n">
        <v>2</v>
      </c>
      <c r="N43" s="25" t="n">
        <v>4</v>
      </c>
      <c r="O43" s="27">
        <f>IF(Programme!$C$4="","",EOMONTH(Programme!$C$4,4))</f>
        <v/>
      </c>
      <c r="P43" s="27" t="n"/>
      <c r="Q43" s="28">
        <f>IF(AND(O43&lt;&gt;"",P43&lt;&gt;""),P43-O43,"")</f>
        <v/>
      </c>
      <c r="R43" s="24" t="inlineStr">
        <is>
          <t>Structural lead</t>
        </is>
      </c>
      <c r="S43" s="24" t="inlineStr">
        <is>
          <t>TIDP-S</t>
        </is>
      </c>
      <c r="T43" s="25" t="inlineStr">
        <is>
          <t>Y</t>
        </is>
      </c>
      <c r="U43" s="25" t="inlineStr">
        <is>
          <t>Y</t>
        </is>
      </c>
      <c r="V43" s="25" t="inlineStr">
        <is>
          <t>N</t>
        </is>
      </c>
      <c r="W43" s="25" t="inlineStr"/>
      <c r="X43" s="26" t="inlineStr">
        <is>
          <t>Sized members; penetrations coordinated</t>
        </is>
      </c>
    </row>
    <row r="44">
      <c r="A44" s="24" t="inlineStr">
        <is>
          <t>S-201</t>
        </is>
      </c>
      <c r="B44" s="24" t="inlineStr">
        <is>
          <t>Structure</t>
        </is>
      </c>
      <c r="C44" s="24" t="inlineStr"/>
      <c r="D44" s="25" t="inlineStr">
        <is>
          <t>ZZ</t>
        </is>
      </c>
      <c r="E44" s="26" t="inlineStr">
        <is>
          <t>General arrangement drawings (50%)</t>
        </is>
      </c>
      <c r="F44" s="24" t="inlineStr">
        <is>
          <t>Drawing</t>
        </is>
      </c>
      <c r="G44" s="25" t="inlineStr">
        <is>
          <t>DR</t>
        </is>
      </c>
      <c r="H44" s="24" t="inlineStr">
        <is>
          <t>2.2 Deliverable B</t>
        </is>
      </c>
      <c r="I44" s="25" t="inlineStr">
        <is>
          <t>300</t>
        </is>
      </c>
      <c r="J44" s="24" t="inlineStr">
        <is>
          <t>PDF/DWG</t>
        </is>
      </c>
      <c r="K44" s="25" t="inlineStr">
        <is>
          <t>S2</t>
        </is>
      </c>
      <c r="L44" s="25" t="inlineStr">
        <is>
          <t>Shared</t>
        </is>
      </c>
      <c r="M44" s="25" t="n">
        <v>4</v>
      </c>
      <c r="N44" s="25" t="n">
        <v>4</v>
      </c>
      <c r="O44" s="27">
        <f>IF(Programme!$C$4="","",EOMONTH(Programme!$C$4,4))</f>
        <v/>
      </c>
      <c r="P44" s="27" t="n"/>
      <c r="Q44" s="28">
        <f>IF(AND(O44&lt;&gt;"",P44&lt;&gt;""),P44-O44,"")</f>
        <v/>
      </c>
      <c r="R44" s="24" t="inlineStr">
        <is>
          <t>Structural lead</t>
        </is>
      </c>
      <c r="S44" s="24" t="inlineStr">
        <is>
          <t>TIDP-S</t>
        </is>
      </c>
      <c r="T44" s="25" t="inlineStr">
        <is>
          <t>N</t>
        </is>
      </c>
      <c r="U44" s="25" t="inlineStr">
        <is>
          <t>Y</t>
        </is>
      </c>
      <c r="V44" s="25" t="inlineStr">
        <is>
          <t>N</t>
        </is>
      </c>
      <c r="W44" s="25" t="inlineStr"/>
      <c r="X44" s="26" t="inlineStr"/>
    </row>
    <row r="45">
      <c r="A45" s="24" t="inlineStr">
        <is>
          <t>M-200</t>
        </is>
      </c>
      <c r="B45" s="24" t="inlineStr">
        <is>
          <t>Mechanical</t>
        </is>
      </c>
      <c r="C45" s="24" t="inlineStr"/>
      <c r="D45" s="25" t="inlineStr">
        <is>
          <t>ZZ</t>
        </is>
      </c>
      <c r="E45" s="26" t="inlineStr">
        <is>
          <t>Mechanical model</t>
        </is>
      </c>
      <c r="F45" s="24" t="inlineStr">
        <is>
          <t>Model</t>
        </is>
      </c>
      <c r="G45" s="25" t="inlineStr">
        <is>
          <t>M3</t>
        </is>
      </c>
      <c r="H45" s="24" t="inlineStr">
        <is>
          <t>2.2 Deliverable B</t>
        </is>
      </c>
      <c r="I45" s="25" t="inlineStr">
        <is>
          <t>300</t>
        </is>
      </c>
      <c r="J45" s="24" t="inlineStr">
        <is>
          <t>RVT/IFC</t>
        </is>
      </c>
      <c r="K45" s="25" t="inlineStr">
        <is>
          <t>S2</t>
        </is>
      </c>
      <c r="L45" s="25" t="inlineStr">
        <is>
          <t>Shared</t>
        </is>
      </c>
      <c r="M45" s="25" t="n">
        <v>2</v>
      </c>
      <c r="N45" s="25" t="n">
        <v>4</v>
      </c>
      <c r="O45" s="27">
        <f>IF(Programme!$C$4="","",EOMONTH(Programme!$C$4,4))</f>
        <v/>
      </c>
      <c r="P45" s="27" t="n"/>
      <c r="Q45" s="28">
        <f>IF(AND(O45&lt;&gt;"",P45&lt;&gt;""),P45-O45,"")</f>
        <v/>
      </c>
      <c r="R45" s="24" t="inlineStr">
        <is>
          <t>MEP lead</t>
        </is>
      </c>
      <c r="S45" s="24" t="inlineStr">
        <is>
          <t>TIDP-M</t>
        </is>
      </c>
      <c r="T45" s="25" t="inlineStr">
        <is>
          <t>Y</t>
        </is>
      </c>
      <c r="U45" s="25" t="inlineStr">
        <is>
          <t>Y</t>
        </is>
      </c>
      <c r="V45" s="25" t="inlineStr">
        <is>
          <t>N</t>
        </is>
      </c>
      <c r="W45" s="25" t="inlineStr"/>
      <c r="X45" s="26" t="inlineStr">
        <is>
          <t>Real equipment; risers fixed</t>
        </is>
      </c>
    </row>
    <row r="46">
      <c r="A46" s="24" t="inlineStr">
        <is>
          <t>M-201</t>
        </is>
      </c>
      <c r="B46" s="24" t="inlineStr">
        <is>
          <t>Mechanical</t>
        </is>
      </c>
      <c r="C46" s="24" t="inlineStr"/>
      <c r="D46" s="25" t="inlineStr">
        <is>
          <t>ZZ</t>
        </is>
      </c>
      <c r="E46" s="26" t="inlineStr">
        <is>
          <t>HVAC layouts (50%)</t>
        </is>
      </c>
      <c r="F46" s="24" t="inlineStr">
        <is>
          <t>Drawing</t>
        </is>
      </c>
      <c r="G46" s="25" t="inlineStr">
        <is>
          <t>DR</t>
        </is>
      </c>
      <c r="H46" s="24" t="inlineStr">
        <is>
          <t>2.2 Deliverable B</t>
        </is>
      </c>
      <c r="I46" s="25" t="inlineStr">
        <is>
          <t>300</t>
        </is>
      </c>
      <c r="J46" s="24" t="inlineStr">
        <is>
          <t>PDF/DWG</t>
        </is>
      </c>
      <c r="K46" s="25" t="inlineStr">
        <is>
          <t>S2</t>
        </is>
      </c>
      <c r="L46" s="25" t="inlineStr">
        <is>
          <t>Shared</t>
        </is>
      </c>
      <c r="M46" s="25" t="n">
        <v>4</v>
      </c>
      <c r="N46" s="25" t="n">
        <v>4</v>
      </c>
      <c r="O46" s="27">
        <f>IF(Programme!$C$4="","",EOMONTH(Programme!$C$4,4))</f>
        <v/>
      </c>
      <c r="P46" s="27" t="n"/>
      <c r="Q46" s="28">
        <f>IF(AND(O46&lt;&gt;"",P46&lt;&gt;""),P46-O46,"")</f>
        <v/>
      </c>
      <c r="R46" s="24" t="inlineStr">
        <is>
          <t>MEP lead</t>
        </is>
      </c>
      <c r="S46" s="24" t="inlineStr">
        <is>
          <t>TIDP-M</t>
        </is>
      </c>
      <c r="T46" s="25" t="inlineStr">
        <is>
          <t>N</t>
        </is>
      </c>
      <c r="U46" s="25" t="inlineStr">
        <is>
          <t>Y</t>
        </is>
      </c>
      <c r="V46" s="25" t="inlineStr">
        <is>
          <t>N</t>
        </is>
      </c>
      <c r="W46" s="25" t="inlineStr"/>
      <c r="X46" s="26" t="inlineStr"/>
    </row>
    <row r="47">
      <c r="A47" s="24" t="inlineStr">
        <is>
          <t>E-200</t>
        </is>
      </c>
      <c r="B47" s="24" t="inlineStr">
        <is>
          <t>Electrical</t>
        </is>
      </c>
      <c r="C47" s="24" t="inlineStr"/>
      <c r="D47" s="25" t="inlineStr">
        <is>
          <t>ZZ</t>
        </is>
      </c>
      <c r="E47" s="26" t="inlineStr">
        <is>
          <t>Electrical model</t>
        </is>
      </c>
      <c r="F47" s="24" t="inlineStr">
        <is>
          <t>Model</t>
        </is>
      </c>
      <c r="G47" s="25" t="inlineStr">
        <is>
          <t>M3</t>
        </is>
      </c>
      <c r="H47" s="24" t="inlineStr">
        <is>
          <t>2.2 Deliverable B</t>
        </is>
      </c>
      <c r="I47" s="25" t="inlineStr">
        <is>
          <t>300</t>
        </is>
      </c>
      <c r="J47" s="24" t="inlineStr">
        <is>
          <t>RVT/IFC</t>
        </is>
      </c>
      <c r="K47" s="25" t="inlineStr">
        <is>
          <t>S2</t>
        </is>
      </c>
      <c r="L47" s="25" t="inlineStr">
        <is>
          <t>Shared</t>
        </is>
      </c>
      <c r="M47" s="25" t="n">
        <v>2</v>
      </c>
      <c r="N47" s="25" t="n">
        <v>4</v>
      </c>
      <c r="O47" s="27">
        <f>IF(Programme!$C$4="","",EOMONTH(Programme!$C$4,4))</f>
        <v/>
      </c>
      <c r="P47" s="27" t="n"/>
      <c r="Q47" s="28">
        <f>IF(AND(O47&lt;&gt;"",P47&lt;&gt;""),P47-O47,"")</f>
        <v/>
      </c>
      <c r="R47" s="24" t="inlineStr">
        <is>
          <t>MEP lead</t>
        </is>
      </c>
      <c r="S47" s="24" t="inlineStr">
        <is>
          <t>TIDP-E</t>
        </is>
      </c>
      <c r="T47" s="25" t="inlineStr">
        <is>
          <t>Y</t>
        </is>
      </c>
      <c r="U47" s="25" t="inlineStr">
        <is>
          <t>Y</t>
        </is>
      </c>
      <c r="V47" s="25" t="inlineStr">
        <is>
          <t>N</t>
        </is>
      </c>
      <c r="W47" s="25" t="inlineStr"/>
      <c r="X47" s="26" t="inlineStr">
        <is>
          <t>Power, lighting and containment routed; boards placed</t>
        </is>
      </c>
    </row>
    <row r="48">
      <c r="A48" s="24" t="inlineStr">
        <is>
          <t>E-201</t>
        </is>
      </c>
      <c r="B48" s="24" t="inlineStr">
        <is>
          <t>Electrical</t>
        </is>
      </c>
      <c r="C48" s="24" t="inlineStr"/>
      <c r="D48" s="25" t="inlineStr">
        <is>
          <t>ZZ</t>
        </is>
      </c>
      <c r="E48" s="26" t="inlineStr">
        <is>
          <t>Power and lighting layouts (50%)</t>
        </is>
      </c>
      <c r="F48" s="24" t="inlineStr">
        <is>
          <t>Drawing</t>
        </is>
      </c>
      <c r="G48" s="25" t="inlineStr">
        <is>
          <t>DR</t>
        </is>
      </c>
      <c r="H48" s="24" t="inlineStr">
        <is>
          <t>2.2 Deliverable B</t>
        </is>
      </c>
      <c r="I48" s="25" t="inlineStr">
        <is>
          <t>300</t>
        </is>
      </c>
      <c r="J48" s="24" t="inlineStr">
        <is>
          <t>PDF/DWG</t>
        </is>
      </c>
      <c r="K48" s="25" t="inlineStr">
        <is>
          <t>S2</t>
        </is>
      </c>
      <c r="L48" s="25" t="inlineStr">
        <is>
          <t>Shared</t>
        </is>
      </c>
      <c r="M48" s="25" t="n">
        <v>4</v>
      </c>
      <c r="N48" s="25" t="n">
        <v>4</v>
      </c>
      <c r="O48" s="27">
        <f>IF(Programme!$C$4="","",EOMONTH(Programme!$C$4,4))</f>
        <v/>
      </c>
      <c r="P48" s="27" t="n"/>
      <c r="Q48" s="28">
        <f>IF(AND(O48&lt;&gt;"",P48&lt;&gt;""),P48-O48,"")</f>
        <v/>
      </c>
      <c r="R48" s="24" t="inlineStr">
        <is>
          <t>MEP lead</t>
        </is>
      </c>
      <c r="S48" s="24" t="inlineStr">
        <is>
          <t>TIDP-E</t>
        </is>
      </c>
      <c r="T48" s="25" t="inlineStr">
        <is>
          <t>N</t>
        </is>
      </c>
      <c r="U48" s="25" t="inlineStr">
        <is>
          <t>Y</t>
        </is>
      </c>
      <c r="V48" s="25" t="inlineStr">
        <is>
          <t>N</t>
        </is>
      </c>
      <c r="W48" s="25" t="inlineStr"/>
      <c r="X48" s="26" t="inlineStr">
        <is>
          <t>Lighting layouts under role E (G-03)</t>
        </is>
      </c>
    </row>
    <row r="49">
      <c r="A49" s="24" t="inlineStr">
        <is>
          <t>P-200</t>
        </is>
      </c>
      <c r="B49" s="24" t="inlineStr">
        <is>
          <t>Public Health</t>
        </is>
      </c>
      <c r="C49" s="24" t="inlineStr"/>
      <c r="D49" s="25" t="inlineStr">
        <is>
          <t>ZZ</t>
        </is>
      </c>
      <c r="E49" s="26" t="inlineStr">
        <is>
          <t>Plumbing and drainage model</t>
        </is>
      </c>
      <c r="F49" s="24" t="inlineStr">
        <is>
          <t>Model</t>
        </is>
      </c>
      <c r="G49" s="25" t="inlineStr">
        <is>
          <t>M3</t>
        </is>
      </c>
      <c r="H49" s="24" t="inlineStr">
        <is>
          <t>2.2 Deliverable B</t>
        </is>
      </c>
      <c r="I49" s="25" t="inlineStr">
        <is>
          <t>300</t>
        </is>
      </c>
      <c r="J49" s="24" t="inlineStr">
        <is>
          <t>RVT/IFC</t>
        </is>
      </c>
      <c r="K49" s="25" t="inlineStr">
        <is>
          <t>S2</t>
        </is>
      </c>
      <c r="L49" s="25" t="inlineStr">
        <is>
          <t>Shared</t>
        </is>
      </c>
      <c r="M49" s="25" t="n">
        <v>2</v>
      </c>
      <c r="N49" s="25" t="n">
        <v>4</v>
      </c>
      <c r="O49" s="27">
        <f>IF(Programme!$C$4="","",EOMONTH(Programme!$C$4,4))</f>
        <v/>
      </c>
      <c r="P49" s="27" t="n"/>
      <c r="Q49" s="28">
        <f>IF(AND(O49&lt;&gt;"",P49&lt;&gt;""),P49-O49,"")</f>
        <v/>
      </c>
      <c r="R49" s="24" t="inlineStr">
        <is>
          <t>MEP lead</t>
        </is>
      </c>
      <c r="S49" s="24" t="inlineStr">
        <is>
          <t>TIDP-P</t>
        </is>
      </c>
      <c r="T49" s="25" t="inlineStr">
        <is>
          <t>Y</t>
        </is>
      </c>
      <c r="U49" s="25" t="inlineStr">
        <is>
          <t>Y</t>
        </is>
      </c>
      <c r="V49" s="25" t="inlineStr">
        <is>
          <t>N</t>
        </is>
      </c>
      <c r="W49" s="25" t="inlineStr"/>
      <c r="X49" s="26" t="inlineStr">
        <is>
          <t>Real pipework with code falls; fixtures placed</t>
        </is>
      </c>
    </row>
    <row r="50">
      <c r="A50" s="24" t="inlineStr">
        <is>
          <t>P-201</t>
        </is>
      </c>
      <c r="B50" s="24" t="inlineStr">
        <is>
          <t>Public Health</t>
        </is>
      </c>
      <c r="C50" s="24" t="inlineStr"/>
      <c r="D50" s="25" t="inlineStr">
        <is>
          <t>ZZ</t>
        </is>
      </c>
      <c r="E50" s="26" t="inlineStr">
        <is>
          <t>Plumbing and drainage layouts (50%)</t>
        </is>
      </c>
      <c r="F50" s="24" t="inlineStr">
        <is>
          <t>Drawing</t>
        </is>
      </c>
      <c r="G50" s="25" t="inlineStr">
        <is>
          <t>DR</t>
        </is>
      </c>
      <c r="H50" s="24" t="inlineStr">
        <is>
          <t>2.2 Deliverable B</t>
        </is>
      </c>
      <c r="I50" s="25" t="inlineStr">
        <is>
          <t>300</t>
        </is>
      </c>
      <c r="J50" s="24" t="inlineStr">
        <is>
          <t>PDF/DWG</t>
        </is>
      </c>
      <c r="K50" s="25" t="inlineStr">
        <is>
          <t>S2</t>
        </is>
      </c>
      <c r="L50" s="25" t="inlineStr">
        <is>
          <t>Shared</t>
        </is>
      </c>
      <c r="M50" s="25" t="n">
        <v>4</v>
      </c>
      <c r="N50" s="25" t="n">
        <v>4</v>
      </c>
      <c r="O50" s="27">
        <f>IF(Programme!$C$4="","",EOMONTH(Programme!$C$4,4))</f>
        <v/>
      </c>
      <c r="P50" s="27" t="n"/>
      <c r="Q50" s="28">
        <f>IF(AND(O50&lt;&gt;"",P50&lt;&gt;""),P50-O50,"")</f>
        <v/>
      </c>
      <c r="R50" s="24" t="inlineStr">
        <is>
          <t>MEP lead</t>
        </is>
      </c>
      <c r="S50" s="24" t="inlineStr">
        <is>
          <t>TIDP-P</t>
        </is>
      </c>
      <c r="T50" s="25" t="inlineStr">
        <is>
          <t>N</t>
        </is>
      </c>
      <c r="U50" s="25" t="inlineStr">
        <is>
          <t>Y</t>
        </is>
      </c>
      <c r="V50" s="25" t="inlineStr">
        <is>
          <t>N</t>
        </is>
      </c>
      <c r="W50" s="25" t="inlineStr"/>
      <c r="X50" s="26" t="inlineStr"/>
    </row>
    <row r="51">
      <c r="A51" s="24" t="inlineStr">
        <is>
          <t>FP-200</t>
        </is>
      </c>
      <c r="B51" s="24" t="inlineStr">
        <is>
          <t>Fire Protection</t>
        </is>
      </c>
      <c r="C51" s="24" t="inlineStr"/>
      <c r="D51" s="25" t="inlineStr">
        <is>
          <t>ZZ</t>
        </is>
      </c>
      <c r="E51" s="26" t="inlineStr">
        <is>
          <t>Fire strategy and suppression layout</t>
        </is>
      </c>
      <c r="F51" s="24" t="inlineStr">
        <is>
          <t>Model/Document</t>
        </is>
      </c>
      <c r="G51" s="25" t="inlineStr">
        <is>
          <t>M3</t>
        </is>
      </c>
      <c r="H51" s="24" t="inlineStr">
        <is>
          <t>2.2 Deliverable B</t>
        </is>
      </c>
      <c r="I51" s="25" t="inlineStr">
        <is>
          <t>300</t>
        </is>
      </c>
      <c r="J51" s="24" t="inlineStr">
        <is>
          <t>RVT/PDF</t>
        </is>
      </c>
      <c r="K51" s="25" t="inlineStr">
        <is>
          <t>S2</t>
        </is>
      </c>
      <c r="L51" s="25" t="inlineStr">
        <is>
          <t>Shared</t>
        </is>
      </c>
      <c r="M51" s="25" t="n">
        <v>2</v>
      </c>
      <c r="N51" s="25" t="n">
        <v>4</v>
      </c>
      <c r="O51" s="27">
        <f>IF(Programme!$C$4="","",EOMONTH(Programme!$C$4,4))</f>
        <v/>
      </c>
      <c r="P51" s="27" t="n"/>
      <c r="Q51" s="28">
        <f>IF(AND(O51&lt;&gt;"",P51&lt;&gt;""),P51-O51,"")</f>
        <v/>
      </c>
      <c r="R51" s="24" t="inlineStr">
        <is>
          <t>Fire lead</t>
        </is>
      </c>
      <c r="S51" s="24" t="inlineStr">
        <is>
          <t>TIDP-Y-FP</t>
        </is>
      </c>
      <c r="T51" s="25" t="inlineStr">
        <is>
          <t>Y</t>
        </is>
      </c>
      <c r="U51" s="25" t="inlineStr">
        <is>
          <t>Y</t>
        </is>
      </c>
      <c r="V51" s="25" t="inlineStr">
        <is>
          <t>N</t>
        </is>
      </c>
      <c r="W51" s="25" t="inlineStr"/>
      <c r="X51" s="26" t="inlineStr">
        <is>
          <t>Sprinkler and detection layout</t>
        </is>
      </c>
    </row>
    <row r="52">
      <c r="A52" s="24" t="inlineStr">
        <is>
          <t>LV-200</t>
        </is>
      </c>
      <c r="B52" s="24" t="inlineStr">
        <is>
          <t>Low Voltage</t>
        </is>
      </c>
      <c r="C52" s="24" t="inlineStr"/>
      <c r="D52" s="25" t="inlineStr">
        <is>
          <t>ZZ</t>
        </is>
      </c>
      <c r="E52" s="26" t="inlineStr">
        <is>
          <t>Low voltage containment and equipment rooms</t>
        </is>
      </c>
      <c r="F52" s="24" t="inlineStr">
        <is>
          <t>Model</t>
        </is>
      </c>
      <c r="G52" s="25" t="inlineStr">
        <is>
          <t>M3</t>
        </is>
      </c>
      <c r="H52" s="24" t="inlineStr">
        <is>
          <t>2.2 Deliverable B</t>
        </is>
      </c>
      <c r="I52" s="25" t="inlineStr">
        <is>
          <t>300</t>
        </is>
      </c>
      <c r="J52" s="24" t="inlineStr">
        <is>
          <t>RVT/IFC</t>
        </is>
      </c>
      <c r="K52" s="25" t="inlineStr">
        <is>
          <t>S2</t>
        </is>
      </c>
      <c r="L52" s="25" t="inlineStr">
        <is>
          <t>Shared</t>
        </is>
      </c>
      <c r="M52" s="25" t="n">
        <v>2</v>
      </c>
      <c r="N52" s="25" t="n">
        <v>4</v>
      </c>
      <c r="O52" s="27">
        <f>IF(Programme!$C$4="","",EOMONTH(Programme!$C$4,4))</f>
        <v/>
      </c>
      <c r="P52" s="27" t="n"/>
      <c r="Q52" s="28">
        <f>IF(AND(O52&lt;&gt;"",P52&lt;&gt;""),P52-O52,"")</f>
        <v/>
      </c>
      <c r="R52" s="24" t="inlineStr">
        <is>
          <t>LV lead</t>
        </is>
      </c>
      <c r="S52" s="24" t="inlineStr">
        <is>
          <t>TIDP-Y-LV</t>
        </is>
      </c>
      <c r="T52" s="25" t="inlineStr">
        <is>
          <t>Y</t>
        </is>
      </c>
      <c r="U52" s="25" t="inlineStr">
        <is>
          <t>Y</t>
        </is>
      </c>
      <c r="V52" s="25" t="inlineStr">
        <is>
          <t>N</t>
        </is>
      </c>
      <c r="W52" s="25" t="inlineStr"/>
      <c r="X52" s="26" t="inlineStr"/>
    </row>
    <row r="53">
      <c r="A53" s="24" t="inlineStr">
        <is>
          <t>G-200</t>
        </is>
      </c>
      <c r="B53" s="24" t="inlineStr">
        <is>
          <t>Civil and Site</t>
        </is>
      </c>
      <c r="C53" s="24" t="inlineStr"/>
      <c r="D53" s="25" t="inlineStr">
        <is>
          <t>00</t>
        </is>
      </c>
      <c r="E53" s="26" t="inlineStr">
        <is>
          <t>Site model</t>
        </is>
      </c>
      <c r="F53" s="24" t="inlineStr">
        <is>
          <t>Model</t>
        </is>
      </c>
      <c r="G53" s="25" t="inlineStr">
        <is>
          <t>M3</t>
        </is>
      </c>
      <c r="H53" s="24" t="inlineStr">
        <is>
          <t>2.2 Deliverable B</t>
        </is>
      </c>
      <c r="I53" s="25" t="inlineStr">
        <is>
          <t>300</t>
        </is>
      </c>
      <c r="J53" s="24" t="inlineStr">
        <is>
          <t>RVT/IFC</t>
        </is>
      </c>
      <c r="K53" s="25" t="inlineStr">
        <is>
          <t>S2</t>
        </is>
      </c>
      <c r="L53" s="25" t="inlineStr">
        <is>
          <t>Shared</t>
        </is>
      </c>
      <c r="M53" s="25" t="n">
        <v>2</v>
      </c>
      <c r="N53" s="25" t="n">
        <v>4</v>
      </c>
      <c r="O53" s="27">
        <f>IF(Programme!$C$4="","",EOMONTH(Programme!$C$4,4))</f>
        <v/>
      </c>
      <c r="P53" s="27" t="n"/>
      <c r="Q53" s="28">
        <f>IF(AND(O53&lt;&gt;"",P53&lt;&gt;""),P53-O53,"")</f>
        <v/>
      </c>
      <c r="R53" s="24" t="inlineStr">
        <is>
          <t>Civil lead</t>
        </is>
      </c>
      <c r="S53" s="24" t="inlineStr">
        <is>
          <t>TIDP-C</t>
        </is>
      </c>
      <c r="T53" s="25" t="inlineStr">
        <is>
          <t>Y</t>
        </is>
      </c>
      <c r="U53" s="25" t="inlineStr">
        <is>
          <t>Y</t>
        </is>
      </c>
      <c r="V53" s="25" t="inlineStr">
        <is>
          <t>N</t>
        </is>
      </c>
      <c r="W53" s="25" t="inlineStr"/>
      <c r="X53" s="26" t="inlineStr">
        <is>
          <t>Real site model; drainage and access</t>
        </is>
      </c>
    </row>
    <row r="54">
      <c r="A54" s="24" t="inlineStr">
        <is>
          <t>G-201</t>
        </is>
      </c>
      <c r="B54" s="24" t="inlineStr">
        <is>
          <t>Civil and Site</t>
        </is>
      </c>
      <c r="C54" s="24" t="inlineStr"/>
      <c r="D54" s="25" t="inlineStr">
        <is>
          <t>00</t>
        </is>
      </c>
      <c r="E54" s="26" t="inlineStr">
        <is>
          <t>Site and drainage drawings (50%)</t>
        </is>
      </c>
      <c r="F54" s="24" t="inlineStr">
        <is>
          <t>Drawing</t>
        </is>
      </c>
      <c r="G54" s="25" t="inlineStr">
        <is>
          <t>DR</t>
        </is>
      </c>
      <c r="H54" s="24" t="inlineStr">
        <is>
          <t>2.2 Deliverable B</t>
        </is>
      </c>
      <c r="I54" s="25" t="inlineStr">
        <is>
          <t>300</t>
        </is>
      </c>
      <c r="J54" s="24" t="inlineStr">
        <is>
          <t>PDF/DWG</t>
        </is>
      </c>
      <c r="K54" s="25" t="inlineStr">
        <is>
          <t>S2</t>
        </is>
      </c>
      <c r="L54" s="25" t="inlineStr">
        <is>
          <t>Shared</t>
        </is>
      </c>
      <c r="M54" s="25" t="n">
        <v>4</v>
      </c>
      <c r="N54" s="25" t="n">
        <v>4</v>
      </c>
      <c r="O54" s="27">
        <f>IF(Programme!$C$4="","",EOMONTH(Programme!$C$4,4))</f>
        <v/>
      </c>
      <c r="P54" s="27" t="n"/>
      <c r="Q54" s="28">
        <f>IF(AND(O54&lt;&gt;"",P54&lt;&gt;""),P54-O54,"")</f>
        <v/>
      </c>
      <c r="R54" s="24" t="inlineStr">
        <is>
          <t>Civil lead</t>
        </is>
      </c>
      <c r="S54" s="24" t="inlineStr">
        <is>
          <t>TIDP-C</t>
        </is>
      </c>
      <c r="T54" s="25" t="inlineStr">
        <is>
          <t>N</t>
        </is>
      </c>
      <c r="U54" s="25" t="inlineStr">
        <is>
          <t>Y</t>
        </is>
      </c>
      <c r="V54" s="25" t="inlineStr">
        <is>
          <t>N</t>
        </is>
      </c>
      <c r="W54" s="25" t="inlineStr"/>
      <c r="X54" s="26" t="inlineStr"/>
    </row>
    <row r="55">
      <c r="A55" s="24" t="inlineStr">
        <is>
          <t>Z-210</t>
        </is>
      </c>
      <c r="B55" s="24" t="inlineStr">
        <is>
          <t>Information Management</t>
        </is>
      </c>
      <c r="C55" s="24" t="inlineStr"/>
      <c r="D55" s="25" t="inlineStr">
        <is>
          <t>ZZ</t>
        </is>
      </c>
      <c r="E55" s="26" t="inlineStr">
        <is>
          <t>Coordination reports (fortnightly) and Deliverable B clash close-out</t>
        </is>
      </c>
      <c r="F55" s="24" t="inlineStr">
        <is>
          <t>Report</t>
        </is>
      </c>
      <c r="G55" s="25" t="inlineStr">
        <is>
          <t>CR</t>
        </is>
      </c>
      <c r="H55" s="24" t="inlineStr">
        <is>
          <t>2.2 Deliverable B</t>
        </is>
      </c>
      <c r="I55" s="25" t="inlineStr">
        <is>
          <t>300</t>
        </is>
      </c>
      <c r="J55" s="24" t="inlineStr">
        <is>
          <t>PDF/BCF</t>
        </is>
      </c>
      <c r="K55" s="25" t="inlineStr">
        <is>
          <t>S2</t>
        </is>
      </c>
      <c r="L55" s="25" t="inlineStr">
        <is>
          <t>Shared</t>
        </is>
      </c>
      <c r="M55" s="25" t="n">
        <v>2</v>
      </c>
      <c r="N55" s="25" t="n">
        <v>4</v>
      </c>
      <c r="O55" s="27">
        <f>IF(Programme!$C$4="","",EOMONTH(Programme!$C$4,4))</f>
        <v/>
      </c>
      <c r="P55" s="27" t="n"/>
      <c r="Q55" s="28">
        <f>IF(AND(O55&lt;&gt;"",P55&lt;&gt;""),P55-O55,"")</f>
        <v/>
      </c>
      <c r="R55" s="24" t="inlineStr">
        <is>
          <t>Information Manager</t>
        </is>
      </c>
      <c r="S55" s="24" t="inlineStr">
        <is>
          <t>TIDP-Z</t>
        </is>
      </c>
      <c r="T55" s="25" t="inlineStr">
        <is>
          <t>N</t>
        </is>
      </c>
      <c r="U55" s="25" t="inlineStr">
        <is>
          <t>N</t>
        </is>
      </c>
      <c r="V55" s="25" t="inlineStr">
        <is>
          <t>N</t>
        </is>
      </c>
      <c r="W55" s="25" t="inlineStr"/>
      <c r="X55" s="26" t="inlineStr">
        <is>
          <t>No unresolved high-priority clashes at the gate</t>
        </is>
      </c>
    </row>
    <row r="56">
      <c r="A56" s="24" t="inlineStr">
        <is>
          <t>Z-211</t>
        </is>
      </c>
      <c r="B56" s="24" t="inlineStr">
        <is>
          <t>Information Management</t>
        </is>
      </c>
      <c r="C56" s="24" t="inlineStr"/>
      <c r="D56" s="25" t="inlineStr">
        <is>
          <t>ZZ</t>
        </is>
      </c>
      <c r="E56" s="26" t="inlineStr">
        <is>
          <t>Federated model</t>
        </is>
      </c>
      <c r="F56" s="24" t="inlineStr">
        <is>
          <t>Model</t>
        </is>
      </c>
      <c r="G56" s="25" t="inlineStr">
        <is>
          <t>M3</t>
        </is>
      </c>
      <c r="H56" s="24" t="inlineStr">
        <is>
          <t>2.2 Deliverable B</t>
        </is>
      </c>
      <c r="I56" s="25" t="inlineStr">
        <is>
          <t>300</t>
        </is>
      </c>
      <c r="J56" s="24" t="inlineStr">
        <is>
          <t>NWC/NWD/IFC</t>
        </is>
      </c>
      <c r="K56" s="25" t="inlineStr">
        <is>
          <t>S2</t>
        </is>
      </c>
      <c r="L56" s="25" t="inlineStr">
        <is>
          <t>Shared</t>
        </is>
      </c>
      <c r="M56" s="25" t="n">
        <v>4</v>
      </c>
      <c r="N56" s="25" t="n">
        <v>4</v>
      </c>
      <c r="O56" s="27">
        <f>IF(Programme!$C$4="","",EOMONTH(Programme!$C$4,4))</f>
        <v/>
      </c>
      <c r="P56" s="27" t="n"/>
      <c r="Q56" s="28">
        <f>IF(AND(O56&lt;&gt;"",P56&lt;&gt;""),P56-O56,"")</f>
        <v/>
      </c>
      <c r="R56" s="24" t="inlineStr">
        <is>
          <t>Information Manager</t>
        </is>
      </c>
      <c r="S56" s="24" t="inlineStr">
        <is>
          <t>TIDP-Z</t>
        </is>
      </c>
      <c r="T56" s="25" t="inlineStr">
        <is>
          <t>Y</t>
        </is>
      </c>
      <c r="U56" s="25" t="inlineStr">
        <is>
          <t>Y</t>
        </is>
      </c>
      <c r="V56" s="25" t="inlineStr">
        <is>
          <t>N</t>
        </is>
      </c>
      <c r="W56" s="25" t="inlineStr"/>
      <c r="X56" s="26" t="inlineStr">
        <is>
          <t>Milestone NWD archived</t>
        </is>
      </c>
    </row>
    <row r="57">
      <c r="A57" s="24" t="inlineStr">
        <is>
          <t>Z-212</t>
        </is>
      </c>
      <c r="B57" s="24" t="inlineStr">
        <is>
          <t>QS / Cost</t>
        </is>
      </c>
      <c r="C57" s="24" t="inlineStr"/>
      <c r="D57" s="25" t="inlineStr">
        <is>
          <t>ZZ</t>
        </is>
      </c>
      <c r="E57" s="26" t="inlineStr">
        <is>
          <t>Bill of quantities (preliminary)</t>
        </is>
      </c>
      <c r="F57" s="24" t="inlineStr">
        <is>
          <t>Schedule</t>
        </is>
      </c>
      <c r="G57" s="25" t="inlineStr">
        <is>
          <t>CP</t>
        </is>
      </c>
      <c r="H57" s="24" t="inlineStr">
        <is>
          <t>2.2 Deliverable B</t>
        </is>
      </c>
      <c r="I57" s="25" t="inlineStr">
        <is>
          <t>300</t>
        </is>
      </c>
      <c r="J57" s="24" t="inlineStr">
        <is>
          <t>XLSX</t>
        </is>
      </c>
      <c r="K57" s="25" t="inlineStr">
        <is>
          <t>S2</t>
        </is>
      </c>
      <c r="L57" s="25" t="inlineStr">
        <is>
          <t>Shared</t>
        </is>
      </c>
      <c r="M57" s="25" t="n">
        <v>4</v>
      </c>
      <c r="N57" s="25" t="n">
        <v>4</v>
      </c>
      <c r="O57" s="27">
        <f>IF(Programme!$C$4="","",EOMONTH(Programme!$C$4,4))</f>
        <v/>
      </c>
      <c r="P57" s="27" t="n"/>
      <c r="Q57" s="28">
        <f>IF(AND(O57&lt;&gt;"",P57&lt;&gt;""),P57-O57,"")</f>
        <v/>
      </c>
      <c r="R57" s="24" t="inlineStr">
        <is>
          <t>Quantity Surveyor</t>
        </is>
      </c>
      <c r="S57" s="24" t="inlineStr">
        <is>
          <t>TIDP-Q</t>
        </is>
      </c>
      <c r="T57" s="25" t="inlineStr">
        <is>
          <t>Y</t>
        </is>
      </c>
      <c r="U57" s="25" t="inlineStr">
        <is>
          <t>N</t>
        </is>
      </c>
      <c r="V57" s="25" t="inlineStr">
        <is>
          <t>Y</t>
        </is>
      </c>
      <c r="W57" s="25" t="inlineStr"/>
      <c r="X57" s="26" t="inlineStr">
        <is>
          <t>Derived from the coordinated models by the QS</t>
        </is>
      </c>
    </row>
    <row r="58">
      <c r="A58" s="24" t="inlineStr">
        <is>
          <t>FF-200</t>
        </is>
      </c>
      <c r="B58" s="24" t="inlineStr">
        <is>
          <t>FF&amp;E</t>
        </is>
      </c>
      <c r="C58" s="24" t="inlineStr"/>
      <c r="D58" s="25" t="inlineStr">
        <is>
          <t>ZZ</t>
        </is>
      </c>
      <c r="E58" s="26" t="inlineStr">
        <is>
          <t>FF&amp;E and finishes register (first Fohlio exchange)</t>
        </is>
      </c>
      <c r="F58" s="24" t="inlineStr">
        <is>
          <t>Schedule</t>
        </is>
      </c>
      <c r="G58" s="25" t="inlineStr">
        <is>
          <t>SH</t>
        </is>
      </c>
      <c r="H58" s="24" t="inlineStr">
        <is>
          <t>2.2 Deliverable B</t>
        </is>
      </c>
      <c r="I58" s="25" t="inlineStr">
        <is>
          <t>300</t>
        </is>
      </c>
      <c r="J58" s="24" t="inlineStr">
        <is>
          <t>CSV/XLSX</t>
        </is>
      </c>
      <c r="K58" s="25" t="inlineStr">
        <is>
          <t>S2</t>
        </is>
      </c>
      <c r="L58" s="25" t="inlineStr">
        <is>
          <t>Shared</t>
        </is>
      </c>
      <c r="M58" s="25" t="n">
        <v>4</v>
      </c>
      <c r="N58" s="25" t="n">
        <v>4</v>
      </c>
      <c r="O58" s="27">
        <f>IF(Programme!$C$4="","",EOMONTH(Programme!$C$4,4))</f>
        <v/>
      </c>
      <c r="P58" s="27" t="n"/>
      <c r="Q58" s="28">
        <f>IF(AND(O58&lt;&gt;"",P58&lt;&gt;""),P58-O58,"")</f>
        <v/>
      </c>
      <c r="R58" s="24" t="inlineStr">
        <is>
          <t>Interior Designer</t>
        </is>
      </c>
      <c r="S58" s="24" t="inlineStr">
        <is>
          <t>TIDP-I</t>
        </is>
      </c>
      <c r="T58" s="25" t="inlineStr">
        <is>
          <t>N</t>
        </is>
      </c>
      <c r="U58" s="25" t="inlineStr">
        <is>
          <t>N</t>
        </is>
      </c>
      <c r="V58" s="25" t="inlineStr">
        <is>
          <t>Y</t>
        </is>
      </c>
      <c r="W58" s="25" t="inlineStr"/>
      <c r="X58" s="26" t="inlineStr">
        <is>
          <t>Matched on room number</t>
        </is>
      </c>
    </row>
    <row r="59">
      <c r="A59" s="24" t="inlineStr">
        <is>
          <t>Z-213</t>
        </is>
      </c>
      <c r="B59" s="24" t="inlineStr">
        <is>
          <t>Information Management</t>
        </is>
      </c>
      <c r="C59" s="24" t="inlineStr"/>
      <c r="D59" s="25" t="inlineStr">
        <is>
          <t>ZZ</t>
        </is>
      </c>
      <c r="E59" s="26" t="inlineStr">
        <is>
          <t>Deliverable B gate pack, LOD 300 verification and compliance report</t>
        </is>
      </c>
      <c r="F59" s="24" t="inlineStr">
        <is>
          <t>Document</t>
        </is>
      </c>
      <c r="G59" s="25" t="inlineStr">
        <is>
          <t>RP</t>
        </is>
      </c>
      <c r="H59" s="24" t="inlineStr">
        <is>
          <t>2.2 Deliverable B</t>
        </is>
      </c>
      <c r="I59" s="25" t="inlineStr">
        <is>
          <t>300</t>
        </is>
      </c>
      <c r="J59" s="24" t="inlineStr">
        <is>
          <t>PDF</t>
        </is>
      </c>
      <c r="K59" s="25" t="inlineStr">
        <is>
          <t>S4</t>
        </is>
      </c>
      <c r="L59" s="25" t="inlineStr">
        <is>
          <t>Shared</t>
        </is>
      </c>
      <c r="M59" s="25" t="n">
        <v>4</v>
      </c>
      <c r="N59" s="25" t="n">
        <v>4</v>
      </c>
      <c r="O59" s="27">
        <f>IF(Programme!$C$4="","",EOMONTH(Programme!$C$4,4))</f>
        <v/>
      </c>
      <c r="P59" s="27" t="n"/>
      <c r="Q59" s="28">
        <f>IF(AND(O59&lt;&gt;"",P59&lt;&gt;""),P59-O59,"")</f>
        <v/>
      </c>
      <c r="R59" s="24" t="inlineStr">
        <is>
          <t>Information Manager</t>
        </is>
      </c>
      <c r="S59" s="24" t="inlineStr">
        <is>
          <t>TIDP-Z</t>
        </is>
      </c>
      <c r="T59" s="25" t="inlineStr">
        <is>
          <t>Y</t>
        </is>
      </c>
      <c r="U59" s="25" t="inlineStr">
        <is>
          <t>N</t>
        </is>
      </c>
      <c r="V59" s="25" t="inlineStr">
        <is>
          <t>N</t>
        </is>
      </c>
      <c r="W59" s="25" t="inlineStr"/>
      <c r="X59" s="26" t="inlineStr"/>
    </row>
    <row r="60">
      <c r="A60" s="24" t="inlineStr">
        <is>
          <t>Z-214</t>
        </is>
      </c>
      <c r="B60" s="24" t="inlineStr">
        <is>
          <t>Information Management</t>
        </is>
      </c>
      <c r="C60" s="24" t="inlineStr"/>
      <c r="D60" s="25" t="inlineStr">
        <is>
          <t>ZZ</t>
        </is>
      </c>
      <c r="E60" s="26" t="inlineStr">
        <is>
          <t>Deliverable B Owner review set and comment close-out report</t>
        </is>
      </c>
      <c r="F60" s="24" t="inlineStr">
        <is>
          <t>Document</t>
        </is>
      </c>
      <c r="G60" s="25" t="inlineStr">
        <is>
          <t>RP</t>
        </is>
      </c>
      <c r="H60" s="24" t="inlineStr">
        <is>
          <t>2.2 Deliverable B</t>
        </is>
      </c>
      <c r="I60" s="25" t="inlineStr">
        <is>
          <t>300</t>
        </is>
      </c>
      <c r="J60" s="24" t="inlineStr">
        <is>
          <t>PDF</t>
        </is>
      </c>
      <c r="K60" s="25" t="inlineStr">
        <is>
          <t>S3</t>
        </is>
      </c>
      <c r="L60" s="25" t="inlineStr">
        <is>
          <t>Shared</t>
        </is>
      </c>
      <c r="M60" s="25" t="n">
        <v>4</v>
      </c>
      <c r="N60" s="25" t="n">
        <v>5</v>
      </c>
      <c r="O60" s="27">
        <f>IF(Programme!$C$4="","",EOMONTH(Programme!$C$4,5))</f>
        <v/>
      </c>
      <c r="P60" s="27" t="n"/>
      <c r="Q60" s="28">
        <f>IF(AND(O60&lt;&gt;"",P60&lt;&gt;""),P60-O60,"")</f>
        <v/>
      </c>
      <c r="R60" s="24" t="inlineStr">
        <is>
          <t>Information Manager</t>
        </is>
      </c>
      <c r="S60" s="24" t="inlineStr">
        <is>
          <t>TIDP-Z</t>
        </is>
      </c>
      <c r="T60" s="25" t="inlineStr">
        <is>
          <t>Y</t>
        </is>
      </c>
      <c r="U60" s="25" t="inlineStr">
        <is>
          <t>N</t>
        </is>
      </c>
      <c r="V60" s="25" t="inlineStr">
        <is>
          <t>N</t>
        </is>
      </c>
      <c r="W60" s="25" t="inlineStr"/>
      <c r="X60" s="26" t="inlineStr"/>
    </row>
    <row r="61">
      <c r="A61" s="24" t="inlineStr">
        <is>
          <t>A-300</t>
        </is>
      </c>
      <c r="B61" s="24" t="inlineStr">
        <is>
          <t>Architecture</t>
        </is>
      </c>
      <c r="C61" s="24" t="inlineStr"/>
      <c r="D61" s="25" t="inlineStr">
        <is>
          <t>ZZ</t>
        </is>
      </c>
      <c r="E61" s="26" t="inlineStr">
        <is>
          <t>Architectural model</t>
        </is>
      </c>
      <c r="F61" s="24" t="inlineStr">
        <is>
          <t>Model</t>
        </is>
      </c>
      <c r="G61" s="25" t="inlineStr">
        <is>
          <t>M3</t>
        </is>
      </c>
      <c r="H61" s="24" t="inlineStr">
        <is>
          <t>2.3 Deliverable C</t>
        </is>
      </c>
      <c r="I61" s="25" t="inlineStr">
        <is>
          <t>350</t>
        </is>
      </c>
      <c r="J61" s="24" t="inlineStr">
        <is>
          <t>RVT/IFC</t>
        </is>
      </c>
      <c r="K61" s="25" t="inlineStr">
        <is>
          <t>S4</t>
        </is>
      </c>
      <c r="L61" s="25" t="inlineStr">
        <is>
          <t>Shared</t>
        </is>
      </c>
      <c r="M61" s="25" t="n">
        <v>5</v>
      </c>
      <c r="N61" s="25" t="n">
        <v>8</v>
      </c>
      <c r="O61" s="27">
        <f>IF(Programme!$C$4="","",EOMONTH(Programme!$C$4,8))</f>
        <v/>
      </c>
      <c r="P61" s="27" t="n"/>
      <c r="Q61" s="28">
        <f>IF(AND(O61&lt;&gt;"",P61&lt;&gt;""),P61-O61,"")</f>
        <v/>
      </c>
      <c r="R61" s="24" t="inlineStr">
        <is>
          <t>Architecture lead</t>
        </is>
      </c>
      <c r="S61" s="24" t="inlineStr">
        <is>
          <t>TIDP-A</t>
        </is>
      </c>
      <c r="T61" s="25" t="inlineStr">
        <is>
          <t>Y</t>
        </is>
      </c>
      <c r="U61" s="25" t="inlineStr">
        <is>
          <t>Y</t>
        </is>
      </c>
      <c r="V61" s="25" t="inlineStr">
        <is>
          <t>N</t>
        </is>
      </c>
      <c r="W61" s="25" t="inlineStr"/>
      <c r="X61" s="26" t="inlineStr">
        <is>
          <t>Interfaces resolved</t>
        </is>
      </c>
    </row>
    <row r="62">
      <c r="A62" s="24" t="inlineStr">
        <is>
          <t>A-301</t>
        </is>
      </c>
      <c r="B62" s="24" t="inlineStr">
        <is>
          <t>Architecture</t>
        </is>
      </c>
      <c r="C62" s="24" t="inlineStr"/>
      <c r="D62" s="25" t="inlineStr">
        <is>
          <t>ZZ</t>
        </is>
      </c>
      <c r="E62" s="26" t="inlineStr">
        <is>
          <t>Full drawing set (100%) and details</t>
        </is>
      </c>
      <c r="F62" s="24" t="inlineStr">
        <is>
          <t>Drawing</t>
        </is>
      </c>
      <c r="G62" s="25" t="inlineStr">
        <is>
          <t>DR</t>
        </is>
      </c>
      <c r="H62" s="24" t="inlineStr">
        <is>
          <t>2.3 Deliverable C</t>
        </is>
      </c>
      <c r="I62" s="25" t="inlineStr">
        <is>
          <t>350</t>
        </is>
      </c>
      <c r="J62" s="24" t="inlineStr">
        <is>
          <t>PDF/DWG</t>
        </is>
      </c>
      <c r="K62" s="25" t="inlineStr">
        <is>
          <t>S4</t>
        </is>
      </c>
      <c r="L62" s="25" t="inlineStr">
        <is>
          <t>Shared</t>
        </is>
      </c>
      <c r="M62" s="25" t="n">
        <v>8</v>
      </c>
      <c r="N62" s="25" t="n">
        <v>8</v>
      </c>
      <c r="O62" s="27">
        <f>IF(Programme!$C$4="","",EOMONTH(Programme!$C$4,8))</f>
        <v/>
      </c>
      <c r="P62" s="27" t="n"/>
      <c r="Q62" s="28">
        <f>IF(AND(O62&lt;&gt;"",P62&lt;&gt;""),P62-O62,"")</f>
        <v/>
      </c>
      <c r="R62" s="24" t="inlineStr">
        <is>
          <t>Architecture lead</t>
        </is>
      </c>
      <c r="S62" s="24" t="inlineStr">
        <is>
          <t>TIDP-A</t>
        </is>
      </c>
      <c r="T62" s="25" t="inlineStr">
        <is>
          <t>Y</t>
        </is>
      </c>
      <c r="U62" s="25" t="inlineStr">
        <is>
          <t>Y</t>
        </is>
      </c>
      <c r="V62" s="25" t="inlineStr">
        <is>
          <t>N</t>
        </is>
      </c>
      <c r="W62" s="25" t="inlineStr"/>
      <c r="X62" s="26" t="inlineStr"/>
    </row>
    <row r="63">
      <c r="A63" s="24" t="inlineStr">
        <is>
          <t>A-302</t>
        </is>
      </c>
      <c r="B63" s="24" t="inlineStr">
        <is>
          <t>Architecture</t>
        </is>
      </c>
      <c r="C63" s="24" t="inlineStr"/>
      <c r="D63" s="25" t="inlineStr">
        <is>
          <t>ZZ</t>
        </is>
      </c>
      <c r="E63" s="26" t="inlineStr">
        <is>
          <t>Room data sheets (complete)</t>
        </is>
      </c>
      <c r="F63" s="24" t="inlineStr">
        <is>
          <t>Room data sheet</t>
        </is>
      </c>
      <c r="G63" s="25" t="inlineStr">
        <is>
          <t>RD</t>
        </is>
      </c>
      <c r="H63" s="24" t="inlineStr">
        <is>
          <t>2.3 Deliverable C</t>
        </is>
      </c>
      <c r="I63" s="25" t="inlineStr">
        <is>
          <t>350</t>
        </is>
      </c>
      <c r="J63" s="24" t="inlineStr">
        <is>
          <t>PDF</t>
        </is>
      </c>
      <c r="K63" s="25" t="inlineStr">
        <is>
          <t>S4</t>
        </is>
      </c>
      <c r="L63" s="25" t="inlineStr">
        <is>
          <t>Shared</t>
        </is>
      </c>
      <c r="M63" s="25" t="n">
        <v>8</v>
      </c>
      <c r="N63" s="25" t="n">
        <v>8</v>
      </c>
      <c r="O63" s="27">
        <f>IF(Programme!$C$4="","",EOMONTH(Programme!$C$4,8))</f>
        <v/>
      </c>
      <c r="P63" s="27" t="n"/>
      <c r="Q63" s="28">
        <f>IF(AND(O63&lt;&gt;"",P63&lt;&gt;""),P63-O63,"")</f>
        <v/>
      </c>
      <c r="R63" s="24" t="inlineStr">
        <is>
          <t>Architecture lead</t>
        </is>
      </c>
      <c r="S63" s="24" t="inlineStr">
        <is>
          <t>TIDP-A</t>
        </is>
      </c>
      <c r="T63" s="25" t="inlineStr">
        <is>
          <t>N</t>
        </is>
      </c>
      <c r="U63" s="25" t="inlineStr">
        <is>
          <t>N</t>
        </is>
      </c>
      <c r="V63" s="25" t="inlineStr">
        <is>
          <t>N</t>
        </is>
      </c>
      <c r="W63" s="25" t="inlineStr"/>
      <c r="X63" s="26" t="inlineStr">
        <is>
          <t>Generated from the reconciled Fohlio data</t>
        </is>
      </c>
    </row>
    <row r="64">
      <c r="A64" s="24" t="inlineStr">
        <is>
          <t>S-300</t>
        </is>
      </c>
      <c r="B64" s="24" t="inlineStr">
        <is>
          <t>Structure</t>
        </is>
      </c>
      <c r="C64" s="24" t="inlineStr"/>
      <c r="D64" s="25" t="inlineStr">
        <is>
          <t>ZZ</t>
        </is>
      </c>
      <c r="E64" s="26" t="inlineStr">
        <is>
          <t>Structural model</t>
        </is>
      </c>
      <c r="F64" s="24" t="inlineStr">
        <is>
          <t>Model</t>
        </is>
      </c>
      <c r="G64" s="25" t="inlineStr">
        <is>
          <t>M3</t>
        </is>
      </c>
      <c r="H64" s="24" t="inlineStr">
        <is>
          <t>2.3 Deliverable C</t>
        </is>
      </c>
      <c r="I64" s="25" t="inlineStr">
        <is>
          <t>350</t>
        </is>
      </c>
      <c r="J64" s="24" t="inlineStr">
        <is>
          <t>RVT/IFC</t>
        </is>
      </c>
      <c r="K64" s="25" t="inlineStr">
        <is>
          <t>S4</t>
        </is>
      </c>
      <c r="L64" s="25" t="inlineStr">
        <is>
          <t>Shared</t>
        </is>
      </c>
      <c r="M64" s="25" t="n">
        <v>5</v>
      </c>
      <c r="N64" s="25" t="n">
        <v>8</v>
      </c>
      <c r="O64" s="27">
        <f>IF(Programme!$C$4="","",EOMONTH(Programme!$C$4,8))</f>
        <v/>
      </c>
      <c r="P64" s="27" t="n"/>
      <c r="Q64" s="28">
        <f>IF(AND(O64&lt;&gt;"",P64&lt;&gt;""),P64-O64,"")</f>
        <v/>
      </c>
      <c r="R64" s="24" t="inlineStr">
        <is>
          <t>Structural lead</t>
        </is>
      </c>
      <c r="S64" s="24" t="inlineStr">
        <is>
          <t>TIDP-S</t>
        </is>
      </c>
      <c r="T64" s="25" t="inlineStr">
        <is>
          <t>Y</t>
        </is>
      </c>
      <c r="U64" s="25" t="inlineStr">
        <is>
          <t>Y</t>
        </is>
      </c>
      <c r="V64" s="25" t="inlineStr">
        <is>
          <t>N</t>
        </is>
      </c>
      <c r="W64" s="25" t="inlineStr"/>
      <c r="X64" s="26" t="inlineStr">
        <is>
          <t>Connections resolved</t>
        </is>
      </c>
    </row>
    <row r="65">
      <c r="A65" s="24" t="inlineStr">
        <is>
          <t>S-301</t>
        </is>
      </c>
      <c r="B65" s="24" t="inlineStr">
        <is>
          <t>Structure</t>
        </is>
      </c>
      <c r="C65" s="24" t="inlineStr"/>
      <c r="D65" s="25" t="inlineStr">
        <is>
          <t>ZZ</t>
        </is>
      </c>
      <c r="E65" s="26" t="inlineStr">
        <is>
          <t>Structural drawing set (100%)</t>
        </is>
      </c>
      <c r="F65" s="24" t="inlineStr">
        <is>
          <t>Drawing</t>
        </is>
      </c>
      <c r="G65" s="25" t="inlineStr">
        <is>
          <t>DR</t>
        </is>
      </c>
      <c r="H65" s="24" t="inlineStr">
        <is>
          <t>2.3 Deliverable C</t>
        </is>
      </c>
      <c r="I65" s="25" t="inlineStr">
        <is>
          <t>350</t>
        </is>
      </c>
      <c r="J65" s="24" t="inlineStr">
        <is>
          <t>PDF/DWG</t>
        </is>
      </c>
      <c r="K65" s="25" t="inlineStr">
        <is>
          <t>S4</t>
        </is>
      </c>
      <c r="L65" s="25" t="inlineStr">
        <is>
          <t>Shared</t>
        </is>
      </c>
      <c r="M65" s="25" t="n">
        <v>8</v>
      </c>
      <c r="N65" s="25" t="n">
        <v>8</v>
      </c>
      <c r="O65" s="27">
        <f>IF(Programme!$C$4="","",EOMONTH(Programme!$C$4,8))</f>
        <v/>
      </c>
      <c r="P65" s="27" t="n"/>
      <c r="Q65" s="28">
        <f>IF(AND(O65&lt;&gt;"",P65&lt;&gt;""),P65-O65,"")</f>
        <v/>
      </c>
      <c r="R65" s="24" t="inlineStr">
        <is>
          <t>Structural lead</t>
        </is>
      </c>
      <c r="S65" s="24" t="inlineStr">
        <is>
          <t>TIDP-S</t>
        </is>
      </c>
      <c r="T65" s="25" t="inlineStr">
        <is>
          <t>Y</t>
        </is>
      </c>
      <c r="U65" s="25" t="inlineStr">
        <is>
          <t>Y</t>
        </is>
      </c>
      <c r="V65" s="25" t="inlineStr">
        <is>
          <t>N</t>
        </is>
      </c>
      <c r="W65" s="25" t="inlineStr"/>
      <c r="X65" s="26" t="inlineStr"/>
    </row>
    <row r="66">
      <c r="A66" s="24" t="inlineStr">
        <is>
          <t>M-300</t>
        </is>
      </c>
      <c r="B66" s="24" t="inlineStr">
        <is>
          <t>Mechanical</t>
        </is>
      </c>
      <c r="C66" s="24" t="inlineStr"/>
      <c r="D66" s="25" t="inlineStr">
        <is>
          <t>ZZ</t>
        </is>
      </c>
      <c r="E66" s="26" t="inlineStr">
        <is>
          <t>Mechanical model</t>
        </is>
      </c>
      <c r="F66" s="24" t="inlineStr">
        <is>
          <t>Model</t>
        </is>
      </c>
      <c r="G66" s="25" t="inlineStr">
        <is>
          <t>M3</t>
        </is>
      </c>
      <c r="H66" s="24" t="inlineStr">
        <is>
          <t>2.3 Deliverable C</t>
        </is>
      </c>
      <c r="I66" s="25" t="inlineStr">
        <is>
          <t>350</t>
        </is>
      </c>
      <c r="J66" s="24" t="inlineStr">
        <is>
          <t>RVT/IFC</t>
        </is>
      </c>
      <c r="K66" s="25" t="inlineStr">
        <is>
          <t>S4</t>
        </is>
      </c>
      <c r="L66" s="25" t="inlineStr">
        <is>
          <t>Shared</t>
        </is>
      </c>
      <c r="M66" s="25" t="n">
        <v>5</v>
      </c>
      <c r="N66" s="25" t="n">
        <v>8</v>
      </c>
      <c r="O66" s="27">
        <f>IF(Programme!$C$4="","",EOMONTH(Programme!$C$4,8))</f>
        <v/>
      </c>
      <c r="P66" s="27" t="n"/>
      <c r="Q66" s="28">
        <f>IF(AND(O66&lt;&gt;"",P66&lt;&gt;""),P66-O66,"")</f>
        <v/>
      </c>
      <c r="R66" s="24" t="inlineStr">
        <is>
          <t>MEP lead</t>
        </is>
      </c>
      <c r="S66" s="24" t="inlineStr">
        <is>
          <t>TIDP-M</t>
        </is>
      </c>
      <c r="T66" s="25" t="inlineStr">
        <is>
          <t>Y</t>
        </is>
      </c>
      <c r="U66" s="25" t="inlineStr">
        <is>
          <t>Y</t>
        </is>
      </c>
      <c r="V66" s="25" t="inlineStr">
        <is>
          <t>N</t>
        </is>
      </c>
      <c r="W66" s="25" t="inlineStr"/>
      <c r="X66" s="26" t="inlineStr">
        <is>
          <t>Systems complete and connected; equipment data</t>
        </is>
      </c>
    </row>
    <row r="67">
      <c r="A67" s="24" t="inlineStr">
        <is>
          <t>M-301</t>
        </is>
      </c>
      <c r="B67" s="24" t="inlineStr">
        <is>
          <t>Mechanical</t>
        </is>
      </c>
      <c r="C67" s="24" t="inlineStr"/>
      <c r="D67" s="25" t="inlineStr">
        <is>
          <t>ZZ</t>
        </is>
      </c>
      <c r="E67" s="26" t="inlineStr">
        <is>
          <t>HVAC drawing set (100%)</t>
        </is>
      </c>
      <c r="F67" s="24" t="inlineStr">
        <is>
          <t>Drawing</t>
        </is>
      </c>
      <c r="G67" s="25" t="inlineStr">
        <is>
          <t>DR</t>
        </is>
      </c>
      <c r="H67" s="24" t="inlineStr">
        <is>
          <t>2.3 Deliverable C</t>
        </is>
      </c>
      <c r="I67" s="25" t="inlineStr">
        <is>
          <t>350</t>
        </is>
      </c>
      <c r="J67" s="24" t="inlineStr">
        <is>
          <t>PDF/DWG</t>
        </is>
      </c>
      <c r="K67" s="25" t="inlineStr">
        <is>
          <t>S4</t>
        </is>
      </c>
      <c r="L67" s="25" t="inlineStr">
        <is>
          <t>Shared</t>
        </is>
      </c>
      <c r="M67" s="25" t="n">
        <v>8</v>
      </c>
      <c r="N67" s="25" t="n">
        <v>8</v>
      </c>
      <c r="O67" s="27">
        <f>IF(Programme!$C$4="","",EOMONTH(Programme!$C$4,8))</f>
        <v/>
      </c>
      <c r="P67" s="27" t="n"/>
      <c r="Q67" s="28">
        <f>IF(AND(O67&lt;&gt;"",P67&lt;&gt;""),P67-O67,"")</f>
        <v/>
      </c>
      <c r="R67" s="24" t="inlineStr">
        <is>
          <t>MEP lead</t>
        </is>
      </c>
      <c r="S67" s="24" t="inlineStr">
        <is>
          <t>TIDP-M</t>
        </is>
      </c>
      <c r="T67" s="25" t="inlineStr">
        <is>
          <t>Y</t>
        </is>
      </c>
      <c r="U67" s="25" t="inlineStr">
        <is>
          <t>Y</t>
        </is>
      </c>
      <c r="V67" s="25" t="inlineStr">
        <is>
          <t>N</t>
        </is>
      </c>
      <c r="W67" s="25" t="inlineStr"/>
      <c r="X67" s="26" t="inlineStr"/>
    </row>
    <row r="68">
      <c r="A68" s="24" t="inlineStr">
        <is>
          <t>M-302</t>
        </is>
      </c>
      <c r="B68" s="24" t="inlineStr">
        <is>
          <t>Mechanical</t>
        </is>
      </c>
      <c r="C68" s="24" t="inlineStr"/>
      <c r="D68" s="25" t="inlineStr">
        <is>
          <t>ZZ</t>
        </is>
      </c>
      <c r="E68" s="26" t="inlineStr">
        <is>
          <t>HVAC load and sizing schedules</t>
        </is>
      </c>
      <c r="F68" s="24" t="inlineStr">
        <is>
          <t>Schedule</t>
        </is>
      </c>
      <c r="G68" s="25" t="inlineStr">
        <is>
          <t>SH</t>
        </is>
      </c>
      <c r="H68" s="24" t="inlineStr">
        <is>
          <t>2.3 Deliverable C</t>
        </is>
      </c>
      <c r="I68" s="25" t="inlineStr">
        <is>
          <t>350</t>
        </is>
      </c>
      <c r="J68" s="24" t="inlineStr">
        <is>
          <t>PDF/XLSX</t>
        </is>
      </c>
      <c r="K68" s="25" t="inlineStr">
        <is>
          <t>S4</t>
        </is>
      </c>
      <c r="L68" s="25" t="inlineStr">
        <is>
          <t>Shared</t>
        </is>
      </c>
      <c r="M68" s="25" t="n">
        <v>8</v>
      </c>
      <c r="N68" s="25" t="n">
        <v>8</v>
      </c>
      <c r="O68" s="27">
        <f>IF(Programme!$C$4="","",EOMONTH(Programme!$C$4,8))</f>
        <v/>
      </c>
      <c r="P68" s="27" t="n"/>
      <c r="Q68" s="28">
        <f>IF(AND(O68&lt;&gt;"",P68&lt;&gt;""),P68-O68,"")</f>
        <v/>
      </c>
      <c r="R68" s="24" t="inlineStr">
        <is>
          <t>MEP lead</t>
        </is>
      </c>
      <c r="S68" s="24" t="inlineStr">
        <is>
          <t>TIDP-M</t>
        </is>
      </c>
      <c r="T68" s="25" t="inlineStr">
        <is>
          <t>Y</t>
        </is>
      </c>
      <c r="U68" s="25" t="inlineStr">
        <is>
          <t>N</t>
        </is>
      </c>
      <c r="V68" s="25" t="inlineStr">
        <is>
          <t>N</t>
        </is>
      </c>
      <c r="W68" s="25" t="inlineStr"/>
      <c r="X68" s="26" t="inlineStr"/>
    </row>
    <row r="69">
      <c r="A69" s="24" t="inlineStr">
        <is>
          <t>M-303</t>
        </is>
      </c>
      <c r="B69" s="24" t="inlineStr">
        <is>
          <t>Mechanical</t>
        </is>
      </c>
      <c r="C69" s="24" t="inlineStr"/>
      <c r="D69" s="25" t="inlineStr">
        <is>
          <t>ZZ</t>
        </is>
      </c>
      <c r="E69" s="26" t="inlineStr">
        <is>
          <t>BMS point-naming convention and point data on serviceable elements</t>
        </is>
      </c>
      <c r="F69" s="24" t="inlineStr">
        <is>
          <t>Schedule</t>
        </is>
      </c>
      <c r="G69" s="25" t="inlineStr">
        <is>
          <t>SH</t>
        </is>
      </c>
      <c r="H69" s="24" t="inlineStr">
        <is>
          <t>2.3 Deliverable C</t>
        </is>
      </c>
      <c r="I69" s="25" t="inlineStr">
        <is>
          <t>350</t>
        </is>
      </c>
      <c r="J69" s="24" t="inlineStr">
        <is>
          <t>XLSX</t>
        </is>
      </c>
      <c r="K69" s="25" t="inlineStr">
        <is>
          <t>S3</t>
        </is>
      </c>
      <c r="L69" s="25" t="inlineStr">
        <is>
          <t>Shared</t>
        </is>
      </c>
      <c r="M69" s="25" t="n">
        <v>8</v>
      </c>
      <c r="N69" s="25" t="n">
        <v>8</v>
      </c>
      <c r="O69" s="27">
        <f>IF(Programme!$C$4="","",EOMONTH(Programme!$C$4,8))</f>
        <v/>
      </c>
      <c r="P69" s="27" t="n"/>
      <c r="Q69" s="28">
        <f>IF(AND(O69&lt;&gt;"",P69&lt;&gt;""),P69-O69,"")</f>
        <v/>
      </c>
      <c r="R69" s="24" t="inlineStr">
        <is>
          <t>MEP lead</t>
        </is>
      </c>
      <c r="S69" s="24" t="inlineStr">
        <is>
          <t>TIDP-M</t>
        </is>
      </c>
      <c r="T69" s="25" t="inlineStr">
        <is>
          <t>N</t>
        </is>
      </c>
      <c r="U69" s="25" t="inlineStr">
        <is>
          <t>N</t>
        </is>
      </c>
      <c r="V69" s="25" t="inlineStr">
        <is>
          <t>N</t>
        </is>
      </c>
      <c r="W69" s="25" t="inlineStr"/>
      <c r="X69" s="26" t="inlineStr">
        <is>
          <t>Agreed with the controls contractor</t>
        </is>
      </c>
    </row>
    <row r="70">
      <c r="A70" s="24" t="inlineStr">
        <is>
          <t>E-300</t>
        </is>
      </c>
      <c r="B70" s="24" t="inlineStr">
        <is>
          <t>Electrical</t>
        </is>
      </c>
      <c r="C70" s="24" t="inlineStr"/>
      <c r="D70" s="25" t="inlineStr">
        <is>
          <t>ZZ</t>
        </is>
      </c>
      <c r="E70" s="26" t="inlineStr">
        <is>
          <t>Electrical model and drawing set (100%)</t>
        </is>
      </c>
      <c r="F70" s="24" t="inlineStr">
        <is>
          <t>Model/Drawing</t>
        </is>
      </c>
      <c r="G70" s="25" t="inlineStr">
        <is>
          <t>M3</t>
        </is>
      </c>
      <c r="H70" s="24" t="inlineStr">
        <is>
          <t>2.3 Deliverable C</t>
        </is>
      </c>
      <c r="I70" s="25" t="inlineStr">
        <is>
          <t>350</t>
        </is>
      </c>
      <c r="J70" s="24" t="inlineStr">
        <is>
          <t>RVT/PDF</t>
        </is>
      </c>
      <c r="K70" s="25" t="inlineStr">
        <is>
          <t>S4</t>
        </is>
      </c>
      <c r="L70" s="25" t="inlineStr">
        <is>
          <t>Shared</t>
        </is>
      </c>
      <c r="M70" s="25" t="n">
        <v>5</v>
      </c>
      <c r="N70" s="25" t="n">
        <v>8</v>
      </c>
      <c r="O70" s="27">
        <f>IF(Programme!$C$4="","",EOMONTH(Programme!$C$4,8))</f>
        <v/>
      </c>
      <c r="P70" s="27" t="n"/>
      <c r="Q70" s="28">
        <f>IF(AND(O70&lt;&gt;"",P70&lt;&gt;""),P70-O70,"")</f>
        <v/>
      </c>
      <c r="R70" s="24" t="inlineStr">
        <is>
          <t>MEP lead</t>
        </is>
      </c>
      <c r="S70" s="24" t="inlineStr">
        <is>
          <t>TIDP-E</t>
        </is>
      </c>
      <c r="T70" s="25" t="inlineStr">
        <is>
          <t>Y</t>
        </is>
      </c>
      <c r="U70" s="25" t="inlineStr">
        <is>
          <t>Y</t>
        </is>
      </c>
      <c r="V70" s="25" t="inlineStr">
        <is>
          <t>N</t>
        </is>
      </c>
      <c r="W70" s="25" t="inlineStr"/>
      <c r="X70" s="26" t="inlineStr"/>
    </row>
    <row r="71">
      <c r="A71" s="24" t="inlineStr">
        <is>
          <t>E-301</t>
        </is>
      </c>
      <c r="B71" s="24" t="inlineStr">
        <is>
          <t>Electrical</t>
        </is>
      </c>
      <c r="C71" s="24" t="inlineStr"/>
      <c r="D71" s="25" t="inlineStr">
        <is>
          <t>ZZ</t>
        </is>
      </c>
      <c r="E71" s="26" t="inlineStr">
        <is>
          <t>Panel schedules and single-line diagrams</t>
        </is>
      </c>
      <c r="F71" s="24" t="inlineStr">
        <is>
          <t>Schedule/Drawing</t>
        </is>
      </c>
      <c r="G71" s="25" t="inlineStr">
        <is>
          <t>DR</t>
        </is>
      </c>
      <c r="H71" s="24" t="inlineStr">
        <is>
          <t>2.3 Deliverable C</t>
        </is>
      </c>
      <c r="I71" s="25" t="inlineStr">
        <is>
          <t>350</t>
        </is>
      </c>
      <c r="J71" s="24" t="inlineStr">
        <is>
          <t>PDF/XLSX</t>
        </is>
      </c>
      <c r="K71" s="25" t="inlineStr">
        <is>
          <t>S4</t>
        </is>
      </c>
      <c r="L71" s="25" t="inlineStr">
        <is>
          <t>Shared</t>
        </is>
      </c>
      <c r="M71" s="25" t="n">
        <v>8</v>
      </c>
      <c r="N71" s="25" t="n">
        <v>8</v>
      </c>
      <c r="O71" s="27">
        <f>IF(Programme!$C$4="","",EOMONTH(Programme!$C$4,8))</f>
        <v/>
      </c>
      <c r="P71" s="27" t="n"/>
      <c r="Q71" s="28">
        <f>IF(AND(O71&lt;&gt;"",P71&lt;&gt;""),P71-O71,"")</f>
        <v/>
      </c>
      <c r="R71" s="24" t="inlineStr">
        <is>
          <t>MEP lead</t>
        </is>
      </c>
      <c r="S71" s="24" t="inlineStr">
        <is>
          <t>TIDP-E</t>
        </is>
      </c>
      <c r="T71" s="25" t="inlineStr">
        <is>
          <t>Y</t>
        </is>
      </c>
      <c r="U71" s="25" t="inlineStr">
        <is>
          <t>Y</t>
        </is>
      </c>
      <c r="V71" s="25" t="inlineStr">
        <is>
          <t>N</t>
        </is>
      </c>
      <c r="W71" s="25" t="inlineStr"/>
      <c r="X71" s="26" t="inlineStr">
        <is>
          <t>Sheets in the 6xxx and 7xxx bands</t>
        </is>
      </c>
    </row>
    <row r="72">
      <c r="A72" s="24" t="inlineStr">
        <is>
          <t>P-300</t>
        </is>
      </c>
      <c r="B72" s="24" t="inlineStr">
        <is>
          <t>Public Health</t>
        </is>
      </c>
      <c r="C72" s="24" t="inlineStr"/>
      <c r="D72" s="25" t="inlineStr">
        <is>
          <t>ZZ</t>
        </is>
      </c>
      <c r="E72" s="26" t="inlineStr">
        <is>
          <t>Plumbing model and drawing set (100%)</t>
        </is>
      </c>
      <c r="F72" s="24" t="inlineStr">
        <is>
          <t>Model/Drawing</t>
        </is>
      </c>
      <c r="G72" s="25" t="inlineStr">
        <is>
          <t>M3</t>
        </is>
      </c>
      <c r="H72" s="24" t="inlineStr">
        <is>
          <t>2.3 Deliverable C</t>
        </is>
      </c>
      <c r="I72" s="25" t="inlineStr">
        <is>
          <t>350</t>
        </is>
      </c>
      <c r="J72" s="24" t="inlineStr">
        <is>
          <t>RVT/PDF</t>
        </is>
      </c>
      <c r="K72" s="25" t="inlineStr">
        <is>
          <t>S4</t>
        </is>
      </c>
      <c r="L72" s="25" t="inlineStr">
        <is>
          <t>Shared</t>
        </is>
      </c>
      <c r="M72" s="25" t="n">
        <v>5</v>
      </c>
      <c r="N72" s="25" t="n">
        <v>8</v>
      </c>
      <c r="O72" s="27">
        <f>IF(Programme!$C$4="","",EOMONTH(Programme!$C$4,8))</f>
        <v/>
      </c>
      <c r="P72" s="27" t="n"/>
      <c r="Q72" s="28">
        <f>IF(AND(O72&lt;&gt;"",P72&lt;&gt;""),P72-O72,"")</f>
        <v/>
      </c>
      <c r="R72" s="24" t="inlineStr">
        <is>
          <t>MEP lead</t>
        </is>
      </c>
      <c r="S72" s="24" t="inlineStr">
        <is>
          <t>TIDP-P</t>
        </is>
      </c>
      <c r="T72" s="25" t="inlineStr">
        <is>
          <t>Y</t>
        </is>
      </c>
      <c r="U72" s="25" t="inlineStr">
        <is>
          <t>Y</t>
        </is>
      </c>
      <c r="V72" s="25" t="inlineStr">
        <is>
          <t>N</t>
        </is>
      </c>
      <c r="W72" s="25" t="inlineStr"/>
      <c r="X72" s="26" t="inlineStr"/>
    </row>
    <row r="73">
      <c r="A73" s="24" t="inlineStr">
        <is>
          <t>FP-300</t>
        </is>
      </c>
      <c r="B73" s="24" t="inlineStr">
        <is>
          <t>Fire Protection</t>
        </is>
      </c>
      <c r="C73" s="24" t="inlineStr"/>
      <c r="D73" s="25" t="inlineStr">
        <is>
          <t>ZZ</t>
        </is>
      </c>
      <c r="E73" s="26" t="inlineStr">
        <is>
          <t>Fire strategy and model (100%)</t>
        </is>
      </c>
      <c r="F73" s="24" t="inlineStr">
        <is>
          <t>Model/Document</t>
        </is>
      </c>
      <c r="G73" s="25" t="inlineStr">
        <is>
          <t>M3</t>
        </is>
      </c>
      <c r="H73" s="24" t="inlineStr">
        <is>
          <t>2.3 Deliverable C</t>
        </is>
      </c>
      <c r="I73" s="25" t="inlineStr">
        <is>
          <t>350</t>
        </is>
      </c>
      <c r="J73" s="24" t="inlineStr">
        <is>
          <t>RVT/PDF</t>
        </is>
      </c>
      <c r="K73" s="25" t="inlineStr">
        <is>
          <t>S4</t>
        </is>
      </c>
      <c r="L73" s="25" t="inlineStr">
        <is>
          <t>Shared</t>
        </is>
      </c>
      <c r="M73" s="25" t="n">
        <v>5</v>
      </c>
      <c r="N73" s="25" t="n">
        <v>8</v>
      </c>
      <c r="O73" s="27">
        <f>IF(Programme!$C$4="","",EOMONTH(Programme!$C$4,8))</f>
        <v/>
      </c>
      <c r="P73" s="27" t="n"/>
      <c r="Q73" s="28">
        <f>IF(AND(O73&lt;&gt;"",P73&lt;&gt;""),P73-O73,"")</f>
        <v/>
      </c>
      <c r="R73" s="24" t="inlineStr">
        <is>
          <t>Fire lead</t>
        </is>
      </c>
      <c r="S73" s="24" t="inlineStr">
        <is>
          <t>TIDP-Y-FP</t>
        </is>
      </c>
      <c r="T73" s="25" t="inlineStr">
        <is>
          <t>Y</t>
        </is>
      </c>
      <c r="U73" s="25" t="inlineStr">
        <is>
          <t>Y</t>
        </is>
      </c>
      <c r="V73" s="25" t="inlineStr">
        <is>
          <t>N</t>
        </is>
      </c>
      <c r="W73" s="25" t="inlineStr"/>
      <c r="X73" s="26" t="inlineStr">
        <is>
          <t>Transition to the design-build contractor agreed</t>
        </is>
      </c>
    </row>
    <row r="74">
      <c r="A74" s="24" t="inlineStr">
        <is>
          <t>LV-300</t>
        </is>
      </c>
      <c r="B74" s="24" t="inlineStr">
        <is>
          <t>Low Voltage</t>
        </is>
      </c>
      <c r="C74" s="24" t="inlineStr"/>
      <c r="D74" s="25" t="inlineStr">
        <is>
          <t>ZZ</t>
        </is>
      </c>
      <c r="E74" s="26" t="inlineStr">
        <is>
          <t>Communications and security model and drawings</t>
        </is>
      </c>
      <c r="F74" s="24" t="inlineStr">
        <is>
          <t>Model/Drawing</t>
        </is>
      </c>
      <c r="G74" s="25" t="inlineStr">
        <is>
          <t>M3</t>
        </is>
      </c>
      <c r="H74" s="24" t="inlineStr">
        <is>
          <t>2.3 Deliverable C</t>
        </is>
      </c>
      <c r="I74" s="25" t="inlineStr">
        <is>
          <t>350</t>
        </is>
      </c>
      <c r="J74" s="24" t="inlineStr">
        <is>
          <t>RVT/PDF</t>
        </is>
      </c>
      <c r="K74" s="25" t="inlineStr">
        <is>
          <t>S4</t>
        </is>
      </c>
      <c r="L74" s="25" t="inlineStr">
        <is>
          <t>Shared</t>
        </is>
      </c>
      <c r="M74" s="25" t="n">
        <v>5</v>
      </c>
      <c r="N74" s="25" t="n">
        <v>8</v>
      </c>
      <c r="O74" s="27">
        <f>IF(Programme!$C$4="","",EOMONTH(Programme!$C$4,8))</f>
        <v/>
      </c>
      <c r="P74" s="27" t="n"/>
      <c r="Q74" s="28">
        <f>IF(AND(O74&lt;&gt;"",P74&lt;&gt;""),P74-O74,"")</f>
        <v/>
      </c>
      <c r="R74" s="24" t="inlineStr">
        <is>
          <t>LV lead</t>
        </is>
      </c>
      <c r="S74" s="24" t="inlineStr">
        <is>
          <t>TIDP-Y-LV</t>
        </is>
      </c>
      <c r="T74" s="25" t="inlineStr">
        <is>
          <t>Y</t>
        </is>
      </c>
      <c r="U74" s="25" t="inlineStr">
        <is>
          <t>Y</t>
        </is>
      </c>
      <c r="V74" s="25" t="inlineStr">
        <is>
          <t>N</t>
        </is>
      </c>
      <c r="W74" s="25" t="inlineStr"/>
      <c r="X74" s="26" t="inlineStr">
        <is>
          <t>Restricted-information handling per BEP 8.1</t>
        </is>
      </c>
    </row>
    <row r="75">
      <c r="A75" s="24" t="inlineStr">
        <is>
          <t>G-300</t>
        </is>
      </c>
      <c r="B75" s="24" t="inlineStr">
        <is>
          <t>Civil and Site</t>
        </is>
      </c>
      <c r="C75" s="24" t="inlineStr"/>
      <c r="D75" s="25" t="inlineStr">
        <is>
          <t>00</t>
        </is>
      </c>
      <c r="E75" s="26" t="inlineStr">
        <is>
          <t>Civil and site model and drawings (100%)</t>
        </is>
      </c>
      <c r="F75" s="24" t="inlineStr">
        <is>
          <t>Model/Drawing</t>
        </is>
      </c>
      <c r="G75" s="25" t="inlineStr">
        <is>
          <t>M3</t>
        </is>
      </c>
      <c r="H75" s="24" t="inlineStr">
        <is>
          <t>2.3 Deliverable C</t>
        </is>
      </c>
      <c r="I75" s="25" t="inlineStr">
        <is>
          <t>350</t>
        </is>
      </c>
      <c r="J75" s="24" t="inlineStr">
        <is>
          <t>RVT/PDF</t>
        </is>
      </c>
      <c r="K75" s="25" t="inlineStr">
        <is>
          <t>S4</t>
        </is>
      </c>
      <c r="L75" s="25" t="inlineStr">
        <is>
          <t>Shared</t>
        </is>
      </c>
      <c r="M75" s="25" t="n">
        <v>5</v>
      </c>
      <c r="N75" s="25" t="n">
        <v>8</v>
      </c>
      <c r="O75" s="27">
        <f>IF(Programme!$C$4="","",EOMONTH(Programme!$C$4,8))</f>
        <v/>
      </c>
      <c r="P75" s="27" t="n"/>
      <c r="Q75" s="28">
        <f>IF(AND(O75&lt;&gt;"",P75&lt;&gt;""),P75-O75,"")</f>
        <v/>
      </c>
      <c r="R75" s="24" t="inlineStr">
        <is>
          <t>Civil lead</t>
        </is>
      </c>
      <c r="S75" s="24" t="inlineStr">
        <is>
          <t>TIDP-C</t>
        </is>
      </c>
      <c r="T75" s="25" t="inlineStr">
        <is>
          <t>Y</t>
        </is>
      </c>
      <c r="U75" s="25" t="inlineStr">
        <is>
          <t>Y</t>
        </is>
      </c>
      <c r="V75" s="25" t="inlineStr">
        <is>
          <t>N</t>
        </is>
      </c>
      <c r="W75" s="25" t="inlineStr"/>
      <c r="X75" s="26" t="inlineStr"/>
    </row>
    <row r="76">
      <c r="A76" s="24" t="inlineStr">
        <is>
          <t>Z-310</t>
        </is>
      </c>
      <c r="B76" s="24" t="inlineStr">
        <is>
          <t>QS / Cost</t>
        </is>
      </c>
      <c r="C76" s="24" t="inlineStr"/>
      <c r="D76" s="25" t="inlineStr">
        <is>
          <t>ZZ</t>
        </is>
      </c>
      <c r="E76" s="26" t="inlineStr">
        <is>
          <t>Bill of quantities (tender)</t>
        </is>
      </c>
      <c r="F76" s="24" t="inlineStr">
        <is>
          <t>Schedule</t>
        </is>
      </c>
      <c r="G76" s="25" t="inlineStr">
        <is>
          <t>CP</t>
        </is>
      </c>
      <c r="H76" s="24" t="inlineStr">
        <is>
          <t>2.3 Deliverable C</t>
        </is>
      </c>
      <c r="I76" s="25" t="inlineStr">
        <is>
          <t>350</t>
        </is>
      </c>
      <c r="J76" s="24" t="inlineStr">
        <is>
          <t>XLSX</t>
        </is>
      </c>
      <c r="K76" s="25" t="inlineStr">
        <is>
          <t>S4</t>
        </is>
      </c>
      <c r="L76" s="25" t="inlineStr">
        <is>
          <t>Shared</t>
        </is>
      </c>
      <c r="M76" s="25" t="n">
        <v>8</v>
      </c>
      <c r="N76" s="25" t="n">
        <v>8</v>
      </c>
      <c r="O76" s="27">
        <f>IF(Programme!$C$4="","",EOMONTH(Programme!$C$4,8))</f>
        <v/>
      </c>
      <c r="P76" s="27" t="n"/>
      <c r="Q76" s="28">
        <f>IF(AND(O76&lt;&gt;"",P76&lt;&gt;""),P76-O76,"")</f>
        <v/>
      </c>
      <c r="R76" s="24" t="inlineStr">
        <is>
          <t>Quantity Surveyor</t>
        </is>
      </c>
      <c r="S76" s="24" t="inlineStr">
        <is>
          <t>TIDP-Q</t>
        </is>
      </c>
      <c r="T76" s="25" t="inlineStr">
        <is>
          <t>Y</t>
        </is>
      </c>
      <c r="U76" s="25" t="inlineStr">
        <is>
          <t>N</t>
        </is>
      </c>
      <c r="V76" s="25" t="inlineStr">
        <is>
          <t>Y</t>
        </is>
      </c>
      <c r="W76" s="25" t="inlineStr"/>
      <c r="X76" s="26" t="inlineStr"/>
    </row>
    <row r="77">
      <c r="A77" s="24" t="inlineStr">
        <is>
          <t>Z-311</t>
        </is>
      </c>
      <c r="B77" s="24" t="inlineStr">
        <is>
          <t>All disciplines</t>
        </is>
      </c>
      <c r="C77" s="24" t="inlineStr"/>
      <c r="D77" s="25" t="inlineStr">
        <is>
          <t>ZZ</t>
        </is>
      </c>
      <c r="E77" s="26" t="inlineStr">
        <is>
          <t>Specifications (RIB SpecLink, CSI MasterFormat)</t>
        </is>
      </c>
      <c r="F77" s="24" t="inlineStr">
        <is>
          <t>Specification</t>
        </is>
      </c>
      <c r="G77" s="25" t="inlineStr">
        <is>
          <t>SP</t>
        </is>
      </c>
      <c r="H77" s="24" t="inlineStr">
        <is>
          <t>2.3 Deliverable C</t>
        </is>
      </c>
      <c r="I77" s="25" t="inlineStr">
        <is>
          <t>350</t>
        </is>
      </c>
      <c r="J77" s="24" t="inlineStr">
        <is>
          <t>PDF</t>
        </is>
      </c>
      <c r="K77" s="25" t="inlineStr">
        <is>
          <t>S4</t>
        </is>
      </c>
      <c r="L77" s="25" t="inlineStr">
        <is>
          <t>Shared</t>
        </is>
      </c>
      <c r="M77" s="25" t="n">
        <v>8</v>
      </c>
      <c r="N77" s="25" t="n">
        <v>8</v>
      </c>
      <c r="O77" s="27">
        <f>IF(Programme!$C$4="","",EOMONTH(Programme!$C$4,8))</f>
        <v/>
      </c>
      <c r="P77" s="27" t="n"/>
      <c r="Q77" s="28">
        <f>IF(AND(O77&lt;&gt;"",P77&lt;&gt;""),P77-O77,"")</f>
        <v/>
      </c>
      <c r="R77" s="24" t="inlineStr">
        <is>
          <t>Task Team Managers</t>
        </is>
      </c>
      <c r="S77" s="24" t="inlineStr">
        <is>
          <t>TIDP-ALL</t>
        </is>
      </c>
      <c r="T77" s="25" t="inlineStr">
        <is>
          <t>Y</t>
        </is>
      </c>
      <c r="U77" s="25" t="inlineStr">
        <is>
          <t>N</t>
        </is>
      </c>
      <c r="V77" s="25" t="inlineStr">
        <is>
          <t>Y</t>
        </is>
      </c>
      <c r="W77" s="25" t="inlineStr"/>
      <c r="X77" s="26" t="inlineStr">
        <is>
          <t>Issued sets archived with the milestone</t>
        </is>
      </c>
    </row>
    <row r="78">
      <c r="A78" s="24" t="inlineStr">
        <is>
          <t>Z-312</t>
        </is>
      </c>
      <c r="B78" s="24" t="inlineStr">
        <is>
          <t>Information Management</t>
        </is>
      </c>
      <c r="C78" s="24" t="inlineStr"/>
      <c r="D78" s="25" t="inlineStr">
        <is>
          <t>ZZ</t>
        </is>
      </c>
      <c r="E78" s="26" t="inlineStr">
        <is>
          <t>Specification reconciliation report (model vs SpecLink)</t>
        </is>
      </c>
      <c r="F78" s="24" t="inlineStr">
        <is>
          <t>Report</t>
        </is>
      </c>
      <c r="G78" s="25" t="inlineStr">
        <is>
          <t>RP</t>
        </is>
      </c>
      <c r="H78" s="24" t="inlineStr">
        <is>
          <t>2.3 Deliverable C</t>
        </is>
      </c>
      <c r="I78" s="25" t="inlineStr">
        <is>
          <t>350</t>
        </is>
      </c>
      <c r="J78" s="24" t="inlineStr">
        <is>
          <t>XLSX/PDF</t>
        </is>
      </c>
      <c r="K78" s="25" t="inlineStr">
        <is>
          <t>S4</t>
        </is>
      </c>
      <c r="L78" s="25" t="inlineStr">
        <is>
          <t>Shared</t>
        </is>
      </c>
      <c r="M78" s="25" t="n">
        <v>8</v>
      </c>
      <c r="N78" s="25" t="n">
        <v>8</v>
      </c>
      <c r="O78" s="27">
        <f>IF(Programme!$C$4="","",EOMONTH(Programme!$C$4,8))</f>
        <v/>
      </c>
      <c r="P78" s="27" t="n"/>
      <c r="Q78" s="28">
        <f>IF(AND(O78&lt;&gt;"",P78&lt;&gt;""),P78-O78,"")</f>
        <v/>
      </c>
      <c r="R78" s="24" t="inlineStr">
        <is>
          <t>Information Manager</t>
        </is>
      </c>
      <c r="S78" s="24" t="inlineStr">
        <is>
          <t>TIDP-Z</t>
        </is>
      </c>
      <c r="T78" s="25" t="inlineStr">
        <is>
          <t>N</t>
        </is>
      </c>
      <c r="U78" s="25" t="inlineStr">
        <is>
          <t>N</t>
        </is>
      </c>
      <c r="V78" s="25" t="inlineStr">
        <is>
          <t>N</t>
        </is>
      </c>
      <c r="W78" s="25" t="inlineStr"/>
      <c r="X78" s="26" t="inlineStr">
        <is>
          <t>Gaps closed or formally accepted</t>
        </is>
      </c>
    </row>
    <row r="79">
      <c r="A79" s="24" t="inlineStr">
        <is>
          <t>FF-300</t>
        </is>
      </c>
      <c r="B79" s="24" t="inlineStr">
        <is>
          <t>FF&amp;E</t>
        </is>
      </c>
      <c r="C79" s="24" t="inlineStr"/>
      <c r="D79" s="25" t="inlineStr">
        <is>
          <t>ZZ</t>
        </is>
      </c>
      <c r="E79" s="26" t="inlineStr">
        <is>
          <t>FF&amp;E specifications and schedule</t>
        </is>
      </c>
      <c r="F79" s="24" t="inlineStr">
        <is>
          <t>Schedule</t>
        </is>
      </c>
      <c r="G79" s="25" t="inlineStr">
        <is>
          <t>SH</t>
        </is>
      </c>
      <c r="H79" s="24" t="inlineStr">
        <is>
          <t>2.3 Deliverable C</t>
        </is>
      </c>
      <c r="I79" s="25" t="inlineStr">
        <is>
          <t>350</t>
        </is>
      </c>
      <c r="J79" s="24" t="inlineStr">
        <is>
          <t>XLSX/PDF</t>
        </is>
      </c>
      <c r="K79" s="25" t="inlineStr">
        <is>
          <t>S4</t>
        </is>
      </c>
      <c r="L79" s="25" t="inlineStr">
        <is>
          <t>Shared</t>
        </is>
      </c>
      <c r="M79" s="25" t="n">
        <v>8</v>
      </c>
      <c r="N79" s="25" t="n">
        <v>8</v>
      </c>
      <c r="O79" s="27">
        <f>IF(Programme!$C$4="","",EOMONTH(Programme!$C$4,8))</f>
        <v/>
      </c>
      <c r="P79" s="27" t="n"/>
      <c r="Q79" s="28">
        <f>IF(AND(O79&lt;&gt;"",P79&lt;&gt;""),P79-O79,"")</f>
        <v/>
      </c>
      <c r="R79" s="24" t="inlineStr">
        <is>
          <t>Interior Designer</t>
        </is>
      </c>
      <c r="S79" s="24" t="inlineStr">
        <is>
          <t>TIDP-I</t>
        </is>
      </c>
      <c r="T79" s="25" t="inlineStr">
        <is>
          <t>Y</t>
        </is>
      </c>
      <c r="U79" s="25" t="inlineStr">
        <is>
          <t>N</t>
        </is>
      </c>
      <c r="V79" s="25" t="inlineStr">
        <is>
          <t>Y</t>
        </is>
      </c>
      <c r="W79" s="25" t="inlineStr"/>
      <c r="X79" s="26" t="inlineStr">
        <is>
          <t>Reconciled to Fohlio</t>
        </is>
      </c>
    </row>
    <row r="80">
      <c r="A80" s="24" t="inlineStr">
        <is>
          <t>Z-313</t>
        </is>
      </c>
      <c r="B80" s="24" t="inlineStr">
        <is>
          <t>Information Management</t>
        </is>
      </c>
      <c r="C80" s="24" t="inlineStr"/>
      <c r="D80" s="25" t="inlineStr">
        <is>
          <t>ZZ</t>
        </is>
      </c>
      <c r="E80" s="26" t="inlineStr">
        <is>
          <t>Deliverable C gate pack, LOD 350 verification and compliance report</t>
        </is>
      </c>
      <c r="F80" s="24" t="inlineStr">
        <is>
          <t>Document</t>
        </is>
      </c>
      <c r="G80" s="25" t="inlineStr">
        <is>
          <t>RP</t>
        </is>
      </c>
      <c r="H80" s="24" t="inlineStr">
        <is>
          <t>2.3 Deliverable C</t>
        </is>
      </c>
      <c r="I80" s="25" t="inlineStr">
        <is>
          <t>350</t>
        </is>
      </c>
      <c r="J80" s="24" t="inlineStr">
        <is>
          <t>PDF</t>
        </is>
      </c>
      <c r="K80" s="25" t="inlineStr">
        <is>
          <t>S4</t>
        </is>
      </c>
      <c r="L80" s="25" t="inlineStr">
        <is>
          <t>Shared</t>
        </is>
      </c>
      <c r="M80" s="25" t="n">
        <v>8</v>
      </c>
      <c r="N80" s="25" t="n">
        <v>8</v>
      </c>
      <c r="O80" s="27">
        <f>IF(Programme!$C$4="","",EOMONTH(Programme!$C$4,8))</f>
        <v/>
      </c>
      <c r="P80" s="27" t="n"/>
      <c r="Q80" s="28">
        <f>IF(AND(O80&lt;&gt;"",P80&lt;&gt;""),P80-O80,"")</f>
        <v/>
      </c>
      <c r="R80" s="24" t="inlineStr">
        <is>
          <t>Information Manager</t>
        </is>
      </c>
      <c r="S80" s="24" t="inlineStr">
        <is>
          <t>TIDP-Z</t>
        </is>
      </c>
      <c r="T80" s="25" t="inlineStr">
        <is>
          <t>Y</t>
        </is>
      </c>
      <c r="U80" s="25" t="inlineStr">
        <is>
          <t>N</t>
        </is>
      </c>
      <c r="V80" s="25" t="inlineStr">
        <is>
          <t>N</t>
        </is>
      </c>
      <c r="W80" s="25" t="inlineStr"/>
      <c r="X80" s="26" t="inlineStr">
        <is>
          <t>Includes FF&amp;E currency report</t>
        </is>
      </c>
    </row>
    <row r="81">
      <c r="A81" s="24" t="inlineStr">
        <is>
          <t>Z-314</t>
        </is>
      </c>
      <c r="B81" s="24" t="inlineStr">
        <is>
          <t>Information Management</t>
        </is>
      </c>
      <c r="C81" s="24" t="inlineStr"/>
      <c r="D81" s="25" t="inlineStr">
        <is>
          <t>ZZ</t>
        </is>
      </c>
      <c r="E81" s="26" t="inlineStr">
        <is>
          <t>Deliverable C Owner review set and comment close-out report</t>
        </is>
      </c>
      <c r="F81" s="24" t="inlineStr">
        <is>
          <t>Document</t>
        </is>
      </c>
      <c r="G81" s="25" t="inlineStr">
        <is>
          <t>RP</t>
        </is>
      </c>
      <c r="H81" s="24" t="inlineStr">
        <is>
          <t>2.3 Deliverable C</t>
        </is>
      </c>
      <c r="I81" s="25" t="inlineStr">
        <is>
          <t>350</t>
        </is>
      </c>
      <c r="J81" s="24" t="inlineStr">
        <is>
          <t>PDF</t>
        </is>
      </c>
      <c r="K81" s="25" t="inlineStr">
        <is>
          <t>S3</t>
        </is>
      </c>
      <c r="L81" s="25" t="inlineStr">
        <is>
          <t>Shared</t>
        </is>
      </c>
      <c r="M81" s="25" t="n">
        <v>8</v>
      </c>
      <c r="N81" s="25" t="n">
        <v>9</v>
      </c>
      <c r="O81" s="27">
        <f>IF(Programme!$C$4="","",EOMONTH(Programme!$C$4,9))</f>
        <v/>
      </c>
      <c r="P81" s="27" t="n"/>
      <c r="Q81" s="28">
        <f>IF(AND(O81&lt;&gt;"",P81&lt;&gt;""),P81-O81,"")</f>
        <v/>
      </c>
      <c r="R81" s="24" t="inlineStr">
        <is>
          <t>Information Manager</t>
        </is>
      </c>
      <c r="S81" s="24" t="inlineStr">
        <is>
          <t>TIDP-Z</t>
        </is>
      </c>
      <c r="T81" s="25" t="inlineStr">
        <is>
          <t>Y</t>
        </is>
      </c>
      <c r="U81" s="25" t="inlineStr">
        <is>
          <t>N</t>
        </is>
      </c>
      <c r="V81" s="25" t="inlineStr">
        <is>
          <t>N</t>
        </is>
      </c>
      <c r="W81" s="25" t="inlineStr"/>
      <c r="X81" s="26" t="inlineStr"/>
    </row>
    <row r="82">
      <c r="A82" s="24" t="inlineStr">
        <is>
          <t>Z-400</t>
        </is>
      </c>
      <c r="B82" s="24" t="inlineStr">
        <is>
          <t>Information Management</t>
        </is>
      </c>
      <c r="C82" s="24" t="inlineStr"/>
      <c r="D82" s="25" t="inlineStr">
        <is>
          <t>ZZ</t>
        </is>
      </c>
      <c r="E82" s="26" t="inlineStr">
        <is>
          <t>Tender documents</t>
        </is>
      </c>
      <c r="F82" s="24" t="inlineStr">
        <is>
          <t>Document</t>
        </is>
      </c>
      <c r="G82" s="25" t="inlineStr">
        <is>
          <t>RP</t>
        </is>
      </c>
      <c r="H82" s="24" t="inlineStr">
        <is>
          <t>2.4 Tender</t>
        </is>
      </c>
      <c r="I82" s="25" t="inlineStr">
        <is>
          <t>n/a</t>
        </is>
      </c>
      <c r="J82" s="24" t="inlineStr">
        <is>
          <t>PDF</t>
        </is>
      </c>
      <c r="K82" s="25" t="inlineStr">
        <is>
          <t>A1</t>
        </is>
      </c>
      <c r="L82" s="25" t="inlineStr">
        <is>
          <t>Published</t>
        </is>
      </c>
      <c r="M82" s="25" t="n">
        <v>9</v>
      </c>
      <c r="N82" s="25" t="n">
        <v>9</v>
      </c>
      <c r="O82" s="27">
        <f>IF(Programme!$C$4="","",EOMONTH(Programme!$C$4,9))</f>
        <v/>
      </c>
      <c r="P82" s="27" t="n"/>
      <c r="Q82" s="28">
        <f>IF(AND(O82&lt;&gt;"",P82&lt;&gt;""),P82-O82,"")</f>
        <v/>
      </c>
      <c r="R82" s="24" t="inlineStr">
        <is>
          <t>Lead Appointed Party</t>
        </is>
      </c>
      <c r="S82" s="24" t="inlineStr">
        <is>
          <t>TIDP-Z</t>
        </is>
      </c>
      <c r="T82" s="25" t="inlineStr">
        <is>
          <t>N</t>
        </is>
      </c>
      <c r="U82" s="25" t="inlineStr">
        <is>
          <t>N</t>
        </is>
      </c>
      <c r="V82" s="25" t="inlineStr">
        <is>
          <t>N</t>
        </is>
      </c>
      <c r="W82" s="25" t="inlineStr"/>
      <c r="X82" s="26" t="inlineStr">
        <is>
          <t>Issued from the CDE at A1</t>
        </is>
      </c>
    </row>
    <row r="83">
      <c r="A83" s="24" t="inlineStr">
        <is>
          <t>Z-401</t>
        </is>
      </c>
      <c r="B83" s="24" t="inlineStr">
        <is>
          <t>Information Management</t>
        </is>
      </c>
      <c r="C83" s="24" t="inlineStr"/>
      <c r="D83" s="25" t="inlineStr">
        <is>
          <t>ZZ</t>
        </is>
      </c>
      <c r="E83" s="26" t="inlineStr">
        <is>
          <t>Tender query and addendum log</t>
        </is>
      </c>
      <c r="F83" s="24" t="inlineStr">
        <is>
          <t>Report</t>
        </is>
      </c>
      <c r="G83" s="25" t="inlineStr">
        <is>
          <t>RP</t>
        </is>
      </c>
      <c r="H83" s="24" t="inlineStr">
        <is>
          <t>2.4 Tender</t>
        </is>
      </c>
      <c r="I83" s="25" t="inlineStr">
        <is>
          <t>n/a</t>
        </is>
      </c>
      <c r="J83" s="24" t="inlineStr">
        <is>
          <t>XLSX</t>
        </is>
      </c>
      <c r="K83" s="25" t="inlineStr">
        <is>
          <t>S2</t>
        </is>
      </c>
      <c r="L83" s="25" t="inlineStr">
        <is>
          <t>Shared</t>
        </is>
      </c>
      <c r="M83" s="25" t="n">
        <v>9</v>
      </c>
      <c r="N83" s="25" t="n">
        <v>11</v>
      </c>
      <c r="O83" s="27">
        <f>IF(Programme!$C$4="","",EOMONTH(Programme!$C$4,11))</f>
        <v/>
      </c>
      <c r="P83" s="27" t="n"/>
      <c r="Q83" s="28">
        <f>IF(AND(O83&lt;&gt;"",P83&lt;&gt;""),P83-O83,"")</f>
        <v/>
      </c>
      <c r="R83" s="24" t="inlineStr">
        <is>
          <t>Lead Appointed Party</t>
        </is>
      </c>
      <c r="S83" s="24" t="inlineStr">
        <is>
          <t>TIDP-Z</t>
        </is>
      </c>
      <c r="T83" s="25" t="inlineStr">
        <is>
          <t>N</t>
        </is>
      </c>
      <c r="U83" s="25" t="inlineStr">
        <is>
          <t>N</t>
        </is>
      </c>
      <c r="V83" s="25" t="inlineStr">
        <is>
          <t>N</t>
        </is>
      </c>
      <c r="W83" s="25" t="inlineStr"/>
      <c r="X83" s="26" t="inlineStr">
        <is>
          <t>Queries answered as formal RFIs</t>
        </is>
      </c>
    </row>
    <row r="84">
      <c r="A84" s="24" t="inlineStr">
        <is>
          <t>Z-410</t>
        </is>
      </c>
      <c r="B84" s="24" t="inlineStr">
        <is>
          <t>Information Management</t>
        </is>
      </c>
      <c r="C84" s="24" t="inlineStr"/>
      <c r="D84" s="25" t="inlineStr">
        <is>
          <t>ZZ</t>
        </is>
      </c>
      <c r="E84" s="26" t="inlineStr">
        <is>
          <t>Conformed set</t>
        </is>
      </c>
      <c r="F84" s="24" t="inlineStr">
        <is>
          <t>Drawing</t>
        </is>
      </c>
      <c r="G84" s="25" t="inlineStr">
        <is>
          <t>DR</t>
        </is>
      </c>
      <c r="H84" s="24" t="inlineStr">
        <is>
          <t>2.5 Conformed set</t>
        </is>
      </c>
      <c r="I84" s="25" t="inlineStr">
        <is>
          <t>350</t>
        </is>
      </c>
      <c r="J84" s="24" t="inlineStr">
        <is>
          <t>PDF/DWG</t>
        </is>
      </c>
      <c r="K84" s="25" t="inlineStr">
        <is>
          <t>A1</t>
        </is>
      </c>
      <c r="L84" s="25" t="inlineStr">
        <is>
          <t>Published</t>
        </is>
      </c>
      <c r="M84" s="25" t="n">
        <v>11</v>
      </c>
      <c r="N84" s="25" t="n">
        <v>11</v>
      </c>
      <c r="O84" s="27">
        <f>IF(Programme!$C$4="","",EOMONTH(Programme!$C$4,11))</f>
        <v/>
      </c>
      <c r="P84" s="27" t="n"/>
      <c r="Q84" s="28">
        <f>IF(AND(O84&lt;&gt;"",P84&lt;&gt;""),P84-O84,"")</f>
        <v/>
      </c>
      <c r="R84" s="24" t="inlineStr">
        <is>
          <t>Lead Appointed Party</t>
        </is>
      </c>
      <c r="S84" s="24" t="inlineStr">
        <is>
          <t>TIDP-Z</t>
        </is>
      </c>
      <c r="T84" s="25" t="inlineStr">
        <is>
          <t>Y</t>
        </is>
      </c>
      <c r="U84" s="25" t="inlineStr">
        <is>
          <t>Y</t>
        </is>
      </c>
      <c r="V84" s="25" t="inlineStr">
        <is>
          <t>N</t>
        </is>
      </c>
      <c r="W84" s="25" t="inlineStr"/>
      <c r="X84" s="26" t="inlineStr">
        <is>
          <t>Addenda incorporated; superseded revisions archived</t>
        </is>
      </c>
    </row>
    <row r="85">
      <c r="A85" s="24" t="inlineStr">
        <is>
          <t>Z-411</t>
        </is>
      </c>
      <c r="B85" s="24" t="inlineStr">
        <is>
          <t>Information Management</t>
        </is>
      </c>
      <c r="C85" s="24" t="inlineStr"/>
      <c r="D85" s="25" t="inlineStr">
        <is>
          <t>ZZ</t>
        </is>
      </c>
      <c r="E85" s="26" t="inlineStr">
        <is>
          <t>Conformed-set conformance audit and compliance report</t>
        </is>
      </c>
      <c r="F85" s="24" t="inlineStr">
        <is>
          <t>Report</t>
        </is>
      </c>
      <c r="G85" s="25" t="inlineStr">
        <is>
          <t>RP</t>
        </is>
      </c>
      <c r="H85" s="24" t="inlineStr">
        <is>
          <t>2.5 Conformed set</t>
        </is>
      </c>
      <c r="I85" s="25" t="inlineStr">
        <is>
          <t>350</t>
        </is>
      </c>
      <c r="J85" s="24" t="inlineStr">
        <is>
          <t>PDF</t>
        </is>
      </c>
      <c r="K85" s="25" t="inlineStr">
        <is>
          <t>S4</t>
        </is>
      </c>
      <c r="L85" s="25" t="inlineStr">
        <is>
          <t>Shared</t>
        </is>
      </c>
      <c r="M85" s="25" t="n">
        <v>11</v>
      </c>
      <c r="N85" s="25" t="n">
        <v>11</v>
      </c>
      <c r="O85" s="27">
        <f>IF(Programme!$C$4="","",EOMONTH(Programme!$C$4,11))</f>
        <v/>
      </c>
      <c r="P85" s="27" t="n"/>
      <c r="Q85" s="28">
        <f>IF(AND(O85&lt;&gt;"",P85&lt;&gt;""),P85-O85,"")</f>
        <v/>
      </c>
      <c r="R85" s="24" t="inlineStr">
        <is>
          <t>Information Manager</t>
        </is>
      </c>
      <c r="S85" s="24" t="inlineStr">
        <is>
          <t>TIDP-Z</t>
        </is>
      </c>
      <c r="T85" s="25" t="inlineStr">
        <is>
          <t>Y</t>
        </is>
      </c>
      <c r="U85" s="25" t="inlineStr">
        <is>
          <t>N</t>
        </is>
      </c>
      <c r="V85" s="25" t="inlineStr">
        <is>
          <t>N</t>
        </is>
      </c>
      <c r="W85" s="25" t="inlineStr"/>
      <c r="X85" s="26" t="inlineStr">
        <is>
          <t>Milestone NWD archive</t>
        </is>
      </c>
    </row>
    <row r="86">
      <c r="A86" s="24" t="inlineStr">
        <is>
          <t>A-500</t>
        </is>
      </c>
      <c r="B86" s="24" t="inlineStr">
        <is>
          <t>Architecture</t>
        </is>
      </c>
      <c r="C86" s="24" t="inlineStr"/>
      <c r="D86" s="25" t="inlineStr">
        <is>
          <t>ZZ</t>
        </is>
      </c>
      <c r="E86" s="26" t="inlineStr">
        <is>
          <t>Construction-stage model (revisions tracked)</t>
        </is>
      </c>
      <c r="F86" s="24" t="inlineStr">
        <is>
          <t>Model</t>
        </is>
      </c>
      <c r="G86" s="25" t="inlineStr">
        <is>
          <t>M3</t>
        </is>
      </c>
      <c r="H86" s="24" t="inlineStr">
        <is>
          <t>3.1 Construction</t>
        </is>
      </c>
      <c r="I86" s="25" t="inlineStr">
        <is>
          <t>400</t>
        </is>
      </c>
      <c r="J86" s="24" t="inlineStr">
        <is>
          <t>RVT/IFC</t>
        </is>
      </c>
      <c r="K86" s="25" t="inlineStr">
        <is>
          <t>A1</t>
        </is>
      </c>
      <c r="L86" s="25" t="inlineStr">
        <is>
          <t>Published</t>
        </is>
      </c>
      <c r="M86" s="25" t="n">
        <v>12</v>
      </c>
      <c r="N86" s="25" t="n">
        <v>43</v>
      </c>
      <c r="O86" s="27">
        <f>IF(Programme!$C$4="","",EOMONTH(Programme!$C$4,43))</f>
        <v/>
      </c>
      <c r="P86" s="27" t="n"/>
      <c r="Q86" s="28">
        <f>IF(AND(O86&lt;&gt;"",P86&lt;&gt;""),P86-O86,"")</f>
        <v/>
      </c>
      <c r="R86" s="24" t="inlineStr">
        <is>
          <t>Architecture lead</t>
        </is>
      </c>
      <c r="S86" s="24" t="inlineStr">
        <is>
          <t>TIDP-A</t>
        </is>
      </c>
      <c r="T86" s="25" t="inlineStr">
        <is>
          <t>Y</t>
        </is>
      </c>
      <c r="U86" s="25" t="inlineStr">
        <is>
          <t>Y</t>
        </is>
      </c>
      <c r="V86" s="25" t="inlineStr">
        <is>
          <t>N</t>
        </is>
      </c>
      <c r="W86" s="25" t="inlineStr"/>
      <c r="X86" s="26" t="inlineStr"/>
    </row>
    <row r="87">
      <c r="A87" s="24" t="inlineStr">
        <is>
          <t>S-500</t>
        </is>
      </c>
      <c r="B87" s="24" t="inlineStr">
        <is>
          <t>Structure</t>
        </is>
      </c>
      <c r="C87" s="24" t="inlineStr"/>
      <c r="D87" s="25" t="inlineStr">
        <is>
          <t>ZZ</t>
        </is>
      </c>
      <c r="E87" s="26" t="inlineStr">
        <is>
          <t>Construction-stage model (revisions tracked)</t>
        </is>
      </c>
      <c r="F87" s="24" t="inlineStr">
        <is>
          <t>Model</t>
        </is>
      </c>
      <c r="G87" s="25" t="inlineStr">
        <is>
          <t>M3</t>
        </is>
      </c>
      <c r="H87" s="24" t="inlineStr">
        <is>
          <t>3.1 Construction</t>
        </is>
      </c>
      <c r="I87" s="25" t="inlineStr">
        <is>
          <t>400</t>
        </is>
      </c>
      <c r="J87" s="24" t="inlineStr">
        <is>
          <t>RVT/IFC</t>
        </is>
      </c>
      <c r="K87" s="25" t="inlineStr">
        <is>
          <t>A1</t>
        </is>
      </c>
      <c r="L87" s="25" t="inlineStr">
        <is>
          <t>Published</t>
        </is>
      </c>
      <c r="M87" s="25" t="n">
        <v>12</v>
      </c>
      <c r="N87" s="25" t="n">
        <v>43</v>
      </c>
      <c r="O87" s="27">
        <f>IF(Programme!$C$4="","",EOMONTH(Programme!$C$4,43))</f>
        <v/>
      </c>
      <c r="P87" s="27" t="n"/>
      <c r="Q87" s="28">
        <f>IF(AND(O87&lt;&gt;"",P87&lt;&gt;""),P87-O87,"")</f>
        <v/>
      </c>
      <c r="R87" s="24" t="inlineStr">
        <is>
          <t>Structural lead</t>
        </is>
      </c>
      <c r="S87" s="24" t="inlineStr">
        <is>
          <t>TIDP-S</t>
        </is>
      </c>
      <c r="T87" s="25" t="inlineStr">
        <is>
          <t>Y</t>
        </is>
      </c>
      <c r="U87" s="25" t="inlineStr">
        <is>
          <t>Y</t>
        </is>
      </c>
      <c r="V87" s="25" t="inlineStr">
        <is>
          <t>N</t>
        </is>
      </c>
      <c r="W87" s="25" t="inlineStr"/>
      <c r="X87" s="26" t="inlineStr"/>
    </row>
    <row r="88">
      <c r="A88" s="24" t="inlineStr">
        <is>
          <t>M-500</t>
        </is>
      </c>
      <c r="B88" s="24" t="inlineStr">
        <is>
          <t>Mechanical</t>
        </is>
      </c>
      <c r="C88" s="24" t="inlineStr"/>
      <c r="D88" s="25" t="inlineStr">
        <is>
          <t>ZZ</t>
        </is>
      </c>
      <c r="E88" s="26" t="inlineStr">
        <is>
          <t>Construction-stage model (revisions tracked)</t>
        </is>
      </c>
      <c r="F88" s="24" t="inlineStr">
        <is>
          <t>Model</t>
        </is>
      </c>
      <c r="G88" s="25" t="inlineStr">
        <is>
          <t>M3</t>
        </is>
      </c>
      <c r="H88" s="24" t="inlineStr">
        <is>
          <t>3.1 Construction</t>
        </is>
      </c>
      <c r="I88" s="25" t="inlineStr">
        <is>
          <t>400</t>
        </is>
      </c>
      <c r="J88" s="24" t="inlineStr">
        <is>
          <t>RVT/IFC</t>
        </is>
      </c>
      <c r="K88" s="25" t="inlineStr">
        <is>
          <t>A1</t>
        </is>
      </c>
      <c r="L88" s="25" t="inlineStr">
        <is>
          <t>Published</t>
        </is>
      </c>
      <c r="M88" s="25" t="n">
        <v>12</v>
      </c>
      <c r="N88" s="25" t="n">
        <v>43</v>
      </c>
      <c r="O88" s="27">
        <f>IF(Programme!$C$4="","",EOMONTH(Programme!$C$4,43))</f>
        <v/>
      </c>
      <c r="P88" s="27" t="n"/>
      <c r="Q88" s="28">
        <f>IF(AND(O88&lt;&gt;"",P88&lt;&gt;""),P88-O88,"")</f>
        <v/>
      </c>
      <c r="R88" s="24" t="inlineStr">
        <is>
          <t>MEP lead</t>
        </is>
      </c>
      <c r="S88" s="24" t="inlineStr">
        <is>
          <t>TIDP-M</t>
        </is>
      </c>
      <c r="T88" s="25" t="inlineStr">
        <is>
          <t>Y</t>
        </is>
      </c>
      <c r="U88" s="25" t="inlineStr">
        <is>
          <t>Y</t>
        </is>
      </c>
      <c r="V88" s="25" t="inlineStr">
        <is>
          <t>N</t>
        </is>
      </c>
      <c r="W88" s="25" t="inlineStr"/>
      <c r="X88" s="26" t="inlineStr">
        <is>
          <t>Maintenance type on plumbing fixtures from LOD 400</t>
        </is>
      </c>
    </row>
    <row r="89">
      <c r="A89" s="24" t="inlineStr">
        <is>
          <t>E-500</t>
        </is>
      </c>
      <c r="B89" s="24" t="inlineStr">
        <is>
          <t>Electrical</t>
        </is>
      </c>
      <c r="C89" s="24" t="inlineStr"/>
      <c r="D89" s="25" t="inlineStr">
        <is>
          <t>ZZ</t>
        </is>
      </c>
      <c r="E89" s="26" t="inlineStr">
        <is>
          <t>Construction-stage model (revisions tracked)</t>
        </is>
      </c>
      <c r="F89" s="24" t="inlineStr">
        <is>
          <t>Model</t>
        </is>
      </c>
      <c r="G89" s="25" t="inlineStr">
        <is>
          <t>M3</t>
        </is>
      </c>
      <c r="H89" s="24" t="inlineStr">
        <is>
          <t>3.1 Construction</t>
        </is>
      </c>
      <c r="I89" s="25" t="inlineStr">
        <is>
          <t>400</t>
        </is>
      </c>
      <c r="J89" s="24" t="inlineStr">
        <is>
          <t>RVT/IFC</t>
        </is>
      </c>
      <c r="K89" s="25" t="inlineStr">
        <is>
          <t>A1</t>
        </is>
      </c>
      <c r="L89" s="25" t="inlineStr">
        <is>
          <t>Published</t>
        </is>
      </c>
      <c r="M89" s="25" t="n">
        <v>12</v>
      </c>
      <c r="N89" s="25" t="n">
        <v>43</v>
      </c>
      <c r="O89" s="27">
        <f>IF(Programme!$C$4="","",EOMONTH(Programme!$C$4,43))</f>
        <v/>
      </c>
      <c r="P89" s="27" t="n"/>
      <c r="Q89" s="28">
        <f>IF(AND(O89&lt;&gt;"",P89&lt;&gt;""),P89-O89,"")</f>
        <v/>
      </c>
      <c r="R89" s="24" t="inlineStr">
        <is>
          <t>MEP lead</t>
        </is>
      </c>
      <c r="S89" s="24" t="inlineStr">
        <is>
          <t>TIDP-E</t>
        </is>
      </c>
      <c r="T89" s="25" t="inlineStr">
        <is>
          <t>Y</t>
        </is>
      </c>
      <c r="U89" s="25" t="inlineStr">
        <is>
          <t>Y</t>
        </is>
      </c>
      <c r="V89" s="25" t="inlineStr">
        <is>
          <t>N</t>
        </is>
      </c>
      <c r="W89" s="25" t="inlineStr"/>
      <c r="X89" s="26" t="inlineStr"/>
    </row>
    <row r="90">
      <c r="A90" s="24" t="inlineStr">
        <is>
          <t>P-500</t>
        </is>
      </c>
      <c r="B90" s="24" t="inlineStr">
        <is>
          <t>Public Health</t>
        </is>
      </c>
      <c r="C90" s="24" t="inlineStr"/>
      <c r="D90" s="25" t="inlineStr">
        <is>
          <t>ZZ</t>
        </is>
      </c>
      <c r="E90" s="26" t="inlineStr">
        <is>
          <t>Construction-stage model (revisions tracked)</t>
        </is>
      </c>
      <c r="F90" s="24" t="inlineStr">
        <is>
          <t>Model</t>
        </is>
      </c>
      <c r="G90" s="25" t="inlineStr">
        <is>
          <t>M3</t>
        </is>
      </c>
      <c r="H90" s="24" t="inlineStr">
        <is>
          <t>3.1 Construction</t>
        </is>
      </c>
      <c r="I90" s="25" t="inlineStr">
        <is>
          <t>400</t>
        </is>
      </c>
      <c r="J90" s="24" t="inlineStr">
        <is>
          <t>RVT/IFC</t>
        </is>
      </c>
      <c r="K90" s="25" t="inlineStr">
        <is>
          <t>A1</t>
        </is>
      </c>
      <c r="L90" s="25" t="inlineStr">
        <is>
          <t>Published</t>
        </is>
      </c>
      <c r="M90" s="25" t="n">
        <v>12</v>
      </c>
      <c r="N90" s="25" t="n">
        <v>43</v>
      </c>
      <c r="O90" s="27">
        <f>IF(Programme!$C$4="","",EOMONTH(Programme!$C$4,43))</f>
        <v/>
      </c>
      <c r="P90" s="27" t="n"/>
      <c r="Q90" s="28">
        <f>IF(AND(O90&lt;&gt;"",P90&lt;&gt;""),P90-O90,"")</f>
        <v/>
      </c>
      <c r="R90" s="24" t="inlineStr">
        <is>
          <t>MEP lead</t>
        </is>
      </c>
      <c r="S90" s="24" t="inlineStr">
        <is>
          <t>TIDP-P</t>
        </is>
      </c>
      <c r="T90" s="25" t="inlineStr">
        <is>
          <t>Y</t>
        </is>
      </c>
      <c r="U90" s="25" t="inlineStr">
        <is>
          <t>Y</t>
        </is>
      </c>
      <c r="V90" s="25" t="inlineStr">
        <is>
          <t>N</t>
        </is>
      </c>
      <c r="W90" s="25" t="inlineStr"/>
      <c r="X90" s="26" t="inlineStr"/>
    </row>
    <row r="91">
      <c r="A91" s="24" t="inlineStr">
        <is>
          <t>FP-500</t>
        </is>
      </c>
      <c r="B91" s="24" t="inlineStr">
        <is>
          <t>Fire Protection</t>
        </is>
      </c>
      <c r="C91" s="24" t="inlineStr"/>
      <c r="D91" s="25" t="inlineStr">
        <is>
          <t>ZZ</t>
        </is>
      </c>
      <c r="E91" s="26" t="inlineStr">
        <is>
          <t>Construction-stage model (revisions tracked)</t>
        </is>
      </c>
      <c r="F91" s="24" t="inlineStr">
        <is>
          <t>Model</t>
        </is>
      </c>
      <c r="G91" s="25" t="inlineStr">
        <is>
          <t>M3</t>
        </is>
      </c>
      <c r="H91" s="24" t="inlineStr">
        <is>
          <t>3.1 Construction</t>
        </is>
      </c>
      <c r="I91" s="25" t="inlineStr">
        <is>
          <t>400</t>
        </is>
      </c>
      <c r="J91" s="24" t="inlineStr">
        <is>
          <t>RVT/IFC</t>
        </is>
      </c>
      <c r="K91" s="25" t="inlineStr">
        <is>
          <t>A1</t>
        </is>
      </c>
      <c r="L91" s="25" t="inlineStr">
        <is>
          <t>Published</t>
        </is>
      </c>
      <c r="M91" s="25" t="n">
        <v>12</v>
      </c>
      <c r="N91" s="25" t="n">
        <v>43</v>
      </c>
      <c r="O91" s="27">
        <f>IF(Programme!$C$4="","",EOMONTH(Programme!$C$4,43))</f>
        <v/>
      </c>
      <c r="P91" s="27" t="n"/>
      <c r="Q91" s="28">
        <f>IF(AND(O91&lt;&gt;"",P91&lt;&gt;""),P91-O91,"")</f>
        <v/>
      </c>
      <c r="R91" s="24" t="inlineStr">
        <is>
          <t>Design-build fire contractor</t>
        </is>
      </c>
      <c r="S91" s="24" t="inlineStr">
        <is>
          <t>TIDP-Y-FP</t>
        </is>
      </c>
      <c r="T91" s="25" t="inlineStr">
        <is>
          <t>Y</t>
        </is>
      </c>
      <c r="U91" s="25" t="inlineStr">
        <is>
          <t>Y</t>
        </is>
      </c>
      <c r="V91" s="25" t="inlineStr">
        <is>
          <t>N</t>
        </is>
      </c>
      <c r="W91" s="25" t="inlineStr"/>
      <c r="X91" s="26" t="inlineStr">
        <is>
          <t>D-B contractor becomes engineer of record</t>
        </is>
      </c>
    </row>
    <row r="92">
      <c r="A92" s="24" t="inlineStr">
        <is>
          <t>LV-500</t>
        </is>
      </c>
      <c r="B92" s="24" t="inlineStr">
        <is>
          <t>Low Voltage</t>
        </is>
      </c>
      <c r="C92" s="24" t="inlineStr"/>
      <c r="D92" s="25" t="inlineStr">
        <is>
          <t>ZZ</t>
        </is>
      </c>
      <c r="E92" s="26" t="inlineStr">
        <is>
          <t>Construction-stage model (revisions tracked)</t>
        </is>
      </c>
      <c r="F92" s="24" t="inlineStr">
        <is>
          <t>Model</t>
        </is>
      </c>
      <c r="G92" s="25" t="inlineStr">
        <is>
          <t>M3</t>
        </is>
      </c>
      <c r="H92" s="24" t="inlineStr">
        <is>
          <t>3.1 Construction</t>
        </is>
      </c>
      <c r="I92" s="25" t="inlineStr">
        <is>
          <t>400</t>
        </is>
      </c>
      <c r="J92" s="24" t="inlineStr">
        <is>
          <t>RVT/IFC</t>
        </is>
      </c>
      <c r="K92" s="25" t="inlineStr">
        <is>
          <t>A1</t>
        </is>
      </c>
      <c r="L92" s="25" t="inlineStr">
        <is>
          <t>Published</t>
        </is>
      </c>
      <c r="M92" s="25" t="n">
        <v>12</v>
      </c>
      <c r="N92" s="25" t="n">
        <v>43</v>
      </c>
      <c r="O92" s="27">
        <f>IF(Programme!$C$4="","",EOMONTH(Programme!$C$4,43))</f>
        <v/>
      </c>
      <c r="P92" s="27" t="n"/>
      <c r="Q92" s="28">
        <f>IF(AND(O92&lt;&gt;"",P92&lt;&gt;""),P92-O92,"")</f>
        <v/>
      </c>
      <c r="R92" s="24" t="inlineStr">
        <is>
          <t>LV lead</t>
        </is>
      </c>
      <c r="S92" s="24" t="inlineStr">
        <is>
          <t>TIDP-Y-LV</t>
        </is>
      </c>
      <c r="T92" s="25" t="inlineStr">
        <is>
          <t>Y</t>
        </is>
      </c>
      <c r="U92" s="25" t="inlineStr">
        <is>
          <t>Y</t>
        </is>
      </c>
      <c r="V92" s="25" t="inlineStr">
        <is>
          <t>N</t>
        </is>
      </c>
      <c r="W92" s="25" t="inlineStr"/>
      <c r="X92" s="26" t="inlineStr"/>
    </row>
    <row r="93">
      <c r="A93" s="24" t="inlineStr">
        <is>
          <t>G-500</t>
        </is>
      </c>
      <c r="B93" s="24" t="inlineStr">
        <is>
          <t>Civil and Site</t>
        </is>
      </c>
      <c r="C93" s="24" t="inlineStr"/>
      <c r="D93" s="25" t="inlineStr">
        <is>
          <t>00</t>
        </is>
      </c>
      <c r="E93" s="26" t="inlineStr">
        <is>
          <t>Construction-stage model (revisions tracked)</t>
        </is>
      </c>
      <c r="F93" s="24" t="inlineStr">
        <is>
          <t>Model</t>
        </is>
      </c>
      <c r="G93" s="25" t="inlineStr">
        <is>
          <t>M3</t>
        </is>
      </c>
      <c r="H93" s="24" t="inlineStr">
        <is>
          <t>3.1 Construction</t>
        </is>
      </c>
      <c r="I93" s="25" t="inlineStr">
        <is>
          <t>400</t>
        </is>
      </c>
      <c r="J93" s="24" t="inlineStr">
        <is>
          <t>RVT/IFC</t>
        </is>
      </c>
      <c r="K93" s="25" t="inlineStr">
        <is>
          <t>A1</t>
        </is>
      </c>
      <c r="L93" s="25" t="inlineStr">
        <is>
          <t>Published</t>
        </is>
      </c>
      <c r="M93" s="25" t="n">
        <v>12</v>
      </c>
      <c r="N93" s="25" t="n">
        <v>43</v>
      </c>
      <c r="O93" s="27">
        <f>IF(Programme!$C$4="","",EOMONTH(Programme!$C$4,43))</f>
        <v/>
      </c>
      <c r="P93" s="27" t="n"/>
      <c r="Q93" s="28">
        <f>IF(AND(O93&lt;&gt;"",P93&lt;&gt;""),P93-O93,"")</f>
        <v/>
      </c>
      <c r="R93" s="24" t="inlineStr">
        <is>
          <t>Civil lead</t>
        </is>
      </c>
      <c r="S93" s="24" t="inlineStr">
        <is>
          <t>TIDP-C</t>
        </is>
      </c>
      <c r="T93" s="25" t="inlineStr">
        <is>
          <t>Y</t>
        </is>
      </c>
      <c r="U93" s="25" t="inlineStr">
        <is>
          <t>Y</t>
        </is>
      </c>
      <c r="V93" s="25" t="inlineStr">
        <is>
          <t>N</t>
        </is>
      </c>
      <c r="W93" s="25" t="inlineStr"/>
      <c r="X93" s="26" t="inlineStr"/>
    </row>
    <row r="94">
      <c r="A94" s="24" t="inlineStr">
        <is>
          <t>C-500</t>
        </is>
      </c>
      <c r="B94" s="24" t="inlineStr">
        <is>
          <t>Contractor</t>
        </is>
      </c>
      <c r="C94" s="24" t="inlineStr"/>
      <c r="D94" s="25" t="inlineStr">
        <is>
          <t>ZZ</t>
        </is>
      </c>
      <c r="E94" s="26" t="inlineStr">
        <is>
          <t>Shop drawings and fabrication models (steel, MEP modules, façade)</t>
        </is>
      </c>
      <c r="F94" s="24" t="inlineStr">
        <is>
          <t>Model/Drawing</t>
        </is>
      </c>
      <c r="G94" s="25" t="inlineStr">
        <is>
          <t>M3</t>
        </is>
      </c>
      <c r="H94" s="24" t="inlineStr">
        <is>
          <t>3.1 Construction</t>
        </is>
      </c>
      <c r="I94" s="25" t="inlineStr">
        <is>
          <t>400</t>
        </is>
      </c>
      <c r="J94" s="24" t="inlineStr">
        <is>
          <t>RVT/IFC/PDF</t>
        </is>
      </c>
      <c r="K94" s="25" t="inlineStr">
        <is>
          <t>S2</t>
        </is>
      </c>
      <c r="L94" s="25" t="inlineStr">
        <is>
          <t>Shared</t>
        </is>
      </c>
      <c r="M94" s="25" t="n">
        <v>12</v>
      </c>
      <c r="N94" s="25" t="n">
        <v>43</v>
      </c>
      <c r="O94" s="27">
        <f>IF(Programme!$C$4="","",EOMONTH(Programme!$C$4,43))</f>
        <v/>
      </c>
      <c r="P94" s="27" t="n"/>
      <c r="Q94" s="28">
        <f>IF(AND(O94&lt;&gt;"",P94&lt;&gt;""),P94-O94,"")</f>
        <v/>
      </c>
      <c r="R94" s="24" t="inlineStr">
        <is>
          <t>Contractor</t>
        </is>
      </c>
      <c r="S94" s="24" t="inlineStr">
        <is>
          <t>TIDP-W</t>
        </is>
      </c>
      <c r="T94" s="25" t="inlineStr">
        <is>
          <t>Y</t>
        </is>
      </c>
      <c r="U94" s="25" t="inlineStr">
        <is>
          <t>Y</t>
        </is>
      </c>
      <c r="V94" s="25" t="inlineStr">
        <is>
          <t>N</t>
        </is>
      </c>
      <c r="W94" s="25" t="inlineStr"/>
      <c r="X94" s="26" t="inlineStr">
        <is>
          <t>Linked into the federation</t>
        </is>
      </c>
    </row>
    <row r="95">
      <c r="A95" s="24" t="inlineStr">
        <is>
          <t>Z-510</t>
        </is>
      </c>
      <c r="B95" s="24" t="inlineStr">
        <is>
          <t>Information Management</t>
        </is>
      </c>
      <c r="C95" s="24" t="inlineStr"/>
      <c r="D95" s="25" t="inlineStr">
        <is>
          <t>ZZ</t>
        </is>
      </c>
      <c r="E95" s="26" t="inlineStr">
        <is>
          <t>Request for information and submittal register</t>
        </is>
      </c>
      <c r="F95" s="24" t="inlineStr">
        <is>
          <t>Report</t>
        </is>
      </c>
      <c r="G95" s="25" t="inlineStr">
        <is>
          <t>RP</t>
        </is>
      </c>
      <c r="H95" s="24" t="inlineStr">
        <is>
          <t>3.1 Construction</t>
        </is>
      </c>
      <c r="I95" s="25" t="inlineStr">
        <is>
          <t>400</t>
        </is>
      </c>
      <c r="J95" s="24" t="inlineStr">
        <is>
          <t>XLSX</t>
        </is>
      </c>
      <c r="K95" s="25" t="inlineStr">
        <is>
          <t>S2</t>
        </is>
      </c>
      <c r="L95" s="25" t="inlineStr">
        <is>
          <t>Shared</t>
        </is>
      </c>
      <c r="M95" s="25" t="n">
        <v>12</v>
      </c>
      <c r="N95" s="25" t="n">
        <v>43</v>
      </c>
      <c r="O95" s="27">
        <f>IF(Programme!$C$4="","",EOMONTH(Programme!$C$4,43))</f>
        <v/>
      </c>
      <c r="P95" s="27" t="n"/>
      <c r="Q95" s="28">
        <f>IF(AND(O95&lt;&gt;"",P95&lt;&gt;""),P95-O95,"")</f>
        <v/>
      </c>
      <c r="R95" s="24" t="inlineStr">
        <is>
          <t>Information Manager</t>
        </is>
      </c>
      <c r="S95" s="24" t="inlineStr">
        <is>
          <t>TIDP-Z</t>
        </is>
      </c>
      <c r="T95" s="25" t="inlineStr">
        <is>
          <t>N</t>
        </is>
      </c>
      <c r="U95" s="25" t="inlineStr">
        <is>
          <t>N</t>
        </is>
      </c>
      <c r="V95" s="25" t="inlineStr">
        <is>
          <t>N</t>
        </is>
      </c>
      <c r="W95" s="25" t="inlineStr"/>
      <c r="X95" s="26" t="inlineStr">
        <is>
          <t>Maintained continuously</t>
        </is>
      </c>
    </row>
    <row r="96">
      <c r="A96" s="24" t="inlineStr">
        <is>
          <t>Z-511</t>
        </is>
      </c>
      <c r="B96" s="24" t="inlineStr">
        <is>
          <t>Information Management</t>
        </is>
      </c>
      <c r="C96" s="24" t="inlineStr"/>
      <c r="D96" s="25" t="inlineStr">
        <is>
          <t>ZZ</t>
        </is>
      </c>
      <c r="E96" s="26" t="inlineStr">
        <is>
          <t>Monthly BIM status report (construction)</t>
        </is>
      </c>
      <c r="F96" s="24" t="inlineStr">
        <is>
          <t>Report</t>
        </is>
      </c>
      <c r="G96" s="25" t="inlineStr">
        <is>
          <t>RP</t>
        </is>
      </c>
      <c r="H96" s="24" t="inlineStr">
        <is>
          <t>3.1 Construction</t>
        </is>
      </c>
      <c r="I96" s="25" t="inlineStr">
        <is>
          <t>400</t>
        </is>
      </c>
      <c r="J96" s="24" t="inlineStr">
        <is>
          <t>PDF</t>
        </is>
      </c>
      <c r="K96" s="25" t="inlineStr">
        <is>
          <t>S2</t>
        </is>
      </c>
      <c r="L96" s="25" t="inlineStr">
        <is>
          <t>Shared</t>
        </is>
      </c>
      <c r="M96" s="25" t="n">
        <v>12</v>
      </c>
      <c r="N96" s="25" t="n">
        <v>49</v>
      </c>
      <c r="O96" s="27">
        <f>IF(Programme!$C$4="","",EOMONTH(Programme!$C$4,49))</f>
        <v/>
      </c>
      <c r="P96" s="27" t="n"/>
      <c r="Q96" s="28">
        <f>IF(AND(O96&lt;&gt;"",P96&lt;&gt;""),P96-O96,"")</f>
        <v/>
      </c>
      <c r="R96" s="24" t="inlineStr">
        <is>
          <t>Information Manager</t>
        </is>
      </c>
      <c r="S96" s="24" t="inlineStr">
        <is>
          <t>TIDP-Z</t>
        </is>
      </c>
      <c r="T96" s="25" t="inlineStr">
        <is>
          <t>N</t>
        </is>
      </c>
      <c r="U96" s="25" t="inlineStr">
        <is>
          <t>N</t>
        </is>
      </c>
      <c r="V96" s="25" t="inlineStr">
        <is>
          <t>N</t>
        </is>
      </c>
      <c r="W96" s="25" t="inlineStr"/>
      <c r="X96" s="26" t="inlineStr"/>
    </row>
    <row r="97">
      <c r="A97" s="24" t="inlineStr">
        <is>
          <t>Z-512</t>
        </is>
      </c>
      <c r="B97" s="24" t="inlineStr">
        <is>
          <t>Contractor</t>
        </is>
      </c>
      <c r="C97" s="24" t="inlineStr"/>
      <c r="D97" s="25" t="inlineStr">
        <is>
          <t>ZZ</t>
        </is>
      </c>
      <c r="E97" s="26" t="inlineStr">
        <is>
          <t>As-built capture (progressive)</t>
        </is>
      </c>
      <c r="F97" s="24" t="inlineStr">
        <is>
          <t>Model</t>
        </is>
      </c>
      <c r="G97" s="25" t="inlineStr">
        <is>
          <t>M3</t>
        </is>
      </c>
      <c r="H97" s="24" t="inlineStr">
        <is>
          <t>3.1 Construction</t>
        </is>
      </c>
      <c r="I97" s="25" t="inlineStr">
        <is>
          <t>400</t>
        </is>
      </c>
      <c r="J97" s="24" t="inlineStr">
        <is>
          <t>RVT/IFC</t>
        </is>
      </c>
      <c r="K97" s="25" t="inlineStr">
        <is>
          <t>S2</t>
        </is>
      </c>
      <c r="L97" s="25" t="inlineStr">
        <is>
          <t>Shared</t>
        </is>
      </c>
      <c r="M97" s="25" t="n">
        <v>12</v>
      </c>
      <c r="N97" s="25" t="n">
        <v>43</v>
      </c>
      <c r="O97" s="27">
        <f>IF(Programme!$C$4="","",EOMONTH(Programme!$C$4,43))</f>
        <v/>
      </c>
      <c r="P97" s="27" t="n"/>
      <c r="Q97" s="28">
        <f>IF(AND(O97&lt;&gt;"",P97&lt;&gt;""),P97-O97,"")</f>
        <v/>
      </c>
      <c r="R97" s="24" t="inlineStr">
        <is>
          <t>Contractor</t>
        </is>
      </c>
      <c r="S97" s="24" t="inlineStr">
        <is>
          <t>TIDP-W</t>
        </is>
      </c>
      <c r="T97" s="25" t="inlineStr">
        <is>
          <t>Y</t>
        </is>
      </c>
      <c r="U97" s="25" t="inlineStr">
        <is>
          <t>Y</t>
        </is>
      </c>
      <c r="V97" s="25" t="inlineStr">
        <is>
          <t>N</t>
        </is>
      </c>
      <c r="W97" s="25" t="inlineStr"/>
      <c r="X97" s="26" t="inlineStr">
        <is>
          <t>Clouded changes in official documentation; current to within one month</t>
        </is>
      </c>
    </row>
    <row r="98">
      <c r="A98" s="24" t="inlineStr">
        <is>
          <t>Z-513</t>
        </is>
      </c>
      <c r="B98" s="24" t="inlineStr">
        <is>
          <t>Contractor</t>
        </is>
      </c>
      <c r="C98" s="24" t="inlineStr"/>
      <c r="D98" s="25" t="inlineStr">
        <is>
          <t>ZZ</t>
        </is>
      </c>
      <c r="E98" s="26" t="inlineStr">
        <is>
          <t>Asset data capture (tiered schedule, BEP 14)</t>
        </is>
      </c>
      <c r="F98" s="24" t="inlineStr">
        <is>
          <t>Schedule</t>
        </is>
      </c>
      <c r="G98" s="25" t="inlineStr">
        <is>
          <t>SH</t>
        </is>
      </c>
      <c r="H98" s="24" t="inlineStr">
        <is>
          <t>3.1 Construction</t>
        </is>
      </c>
      <c r="I98" s="25" t="inlineStr">
        <is>
          <t>400</t>
        </is>
      </c>
      <c r="J98" s="24" t="inlineStr">
        <is>
          <t>XLSX</t>
        </is>
      </c>
      <c r="K98" s="25" t="inlineStr">
        <is>
          <t>S2</t>
        </is>
      </c>
      <c r="L98" s="25" t="inlineStr">
        <is>
          <t>Shared</t>
        </is>
      </c>
      <c r="M98" s="25" t="n">
        <v>12</v>
      </c>
      <c r="N98" s="25" t="n">
        <v>47</v>
      </c>
      <c r="O98" s="27">
        <f>IF(Programme!$C$4="","",EOMONTH(Programme!$C$4,47))</f>
        <v/>
      </c>
      <c r="P98" s="27" t="n"/>
      <c r="Q98" s="28">
        <f>IF(AND(O98&lt;&gt;"",P98&lt;&gt;""),P98-O98,"")</f>
        <v/>
      </c>
      <c r="R98" s="24" t="inlineStr">
        <is>
          <t>Contractor</t>
        </is>
      </c>
      <c r="S98" s="24" t="inlineStr">
        <is>
          <t>TIDP-W</t>
        </is>
      </c>
      <c r="T98" s="25" t="inlineStr">
        <is>
          <t>Y</t>
        </is>
      </c>
      <c r="U98" s="25" t="inlineStr">
        <is>
          <t>Y</t>
        </is>
      </c>
      <c r="V98" s="25" t="inlineStr">
        <is>
          <t>Y</t>
        </is>
      </c>
      <c r="W98" s="25" t="inlineStr"/>
      <c r="X98" s="26" t="inlineStr">
        <is>
          <t>Tier A serialised plant, B maintainable devices, C warranted fabric</t>
        </is>
      </c>
    </row>
    <row r="99">
      <c r="A99" s="24" t="inlineStr">
        <is>
          <t>Z-514</t>
        </is>
      </c>
      <c r="B99" s="24" t="inlineStr">
        <is>
          <t>Information Management</t>
        </is>
      </c>
      <c r="C99" s="24" t="inlineStr"/>
      <c r="D99" s="25" t="inlineStr">
        <is>
          <t>ZZ</t>
        </is>
      </c>
      <c r="E99" s="26" t="inlineStr">
        <is>
          <t>Asset data completeness report (monthly, by tier and volume)</t>
        </is>
      </c>
      <c r="F99" s="24" t="inlineStr">
        <is>
          <t>Report</t>
        </is>
      </c>
      <c r="G99" s="25" t="inlineStr">
        <is>
          <t>RP</t>
        </is>
      </c>
      <c r="H99" s="24" t="inlineStr">
        <is>
          <t>3.1 Construction</t>
        </is>
      </c>
      <c r="I99" s="25" t="inlineStr">
        <is>
          <t>400</t>
        </is>
      </c>
      <c r="J99" s="24" t="inlineStr">
        <is>
          <t>XLSX/PDF</t>
        </is>
      </c>
      <c r="K99" s="25" t="inlineStr">
        <is>
          <t>S2</t>
        </is>
      </c>
      <c r="L99" s="25" t="inlineStr">
        <is>
          <t>Shared</t>
        </is>
      </c>
      <c r="M99" s="25" t="n">
        <v>12</v>
      </c>
      <c r="N99" s="25" t="n">
        <v>47</v>
      </c>
      <c r="O99" s="27">
        <f>IF(Programme!$C$4="","",EOMONTH(Programme!$C$4,47))</f>
        <v/>
      </c>
      <c r="P99" s="27" t="n"/>
      <c r="Q99" s="28">
        <f>IF(AND(O99&lt;&gt;"",P99&lt;&gt;""),P99-O99,"")</f>
        <v/>
      </c>
      <c r="R99" s="24" t="inlineStr">
        <is>
          <t>Information Manager</t>
        </is>
      </c>
      <c r="S99" s="24" t="inlineStr">
        <is>
          <t>TIDP-Z</t>
        </is>
      </c>
      <c r="T99" s="25" t="inlineStr">
        <is>
          <t>N</t>
        </is>
      </c>
      <c r="U99" s="25" t="inlineStr">
        <is>
          <t>N</t>
        </is>
      </c>
      <c r="V99" s="25" t="inlineStr">
        <is>
          <t>N</t>
        </is>
      </c>
      <c r="W99" s="25" t="inlineStr"/>
      <c r="X99" s="26" t="inlineStr">
        <is>
          <t>A tier below 95% at Gate D is a gate failure</t>
        </is>
      </c>
    </row>
    <row r="100">
      <c r="A100" s="24" t="inlineStr">
        <is>
          <t>Z-515</t>
        </is>
      </c>
      <c r="B100" s="24" t="inlineStr">
        <is>
          <t>Information Management</t>
        </is>
      </c>
      <c r="C100" s="24" t="inlineStr"/>
      <c r="D100" s="25" t="inlineStr">
        <is>
          <t>ZZ</t>
        </is>
      </c>
      <c r="E100" s="26" t="inlineStr">
        <is>
          <t>Quarterly model-health audit</t>
        </is>
      </c>
      <c r="F100" s="24" t="inlineStr">
        <is>
          <t>Report</t>
        </is>
      </c>
      <c r="G100" s="25" t="inlineStr">
        <is>
          <t>RP</t>
        </is>
      </c>
      <c r="H100" s="24" t="inlineStr">
        <is>
          <t>3.1 Construction</t>
        </is>
      </c>
      <c r="I100" s="25" t="inlineStr">
        <is>
          <t>400</t>
        </is>
      </c>
      <c r="J100" s="24" t="inlineStr">
        <is>
          <t>PDF</t>
        </is>
      </c>
      <c r="K100" s="25" t="inlineStr">
        <is>
          <t>S2</t>
        </is>
      </c>
      <c r="L100" s="25" t="inlineStr">
        <is>
          <t>Shared</t>
        </is>
      </c>
      <c r="M100" s="25" t="n">
        <v>12</v>
      </c>
      <c r="N100" s="25" t="n">
        <v>43</v>
      </c>
      <c r="O100" s="27">
        <f>IF(Programme!$C$4="","",EOMONTH(Programme!$C$4,43))</f>
        <v/>
      </c>
      <c r="P100" s="27" t="n"/>
      <c r="Q100" s="28">
        <f>IF(AND(O100&lt;&gt;"",P100&lt;&gt;""),P100-O100,"")</f>
        <v/>
      </c>
      <c r="R100" s="24" t="inlineStr">
        <is>
          <t>Information Manager</t>
        </is>
      </c>
      <c r="S100" s="24" t="inlineStr">
        <is>
          <t>TIDP-Z</t>
        </is>
      </c>
      <c r="T100" s="25" t="inlineStr">
        <is>
          <t>N</t>
        </is>
      </c>
      <c r="U100" s="25" t="inlineStr">
        <is>
          <t>N</t>
        </is>
      </c>
      <c r="V100" s="25" t="inlineStr">
        <is>
          <t>N</t>
        </is>
      </c>
      <c r="W100" s="25" t="inlineStr"/>
      <c r="X100" s="26" t="inlineStr"/>
    </row>
    <row r="101">
      <c r="A101" s="24" t="inlineStr">
        <is>
          <t>Z-516</t>
        </is>
      </c>
      <c r="B101" s="24" t="inlineStr">
        <is>
          <t>Information Management</t>
        </is>
      </c>
      <c r="C101" s="24" t="inlineStr"/>
      <c r="D101" s="25" t="inlineStr">
        <is>
          <t>ZZ</t>
        </is>
      </c>
      <c r="E101" s="26" t="inlineStr">
        <is>
          <t>Revision register</t>
        </is>
      </c>
      <c r="F101" s="24" t="inlineStr">
        <is>
          <t>Schedule</t>
        </is>
      </c>
      <c r="G101" s="25" t="inlineStr">
        <is>
          <t>SH</t>
        </is>
      </c>
      <c r="H101" s="24" t="inlineStr">
        <is>
          <t>3.1 Construction</t>
        </is>
      </c>
      <c r="I101" s="25" t="inlineStr">
        <is>
          <t>400</t>
        </is>
      </c>
      <c r="J101" s="24" t="inlineStr">
        <is>
          <t>XLSX</t>
        </is>
      </c>
      <c r="K101" s="25" t="inlineStr">
        <is>
          <t>S2</t>
        </is>
      </c>
      <c r="L101" s="25" t="inlineStr">
        <is>
          <t>Shared</t>
        </is>
      </c>
      <c r="M101" s="25" t="n">
        <v>12</v>
      </c>
      <c r="N101" s="25" t="n">
        <v>43</v>
      </c>
      <c r="O101" s="27">
        <f>IF(Programme!$C$4="","",EOMONTH(Programme!$C$4,43))</f>
        <v/>
      </c>
      <c r="P101" s="27" t="n"/>
      <c r="Q101" s="28">
        <f>IF(AND(O101&lt;&gt;"",P101&lt;&gt;""),P101-O101,"")</f>
        <v/>
      </c>
      <c r="R101" s="24" t="inlineStr">
        <is>
          <t>Information Manager</t>
        </is>
      </c>
      <c r="S101" s="24" t="inlineStr">
        <is>
          <t>TIDP-Z</t>
        </is>
      </c>
      <c r="T101" s="25" t="inlineStr">
        <is>
          <t>N</t>
        </is>
      </c>
      <c r="U101" s="25" t="inlineStr">
        <is>
          <t>N</t>
        </is>
      </c>
      <c r="V101" s="25" t="inlineStr">
        <is>
          <t>N</t>
        </is>
      </c>
      <c r="W101" s="25" t="inlineStr"/>
      <c r="X101" s="26" t="inlineStr">
        <is>
          <t>Clouds and revision schedules</t>
        </is>
      </c>
    </row>
    <row r="102">
      <c r="A102" s="24" t="inlineStr">
        <is>
          <t>Z-517</t>
        </is>
      </c>
      <c r="B102" s="24" t="inlineStr">
        <is>
          <t>Information Management</t>
        </is>
      </c>
      <c r="C102" s="24" t="inlineStr"/>
      <c r="D102" s="25" t="inlineStr">
        <is>
          <t>ZZ</t>
        </is>
      </c>
      <c r="E102" s="26" t="inlineStr">
        <is>
          <t>Contractor and specialist induction record</t>
        </is>
      </c>
      <c r="F102" s="24" t="inlineStr">
        <is>
          <t>Document</t>
        </is>
      </c>
      <c r="G102" s="25" t="inlineStr">
        <is>
          <t>RP</t>
        </is>
      </c>
      <c r="H102" s="24" t="inlineStr">
        <is>
          <t>3.1 Construction</t>
        </is>
      </c>
      <c r="I102" s="25" t="inlineStr">
        <is>
          <t>n/a</t>
        </is>
      </c>
      <c r="J102" s="24" t="inlineStr">
        <is>
          <t>PDF</t>
        </is>
      </c>
      <c r="K102" s="25" t="inlineStr">
        <is>
          <t>S2</t>
        </is>
      </c>
      <c r="L102" s="25" t="inlineStr">
        <is>
          <t>Shared</t>
        </is>
      </c>
      <c r="M102" s="25" t="n">
        <v>12</v>
      </c>
      <c r="N102" s="25" t="n">
        <v>12</v>
      </c>
      <c r="O102" s="27">
        <f>IF(Programme!$C$4="","",EOMONTH(Programme!$C$4,12))</f>
        <v/>
      </c>
      <c r="P102" s="27" t="n"/>
      <c r="Q102" s="28">
        <f>IF(AND(O102&lt;&gt;"",P102&lt;&gt;""),P102-O102,"")</f>
        <v/>
      </c>
      <c r="R102" s="24" t="inlineStr">
        <is>
          <t>Information Manager</t>
        </is>
      </c>
      <c r="S102" s="24" t="inlineStr">
        <is>
          <t>TIDP-Z</t>
        </is>
      </c>
      <c r="T102" s="25" t="inlineStr">
        <is>
          <t>N</t>
        </is>
      </c>
      <c r="U102" s="25" t="inlineStr">
        <is>
          <t>N</t>
        </is>
      </c>
      <c r="V102" s="25" t="inlineStr">
        <is>
          <t>N</t>
        </is>
      </c>
      <c r="W102" s="25" t="inlineStr"/>
      <c r="X102" s="26" t="inlineStr">
        <is>
          <t>Including the design-build fire and controls contractors</t>
        </is>
      </c>
    </row>
    <row r="103">
      <c r="A103" s="24" t="inlineStr">
        <is>
          <t>Z-518</t>
        </is>
      </c>
      <c r="B103" s="24" t="inlineStr">
        <is>
          <t>Information Management</t>
        </is>
      </c>
      <c r="C103" s="24" t="inlineStr"/>
      <c r="D103" s="25" t="inlineStr">
        <is>
          <t>ZZ</t>
        </is>
      </c>
      <c r="E103" s="26" t="inlineStr">
        <is>
          <t>Construction-stage coordination reports (monthly)</t>
        </is>
      </c>
      <c r="F103" s="24" t="inlineStr">
        <is>
          <t>Report</t>
        </is>
      </c>
      <c r="G103" s="25" t="inlineStr">
        <is>
          <t>CR</t>
        </is>
      </c>
      <c r="H103" s="24" t="inlineStr">
        <is>
          <t>3.1 Construction</t>
        </is>
      </c>
      <c r="I103" s="25" t="inlineStr">
        <is>
          <t>400</t>
        </is>
      </c>
      <c r="J103" s="24" t="inlineStr">
        <is>
          <t>PDF/BCF</t>
        </is>
      </c>
      <c r="K103" s="25" t="inlineStr">
        <is>
          <t>S2</t>
        </is>
      </c>
      <c r="L103" s="25" t="inlineStr">
        <is>
          <t>Shared</t>
        </is>
      </c>
      <c r="M103" s="25" t="n">
        <v>12</v>
      </c>
      <c r="N103" s="25" t="n">
        <v>43</v>
      </c>
      <c r="O103" s="27">
        <f>IF(Programme!$C$4="","",EOMONTH(Programme!$C$4,43))</f>
        <v/>
      </c>
      <c r="P103" s="27" t="n"/>
      <c r="Q103" s="28">
        <f>IF(AND(O103&lt;&gt;"",P103&lt;&gt;""),P103-O103,"")</f>
        <v/>
      </c>
      <c r="R103" s="24" t="inlineStr">
        <is>
          <t>Information Manager</t>
        </is>
      </c>
      <c r="S103" s="24" t="inlineStr">
        <is>
          <t>TIDP-Z</t>
        </is>
      </c>
      <c r="T103" s="25" t="inlineStr">
        <is>
          <t>N</t>
        </is>
      </c>
      <c r="U103" s="25" t="inlineStr">
        <is>
          <t>N</t>
        </is>
      </c>
      <c r="V103" s="25" t="inlineStr">
        <is>
          <t>N</t>
        </is>
      </c>
      <c r="W103" s="25" t="inlineStr"/>
      <c r="X103" s="26" t="inlineStr"/>
    </row>
    <row r="104">
      <c r="A104" s="24" t="inlineStr">
        <is>
          <t>M-520</t>
        </is>
      </c>
      <c r="B104" s="24" t="inlineStr">
        <is>
          <t>Mechanical</t>
        </is>
      </c>
      <c r="C104" s="24" t="inlineStr"/>
      <c r="D104" s="25" t="inlineStr">
        <is>
          <t>ZZ</t>
        </is>
      </c>
      <c r="E104" s="26" t="inlineStr">
        <is>
          <t>Commissioning point list (Niagara)</t>
        </is>
      </c>
      <c r="F104" s="24" t="inlineStr">
        <is>
          <t>Schedule</t>
        </is>
      </c>
      <c r="G104" s="25" t="inlineStr">
        <is>
          <t>SH</t>
        </is>
      </c>
      <c r="H104" s="24" t="inlineStr">
        <is>
          <t>3.1 Construction</t>
        </is>
      </c>
      <c r="I104" s="25" t="inlineStr">
        <is>
          <t>400</t>
        </is>
      </c>
      <c r="J104" s="24" t="inlineStr">
        <is>
          <t>CSV</t>
        </is>
      </c>
      <c r="K104" s="25" t="inlineStr">
        <is>
          <t>S2</t>
        </is>
      </c>
      <c r="L104" s="25" t="inlineStr">
        <is>
          <t>Shared</t>
        </is>
      </c>
      <c r="M104" s="25" t="n">
        <v>40</v>
      </c>
      <c r="N104" s="25" t="n">
        <v>40</v>
      </c>
      <c r="O104" s="27">
        <f>IF(Programme!$C$4="","",EOMONTH(Programme!$C$4,40))</f>
        <v/>
      </c>
      <c r="P104" s="27" t="n"/>
      <c r="Q104" s="28">
        <f>IF(AND(O104&lt;&gt;"",P104&lt;&gt;""),P104-O104,"")</f>
        <v/>
      </c>
      <c r="R104" s="24" t="inlineStr">
        <is>
          <t>MEP lead</t>
        </is>
      </c>
      <c r="S104" s="24" t="inlineStr">
        <is>
          <t>TIDP-M</t>
        </is>
      </c>
      <c r="T104" s="25" t="inlineStr">
        <is>
          <t>Y</t>
        </is>
      </c>
      <c r="U104" s="25" t="inlineStr">
        <is>
          <t>N</t>
        </is>
      </c>
      <c r="V104" s="25" t="inlineStr">
        <is>
          <t>Y</t>
        </is>
      </c>
      <c r="W104" s="25" t="inlineStr"/>
      <c r="X104" s="26" t="inlineStr">
        <is>
          <t>Produced from the model for the controls contractor</t>
        </is>
      </c>
    </row>
    <row r="105">
      <c r="A105" s="24" t="inlineStr">
        <is>
          <t>FF-600</t>
        </is>
      </c>
      <c r="B105" s="24" t="inlineStr">
        <is>
          <t>FF&amp;E</t>
        </is>
      </c>
      <c r="C105" s="24" t="inlineStr"/>
      <c r="D105" s="25" t="inlineStr">
        <is>
          <t>ZZ</t>
        </is>
      </c>
      <c r="E105" s="26" t="inlineStr">
        <is>
          <t>FF&amp;E final schedule and procurement record</t>
        </is>
      </c>
      <c r="F105" s="24" t="inlineStr">
        <is>
          <t>Schedule</t>
        </is>
      </c>
      <c r="G105" s="25" t="inlineStr">
        <is>
          <t>SH</t>
        </is>
      </c>
      <c r="H105" s="24" t="inlineStr">
        <is>
          <t>3.2 FF&amp;E</t>
        </is>
      </c>
      <c r="I105" s="25" t="inlineStr">
        <is>
          <t>400</t>
        </is>
      </c>
      <c r="J105" s="24" t="inlineStr">
        <is>
          <t>XLSX</t>
        </is>
      </c>
      <c r="K105" s="25" t="inlineStr">
        <is>
          <t>A1</t>
        </is>
      </c>
      <c r="L105" s="25" t="inlineStr">
        <is>
          <t>Published</t>
        </is>
      </c>
      <c r="M105" s="25" t="n">
        <v>44</v>
      </c>
      <c r="N105" s="25" t="n">
        <v>47</v>
      </c>
      <c r="O105" s="27">
        <f>IF(Programme!$C$4="","",EOMONTH(Programme!$C$4,47))</f>
        <v/>
      </c>
      <c r="P105" s="27" t="n"/>
      <c r="Q105" s="28">
        <f>IF(AND(O105&lt;&gt;"",P105&lt;&gt;""),P105-O105,"")</f>
        <v/>
      </c>
      <c r="R105" s="24" t="inlineStr">
        <is>
          <t>Interior Designer</t>
        </is>
      </c>
      <c r="S105" s="24" t="inlineStr">
        <is>
          <t>TIDP-I</t>
        </is>
      </c>
      <c r="T105" s="25" t="inlineStr">
        <is>
          <t>Y</t>
        </is>
      </c>
      <c r="U105" s="25" t="inlineStr">
        <is>
          <t>N</t>
        </is>
      </c>
      <c r="V105" s="25" t="inlineStr">
        <is>
          <t>Y</t>
        </is>
      </c>
      <c r="W105" s="25" t="inlineStr"/>
      <c r="X105" s="26" t="inlineStr">
        <is>
          <t>Reconciled item by item</t>
        </is>
      </c>
    </row>
    <row r="106">
      <c r="A106" s="24" t="inlineStr">
        <is>
          <t>FF-601</t>
        </is>
      </c>
      <c r="B106" s="24" t="inlineStr">
        <is>
          <t>FF&amp;E</t>
        </is>
      </c>
      <c r="C106" s="24" t="inlineStr"/>
      <c r="D106" s="25" t="inlineStr">
        <is>
          <t>ZZ</t>
        </is>
      </c>
      <c r="E106" s="26" t="inlineStr">
        <is>
          <t>Installed FF&amp;E and finishes reconciliation report (model vs Fohlio)</t>
        </is>
      </c>
      <c r="F106" s="24" t="inlineStr">
        <is>
          <t>Report</t>
        </is>
      </c>
      <c r="G106" s="25" t="inlineStr">
        <is>
          <t>RP</t>
        </is>
      </c>
      <c r="H106" s="24" t="inlineStr">
        <is>
          <t>3.2 FF&amp;E</t>
        </is>
      </c>
      <c r="I106" s="25" t="inlineStr">
        <is>
          <t>400</t>
        </is>
      </c>
      <c r="J106" s="24" t="inlineStr">
        <is>
          <t>XLSX/PDF</t>
        </is>
      </c>
      <c r="K106" s="25" t="inlineStr">
        <is>
          <t>S2</t>
        </is>
      </c>
      <c r="L106" s="25" t="inlineStr">
        <is>
          <t>Shared</t>
        </is>
      </c>
      <c r="M106" s="25" t="n">
        <v>47</v>
      </c>
      <c r="N106" s="25" t="n">
        <v>47</v>
      </c>
      <c r="O106" s="27">
        <f>IF(Programme!$C$4="","",EOMONTH(Programme!$C$4,47))</f>
        <v/>
      </c>
      <c r="P106" s="27" t="n"/>
      <c r="Q106" s="28">
        <f>IF(AND(O106&lt;&gt;"",P106&lt;&gt;""),P106-O106,"")</f>
        <v/>
      </c>
      <c r="R106" s="24" t="inlineStr">
        <is>
          <t>Information Manager</t>
        </is>
      </c>
      <c r="S106" s="24" t="inlineStr">
        <is>
          <t>TIDP-I</t>
        </is>
      </c>
      <c r="T106" s="25" t="inlineStr">
        <is>
          <t>Y</t>
        </is>
      </c>
      <c r="U106" s="25" t="inlineStr">
        <is>
          <t>N</t>
        </is>
      </c>
      <c r="V106" s="25" t="inlineStr">
        <is>
          <t>Y</t>
        </is>
      </c>
      <c r="W106" s="25" t="inlineStr"/>
      <c r="X106" s="26" t="inlineStr">
        <is>
          <t>No unlinked items; O&amp;M data collected in Fohlio</t>
        </is>
      </c>
    </row>
    <row r="107">
      <c r="A107" s="24" t="inlineStr">
        <is>
          <t>A-700</t>
        </is>
      </c>
      <c r="B107" s="24" t="inlineStr">
        <is>
          <t>Architecture</t>
        </is>
      </c>
      <c r="C107" s="24" t="inlineStr"/>
      <c r="D107" s="25" t="inlineStr">
        <is>
          <t>ZZ</t>
        </is>
      </c>
      <c r="E107" s="26" t="inlineStr">
        <is>
          <t>As-built architectural model (LOD 500, verified)</t>
        </is>
      </c>
      <c r="F107" s="24" t="inlineStr">
        <is>
          <t>Model</t>
        </is>
      </c>
      <c r="G107" s="25" t="inlineStr">
        <is>
          <t>M3</t>
        </is>
      </c>
      <c r="H107" s="24" t="inlineStr">
        <is>
          <t>3.3 Deliverable D</t>
        </is>
      </c>
      <c r="I107" s="25" t="inlineStr">
        <is>
          <t>500</t>
        </is>
      </c>
      <c r="J107" s="24" t="inlineStr">
        <is>
          <t>RVT/IFC</t>
        </is>
      </c>
      <c r="K107" s="25" t="inlineStr">
        <is>
          <t>A1</t>
        </is>
      </c>
      <c r="L107" s="25" t="inlineStr">
        <is>
          <t>Published</t>
        </is>
      </c>
      <c r="M107" s="25" t="n">
        <v>48</v>
      </c>
      <c r="N107" s="25" t="n">
        <v>49</v>
      </c>
      <c r="O107" s="27">
        <f>IF(Programme!$C$4="","",EOMONTH(Programme!$C$4,49))</f>
        <v/>
      </c>
      <c r="P107" s="27" t="n"/>
      <c r="Q107" s="28">
        <f>IF(AND(O107&lt;&gt;"",P107&lt;&gt;""),P107-O107,"")</f>
        <v/>
      </c>
      <c r="R107" s="24" t="inlineStr">
        <is>
          <t>Architecture lead</t>
        </is>
      </c>
      <c r="S107" s="24" t="inlineStr">
        <is>
          <t>TIDP-A</t>
        </is>
      </c>
      <c r="T107" s="25" t="inlineStr">
        <is>
          <t>Y</t>
        </is>
      </c>
      <c r="U107" s="25" t="inlineStr">
        <is>
          <t>Y</t>
        </is>
      </c>
      <c r="V107" s="25" t="inlineStr">
        <is>
          <t>Y</t>
        </is>
      </c>
      <c r="W107" s="25" t="inlineStr"/>
      <c r="X107" s="26" t="inlineStr">
        <is>
          <t>Authored by the design consultant from the Contractor as-built documentation; verified by the Information Manager</t>
        </is>
      </c>
    </row>
    <row r="108">
      <c r="A108" s="24" t="inlineStr">
        <is>
          <t>S-700</t>
        </is>
      </c>
      <c r="B108" s="24" t="inlineStr">
        <is>
          <t>Structure</t>
        </is>
      </c>
      <c r="C108" s="24" t="inlineStr"/>
      <c r="D108" s="25" t="inlineStr">
        <is>
          <t>ZZ</t>
        </is>
      </c>
      <c r="E108" s="26" t="inlineStr">
        <is>
          <t>As-built structural model (LOD 500, verified)</t>
        </is>
      </c>
      <c r="F108" s="24" t="inlineStr">
        <is>
          <t>Model</t>
        </is>
      </c>
      <c r="G108" s="25" t="inlineStr">
        <is>
          <t>M3</t>
        </is>
      </c>
      <c r="H108" s="24" t="inlineStr">
        <is>
          <t>3.3 Deliverable D</t>
        </is>
      </c>
      <c r="I108" s="25" t="inlineStr">
        <is>
          <t>500</t>
        </is>
      </c>
      <c r="J108" s="24" t="inlineStr">
        <is>
          <t>RVT/IFC</t>
        </is>
      </c>
      <c r="K108" s="25" t="inlineStr">
        <is>
          <t>A1</t>
        </is>
      </c>
      <c r="L108" s="25" t="inlineStr">
        <is>
          <t>Published</t>
        </is>
      </c>
      <c r="M108" s="25" t="n">
        <v>48</v>
      </c>
      <c r="N108" s="25" t="n">
        <v>49</v>
      </c>
      <c r="O108" s="27">
        <f>IF(Programme!$C$4="","",EOMONTH(Programme!$C$4,49))</f>
        <v/>
      </c>
      <c r="P108" s="27" t="n"/>
      <c r="Q108" s="28">
        <f>IF(AND(O108&lt;&gt;"",P108&lt;&gt;""),P108-O108,"")</f>
        <v/>
      </c>
      <c r="R108" s="24" t="inlineStr">
        <is>
          <t>Structural lead</t>
        </is>
      </c>
      <c r="S108" s="24" t="inlineStr">
        <is>
          <t>TIDP-S</t>
        </is>
      </c>
      <c r="T108" s="25" t="inlineStr">
        <is>
          <t>Y</t>
        </is>
      </c>
      <c r="U108" s="25" t="inlineStr">
        <is>
          <t>Y</t>
        </is>
      </c>
      <c r="V108" s="25" t="inlineStr">
        <is>
          <t>Y</t>
        </is>
      </c>
      <c r="W108" s="25" t="inlineStr"/>
      <c r="X108" s="26" t="inlineStr">
        <is>
          <t>Authored by the design consultant from the Contractor as-built documentation; verified by the Information Manager</t>
        </is>
      </c>
    </row>
    <row r="109">
      <c r="A109" s="24" t="inlineStr">
        <is>
          <t>M-700</t>
        </is>
      </c>
      <c r="B109" s="24" t="inlineStr">
        <is>
          <t>Mechanical</t>
        </is>
      </c>
      <c r="C109" s="24" t="inlineStr"/>
      <c r="D109" s="25" t="inlineStr">
        <is>
          <t>ZZ</t>
        </is>
      </c>
      <c r="E109" s="26" t="inlineStr">
        <is>
          <t>As-built mechanical model (LOD 500, verified)</t>
        </is>
      </c>
      <c r="F109" s="24" t="inlineStr">
        <is>
          <t>Model</t>
        </is>
      </c>
      <c r="G109" s="25" t="inlineStr">
        <is>
          <t>M3</t>
        </is>
      </c>
      <c r="H109" s="24" t="inlineStr">
        <is>
          <t>3.3 Deliverable D</t>
        </is>
      </c>
      <c r="I109" s="25" t="inlineStr">
        <is>
          <t>500</t>
        </is>
      </c>
      <c r="J109" s="24" t="inlineStr">
        <is>
          <t>RVT/IFC</t>
        </is>
      </c>
      <c r="K109" s="25" t="inlineStr">
        <is>
          <t>A1</t>
        </is>
      </c>
      <c r="L109" s="25" t="inlineStr">
        <is>
          <t>Published</t>
        </is>
      </c>
      <c r="M109" s="25" t="n">
        <v>48</v>
      </c>
      <c r="N109" s="25" t="n">
        <v>49</v>
      </c>
      <c r="O109" s="27">
        <f>IF(Programme!$C$4="","",EOMONTH(Programme!$C$4,49))</f>
        <v/>
      </c>
      <c r="P109" s="27" t="n"/>
      <c r="Q109" s="28">
        <f>IF(AND(O109&lt;&gt;"",P109&lt;&gt;""),P109-O109,"")</f>
        <v/>
      </c>
      <c r="R109" s="24" t="inlineStr">
        <is>
          <t>MEP lead</t>
        </is>
      </c>
      <c r="S109" s="24" t="inlineStr">
        <is>
          <t>TIDP-M</t>
        </is>
      </c>
      <c r="T109" s="25" t="inlineStr">
        <is>
          <t>Y</t>
        </is>
      </c>
      <c r="U109" s="25" t="inlineStr">
        <is>
          <t>Y</t>
        </is>
      </c>
      <c r="V109" s="25" t="inlineStr">
        <is>
          <t>Y</t>
        </is>
      </c>
      <c r="W109" s="25" t="inlineStr"/>
      <c r="X109" s="26" t="inlineStr">
        <is>
          <t>Authored by the design consultant from the Contractor as-built documentation; verified by the Information Manager</t>
        </is>
      </c>
    </row>
    <row r="110">
      <c r="A110" s="24" t="inlineStr">
        <is>
          <t>E-700</t>
        </is>
      </c>
      <c r="B110" s="24" t="inlineStr">
        <is>
          <t>Electrical</t>
        </is>
      </c>
      <c r="C110" s="24" t="inlineStr"/>
      <c r="D110" s="25" t="inlineStr">
        <is>
          <t>ZZ</t>
        </is>
      </c>
      <c r="E110" s="26" t="inlineStr">
        <is>
          <t>As-built electrical model (LOD 500, verified)</t>
        </is>
      </c>
      <c r="F110" s="24" t="inlineStr">
        <is>
          <t>Model</t>
        </is>
      </c>
      <c r="G110" s="25" t="inlineStr">
        <is>
          <t>M3</t>
        </is>
      </c>
      <c r="H110" s="24" t="inlineStr">
        <is>
          <t>3.3 Deliverable D</t>
        </is>
      </c>
      <c r="I110" s="25" t="inlineStr">
        <is>
          <t>500</t>
        </is>
      </c>
      <c r="J110" s="24" t="inlineStr">
        <is>
          <t>RVT/IFC</t>
        </is>
      </c>
      <c r="K110" s="25" t="inlineStr">
        <is>
          <t>A1</t>
        </is>
      </c>
      <c r="L110" s="25" t="inlineStr">
        <is>
          <t>Published</t>
        </is>
      </c>
      <c r="M110" s="25" t="n">
        <v>48</v>
      </c>
      <c r="N110" s="25" t="n">
        <v>49</v>
      </c>
      <c r="O110" s="27">
        <f>IF(Programme!$C$4="","",EOMONTH(Programme!$C$4,49))</f>
        <v/>
      </c>
      <c r="P110" s="27" t="n"/>
      <c r="Q110" s="28">
        <f>IF(AND(O110&lt;&gt;"",P110&lt;&gt;""),P110-O110,"")</f>
        <v/>
      </c>
      <c r="R110" s="24" t="inlineStr">
        <is>
          <t>MEP lead</t>
        </is>
      </c>
      <c r="S110" s="24" t="inlineStr">
        <is>
          <t>TIDP-E</t>
        </is>
      </c>
      <c r="T110" s="25" t="inlineStr">
        <is>
          <t>Y</t>
        </is>
      </c>
      <c r="U110" s="25" t="inlineStr">
        <is>
          <t>Y</t>
        </is>
      </c>
      <c r="V110" s="25" t="inlineStr">
        <is>
          <t>Y</t>
        </is>
      </c>
      <c r="W110" s="25" t="inlineStr"/>
      <c r="X110" s="26" t="inlineStr">
        <is>
          <t>Authored by the design consultant from the Contractor as-built documentation; verified by the Information Manager</t>
        </is>
      </c>
    </row>
    <row r="111">
      <c r="A111" s="24" t="inlineStr">
        <is>
          <t>P-700</t>
        </is>
      </c>
      <c r="B111" s="24" t="inlineStr">
        <is>
          <t>Public Health</t>
        </is>
      </c>
      <c r="C111" s="24" t="inlineStr"/>
      <c r="D111" s="25" t="inlineStr">
        <is>
          <t>ZZ</t>
        </is>
      </c>
      <c r="E111" s="26" t="inlineStr">
        <is>
          <t>As-built plumbing and drainage model (LOD 500, verified)</t>
        </is>
      </c>
      <c r="F111" s="24" t="inlineStr">
        <is>
          <t>Model</t>
        </is>
      </c>
      <c r="G111" s="25" t="inlineStr">
        <is>
          <t>M3</t>
        </is>
      </c>
      <c r="H111" s="24" t="inlineStr">
        <is>
          <t>3.3 Deliverable D</t>
        </is>
      </c>
      <c r="I111" s="25" t="inlineStr">
        <is>
          <t>500</t>
        </is>
      </c>
      <c r="J111" s="24" t="inlineStr">
        <is>
          <t>RVT/IFC</t>
        </is>
      </c>
      <c r="K111" s="25" t="inlineStr">
        <is>
          <t>A1</t>
        </is>
      </c>
      <c r="L111" s="25" t="inlineStr">
        <is>
          <t>Published</t>
        </is>
      </c>
      <c r="M111" s="25" t="n">
        <v>48</v>
      </c>
      <c r="N111" s="25" t="n">
        <v>49</v>
      </c>
      <c r="O111" s="27">
        <f>IF(Programme!$C$4="","",EOMONTH(Programme!$C$4,49))</f>
        <v/>
      </c>
      <c r="P111" s="27" t="n"/>
      <c r="Q111" s="28">
        <f>IF(AND(O111&lt;&gt;"",P111&lt;&gt;""),P111-O111,"")</f>
        <v/>
      </c>
      <c r="R111" s="24" t="inlineStr">
        <is>
          <t>MEP lead</t>
        </is>
      </c>
      <c r="S111" s="24" t="inlineStr">
        <is>
          <t>TIDP-P</t>
        </is>
      </c>
      <c r="T111" s="25" t="inlineStr">
        <is>
          <t>Y</t>
        </is>
      </c>
      <c r="U111" s="25" t="inlineStr">
        <is>
          <t>Y</t>
        </is>
      </c>
      <c r="V111" s="25" t="inlineStr">
        <is>
          <t>Y</t>
        </is>
      </c>
      <c r="W111" s="25" t="inlineStr"/>
      <c r="X111" s="26" t="inlineStr">
        <is>
          <t>Authored by the design consultant from the Contractor as-built documentation; verified by the Information Manager</t>
        </is>
      </c>
    </row>
    <row r="112">
      <c r="A112" s="24" t="inlineStr">
        <is>
          <t>FP-700</t>
        </is>
      </c>
      <c r="B112" s="24" t="inlineStr">
        <is>
          <t>Fire Protection</t>
        </is>
      </c>
      <c r="C112" s="24" t="inlineStr"/>
      <c r="D112" s="25" t="inlineStr">
        <is>
          <t>ZZ</t>
        </is>
      </c>
      <c r="E112" s="26" t="inlineStr">
        <is>
          <t>As-built fire protection model (LOD 500, verified)</t>
        </is>
      </c>
      <c r="F112" s="24" t="inlineStr">
        <is>
          <t>Model</t>
        </is>
      </c>
      <c r="G112" s="25" t="inlineStr">
        <is>
          <t>M3</t>
        </is>
      </c>
      <c r="H112" s="24" t="inlineStr">
        <is>
          <t>3.3 Deliverable D</t>
        </is>
      </c>
      <c r="I112" s="25" t="inlineStr">
        <is>
          <t>500</t>
        </is>
      </c>
      <c r="J112" s="24" t="inlineStr">
        <is>
          <t>RVT/IFC</t>
        </is>
      </c>
      <c r="K112" s="25" t="inlineStr">
        <is>
          <t>A1</t>
        </is>
      </c>
      <c r="L112" s="25" t="inlineStr">
        <is>
          <t>Published</t>
        </is>
      </c>
      <c r="M112" s="25" t="n">
        <v>48</v>
      </c>
      <c r="N112" s="25" t="n">
        <v>49</v>
      </c>
      <c r="O112" s="27">
        <f>IF(Programme!$C$4="","",EOMONTH(Programme!$C$4,49))</f>
        <v/>
      </c>
      <c r="P112" s="27" t="n"/>
      <c r="Q112" s="28">
        <f>IF(AND(O112&lt;&gt;"",P112&lt;&gt;""),P112-O112,"")</f>
        <v/>
      </c>
      <c r="R112" s="24" t="inlineStr">
        <is>
          <t>Design-build fire contractor</t>
        </is>
      </c>
      <c r="S112" s="24" t="inlineStr">
        <is>
          <t>TIDP-Y-FP</t>
        </is>
      </c>
      <c r="T112" s="25" t="inlineStr">
        <is>
          <t>Y</t>
        </is>
      </c>
      <c r="U112" s="25" t="inlineStr">
        <is>
          <t>Y</t>
        </is>
      </c>
      <c r="V112" s="25" t="inlineStr">
        <is>
          <t>Y</t>
        </is>
      </c>
      <c r="W112" s="25" t="inlineStr"/>
      <c r="X112" s="26" t="inlineStr">
        <is>
          <t>Authored by the design consultant from the Contractor as-built documentation; verified by the Information Manager</t>
        </is>
      </c>
    </row>
    <row r="113">
      <c r="A113" s="24" t="inlineStr">
        <is>
          <t>LV-700</t>
        </is>
      </c>
      <c r="B113" s="24" t="inlineStr">
        <is>
          <t>Low Voltage</t>
        </is>
      </c>
      <c r="C113" s="24" t="inlineStr"/>
      <c r="D113" s="25" t="inlineStr">
        <is>
          <t>ZZ</t>
        </is>
      </c>
      <c r="E113" s="26" t="inlineStr">
        <is>
          <t>As-built low voltage model (LOD 500, verified)</t>
        </is>
      </c>
      <c r="F113" s="24" t="inlineStr">
        <is>
          <t>Model</t>
        </is>
      </c>
      <c r="G113" s="25" t="inlineStr">
        <is>
          <t>M3</t>
        </is>
      </c>
      <c r="H113" s="24" t="inlineStr">
        <is>
          <t>3.3 Deliverable D</t>
        </is>
      </c>
      <c r="I113" s="25" t="inlineStr">
        <is>
          <t>500</t>
        </is>
      </c>
      <c r="J113" s="24" t="inlineStr">
        <is>
          <t>RVT/IFC</t>
        </is>
      </c>
      <c r="K113" s="25" t="inlineStr">
        <is>
          <t>A1</t>
        </is>
      </c>
      <c r="L113" s="25" t="inlineStr">
        <is>
          <t>Published</t>
        </is>
      </c>
      <c r="M113" s="25" t="n">
        <v>48</v>
      </c>
      <c r="N113" s="25" t="n">
        <v>49</v>
      </c>
      <c r="O113" s="27">
        <f>IF(Programme!$C$4="","",EOMONTH(Programme!$C$4,49))</f>
        <v/>
      </c>
      <c r="P113" s="27" t="n"/>
      <c r="Q113" s="28">
        <f>IF(AND(O113&lt;&gt;"",P113&lt;&gt;""),P113-O113,"")</f>
        <v/>
      </c>
      <c r="R113" s="24" t="inlineStr">
        <is>
          <t>LV lead</t>
        </is>
      </c>
      <c r="S113" s="24" t="inlineStr">
        <is>
          <t>TIDP-Y-LV</t>
        </is>
      </c>
      <c r="T113" s="25" t="inlineStr">
        <is>
          <t>Y</t>
        </is>
      </c>
      <c r="U113" s="25" t="inlineStr">
        <is>
          <t>Y</t>
        </is>
      </c>
      <c r="V113" s="25" t="inlineStr">
        <is>
          <t>Y</t>
        </is>
      </c>
      <c r="W113" s="25" t="inlineStr"/>
      <c r="X113" s="26" t="inlineStr">
        <is>
          <t>Authored by the design consultant from the Contractor as-built documentation; verified by the Information Manager</t>
        </is>
      </c>
    </row>
    <row r="114">
      <c r="A114" s="24" t="inlineStr">
        <is>
          <t>G-700</t>
        </is>
      </c>
      <c r="B114" s="24" t="inlineStr">
        <is>
          <t>Civil and Site</t>
        </is>
      </c>
      <c r="C114" s="24" t="inlineStr"/>
      <c r="D114" s="25" t="inlineStr">
        <is>
          <t>00</t>
        </is>
      </c>
      <c r="E114" s="26" t="inlineStr">
        <is>
          <t>As-built civil and site model (LOD 500, verified)</t>
        </is>
      </c>
      <c r="F114" s="24" t="inlineStr">
        <is>
          <t>Model</t>
        </is>
      </c>
      <c r="G114" s="25" t="inlineStr">
        <is>
          <t>M3</t>
        </is>
      </c>
      <c r="H114" s="24" t="inlineStr">
        <is>
          <t>3.3 Deliverable D</t>
        </is>
      </c>
      <c r="I114" s="25" t="inlineStr">
        <is>
          <t>500</t>
        </is>
      </c>
      <c r="J114" s="24" t="inlineStr">
        <is>
          <t>RVT/IFC</t>
        </is>
      </c>
      <c r="K114" s="25" t="inlineStr">
        <is>
          <t>A1</t>
        </is>
      </c>
      <c r="L114" s="25" t="inlineStr">
        <is>
          <t>Published</t>
        </is>
      </c>
      <c r="M114" s="25" t="n">
        <v>48</v>
      </c>
      <c r="N114" s="25" t="n">
        <v>49</v>
      </c>
      <c r="O114" s="27">
        <f>IF(Programme!$C$4="","",EOMONTH(Programme!$C$4,49))</f>
        <v/>
      </c>
      <c r="P114" s="27" t="n"/>
      <c r="Q114" s="28">
        <f>IF(AND(O114&lt;&gt;"",P114&lt;&gt;""),P114-O114,"")</f>
        <v/>
      </c>
      <c r="R114" s="24" t="inlineStr">
        <is>
          <t>Civil lead</t>
        </is>
      </c>
      <c r="S114" s="24" t="inlineStr">
        <is>
          <t>TIDP-C</t>
        </is>
      </c>
      <c r="T114" s="25" t="inlineStr">
        <is>
          <t>Y</t>
        </is>
      </c>
      <c r="U114" s="25" t="inlineStr">
        <is>
          <t>Y</t>
        </is>
      </c>
      <c r="V114" s="25" t="inlineStr">
        <is>
          <t>Y</t>
        </is>
      </c>
      <c r="W114" s="25" t="inlineStr"/>
      <c r="X114" s="26" t="inlineStr">
        <is>
          <t>Authored by the design consultant from the Contractor as-built documentation; verified by the Information Manager</t>
        </is>
      </c>
    </row>
    <row r="115">
      <c r="A115" s="24" t="inlineStr">
        <is>
          <t>C-700</t>
        </is>
      </c>
      <c r="B115" s="24" t="inlineStr">
        <is>
          <t>Contractor</t>
        </is>
      </c>
      <c r="C115" s="24" t="inlineStr"/>
      <c r="D115" s="25" t="inlineStr">
        <is>
          <t>ZZ</t>
        </is>
      </c>
      <c r="E115" s="26" t="inlineStr">
        <is>
          <t>Final as-built documentation, commissioning records, warranties and O&amp;M documents</t>
        </is>
      </c>
      <c r="F115" s="24" t="inlineStr">
        <is>
          <t>Document</t>
        </is>
      </c>
      <c r="G115" s="25" t="inlineStr">
        <is>
          <t>RP</t>
        </is>
      </c>
      <c r="H115" s="24" t="inlineStr">
        <is>
          <t>3.3 Deliverable D</t>
        </is>
      </c>
      <c r="I115" s="25" t="inlineStr">
        <is>
          <t>500</t>
        </is>
      </c>
      <c r="J115" s="24" t="inlineStr">
        <is>
          <t>PDF</t>
        </is>
      </c>
      <c r="K115" s="25" t="inlineStr">
        <is>
          <t>A1</t>
        </is>
      </c>
      <c r="L115" s="25" t="inlineStr">
        <is>
          <t>Published</t>
        </is>
      </c>
      <c r="M115" s="25" t="n">
        <v>48</v>
      </c>
      <c r="N115" s="25" t="n">
        <v>48</v>
      </c>
      <c r="O115" s="27">
        <f>IF(Programme!$C$4="","",EOMONTH(Programme!$C$4,48))</f>
        <v/>
      </c>
      <c r="P115" s="27" t="n"/>
      <c r="Q115" s="28">
        <f>IF(AND(O115&lt;&gt;"",P115&lt;&gt;""),P115-O115,"")</f>
        <v/>
      </c>
      <c r="R115" s="24" t="inlineStr">
        <is>
          <t>Contractor</t>
        </is>
      </c>
      <c r="S115" s="24" t="inlineStr">
        <is>
          <t>TIDP-W</t>
        </is>
      </c>
      <c r="T115" s="25" t="inlineStr">
        <is>
          <t>Y</t>
        </is>
      </c>
      <c r="U115" s="25" t="inlineStr">
        <is>
          <t>Y</t>
        </is>
      </c>
      <c r="V115" s="25" t="inlineStr">
        <is>
          <t>Y</t>
        </is>
      </c>
      <c r="W115" s="25" t="inlineStr"/>
      <c r="X115" s="26" t="inlineStr">
        <is>
          <t>Input to the record model verification</t>
        </is>
      </c>
    </row>
    <row r="116">
      <c r="A116" s="24" t="inlineStr">
        <is>
          <t>Z-700</t>
        </is>
      </c>
      <c r="B116" s="24" t="inlineStr">
        <is>
          <t>Information Management</t>
        </is>
      </c>
      <c r="C116" s="24" t="inlineStr"/>
      <c r="D116" s="25" t="inlineStr">
        <is>
          <t>ZZ</t>
        </is>
      </c>
      <c r="E116" s="26" t="inlineStr">
        <is>
          <t>COBie 2.4 handover dataset — CONDITIONAL on Owner instruction</t>
        </is>
      </c>
      <c r="F116" s="24" t="inlineStr">
        <is>
          <t>Schedule</t>
        </is>
      </c>
      <c r="G116" s="25" t="inlineStr">
        <is>
          <t>SH</t>
        </is>
      </c>
      <c r="H116" s="24" t="inlineStr">
        <is>
          <t>3.3 Deliverable D</t>
        </is>
      </c>
      <c r="I116" s="25" t="inlineStr">
        <is>
          <t>500</t>
        </is>
      </c>
      <c r="J116" s="24" t="inlineStr">
        <is>
          <t>XLSX</t>
        </is>
      </c>
      <c r="K116" s="25" t="inlineStr">
        <is>
          <t>A1</t>
        </is>
      </c>
      <c r="L116" s="25" t="inlineStr">
        <is>
          <t>Published</t>
        </is>
      </c>
      <c r="M116" s="25" t="n">
        <v>48</v>
      </c>
      <c r="N116" s="25" t="n">
        <v>49</v>
      </c>
      <c r="O116" s="27">
        <f>IF(Programme!$C$4="","",EOMONTH(Programme!$C$4,49))</f>
        <v/>
      </c>
      <c r="P116" s="27" t="n"/>
      <c r="Q116" s="28">
        <f>IF(AND(O116&lt;&gt;"",P116&lt;&gt;""),P116-O116,"")</f>
        <v/>
      </c>
      <c r="R116" s="24" t="inlineStr">
        <is>
          <t>Information Manager</t>
        </is>
      </c>
      <c r="S116" s="24" t="inlineStr">
        <is>
          <t>TIDP-Z</t>
        </is>
      </c>
      <c r="T116" s="25" t="inlineStr">
        <is>
          <t>N</t>
        </is>
      </c>
      <c r="U116" s="25" t="inlineStr">
        <is>
          <t>N</t>
        </is>
      </c>
      <c r="V116" s="25" t="inlineStr">
        <is>
          <t>Y</t>
        </is>
      </c>
      <c r="W116" s="25" t="inlineStr"/>
      <c r="X116" s="26" t="inlineStr">
        <is>
          <t>Produced only if instructed as an additional service</t>
        </is>
      </c>
    </row>
    <row r="117">
      <c r="A117" s="24" t="inlineStr">
        <is>
          <t>Z-701</t>
        </is>
      </c>
      <c r="B117" s="24" t="inlineStr">
        <is>
          <t>Information Management</t>
        </is>
      </c>
      <c r="C117" s="24" t="inlineStr"/>
      <c r="D117" s="25" t="inlineStr">
        <is>
          <t>ZZ</t>
        </is>
      </c>
      <c r="E117" s="26" t="inlineStr">
        <is>
          <t>Operation and maintenance / asset data pack (Fohlio)</t>
        </is>
      </c>
      <c r="F117" s="24" t="inlineStr">
        <is>
          <t>Document</t>
        </is>
      </c>
      <c r="G117" s="25" t="inlineStr">
        <is>
          <t>RP</t>
        </is>
      </c>
      <c r="H117" s="24" t="inlineStr">
        <is>
          <t>3.3 Deliverable D</t>
        </is>
      </c>
      <c r="I117" s="25" t="inlineStr">
        <is>
          <t>500</t>
        </is>
      </c>
      <c r="J117" s="24" t="inlineStr">
        <is>
          <t>PDF</t>
        </is>
      </c>
      <c r="K117" s="25" t="inlineStr">
        <is>
          <t>A1</t>
        </is>
      </c>
      <c r="L117" s="25" t="inlineStr">
        <is>
          <t>Published</t>
        </is>
      </c>
      <c r="M117" s="25" t="n">
        <v>48</v>
      </c>
      <c r="N117" s="25" t="n">
        <v>49</v>
      </c>
      <c r="O117" s="27">
        <f>IF(Programme!$C$4="","",EOMONTH(Programme!$C$4,49))</f>
        <v/>
      </c>
      <c r="P117" s="27" t="n"/>
      <c r="Q117" s="28">
        <f>IF(AND(O117&lt;&gt;"",P117&lt;&gt;""),P117-O117,"")</f>
        <v/>
      </c>
      <c r="R117" s="24" t="inlineStr">
        <is>
          <t>Information Manager</t>
        </is>
      </c>
      <c r="S117" s="24" t="inlineStr">
        <is>
          <t>TIDP-Z</t>
        </is>
      </c>
      <c r="T117" s="25" t="inlineStr">
        <is>
          <t>Y</t>
        </is>
      </c>
      <c r="U117" s="25" t="inlineStr">
        <is>
          <t>N</t>
        </is>
      </c>
      <c r="V117" s="25" t="inlineStr">
        <is>
          <t>Y</t>
        </is>
      </c>
      <c r="W117" s="25" t="inlineStr"/>
      <c r="X117" s="26" t="inlineStr">
        <is>
          <t>O&amp;M manuals published through Fohlio by the Interior Designer (A1)</t>
        </is>
      </c>
    </row>
    <row r="118">
      <c r="A118" s="24" t="inlineStr">
        <is>
          <t>Z-702</t>
        </is>
      </c>
      <c r="B118" s="24" t="inlineStr">
        <is>
          <t>Information Management</t>
        </is>
      </c>
      <c r="C118" s="24" t="inlineStr"/>
      <c r="D118" s="25" t="inlineStr">
        <is>
          <t>ZZ</t>
        </is>
      </c>
      <c r="E118" s="26" t="inlineStr">
        <is>
          <t>Reconciled building management system point register (digital-twin baseline)</t>
        </is>
      </c>
      <c r="F118" s="24" t="inlineStr">
        <is>
          <t>Schedule</t>
        </is>
      </c>
      <c r="G118" s="25" t="inlineStr">
        <is>
          <t>SH</t>
        </is>
      </c>
      <c r="H118" s="24" t="inlineStr">
        <is>
          <t>3.3 Deliverable D</t>
        </is>
      </c>
      <c r="I118" s="25" t="inlineStr">
        <is>
          <t>500</t>
        </is>
      </c>
      <c r="J118" s="24" t="inlineStr">
        <is>
          <t>CSV/PDF</t>
        </is>
      </c>
      <c r="K118" s="25" t="inlineStr">
        <is>
          <t>A1</t>
        </is>
      </c>
      <c r="L118" s="25" t="inlineStr">
        <is>
          <t>Published</t>
        </is>
      </c>
      <c r="M118" s="25" t="n">
        <v>49</v>
      </c>
      <c r="N118" s="25" t="n">
        <v>49</v>
      </c>
      <c r="O118" s="27">
        <f>IF(Programme!$C$4="","",EOMONTH(Programme!$C$4,49))</f>
        <v/>
      </c>
      <c r="P118" s="27" t="n"/>
      <c r="Q118" s="28">
        <f>IF(AND(O118&lt;&gt;"",P118&lt;&gt;""),P118-O118,"")</f>
        <v/>
      </c>
      <c r="R118" s="24" t="inlineStr">
        <is>
          <t>Information Manager</t>
        </is>
      </c>
      <c r="S118" s="24" t="inlineStr">
        <is>
          <t>TIDP-Z</t>
        </is>
      </c>
      <c r="T118" s="25" t="inlineStr">
        <is>
          <t>Y</t>
        </is>
      </c>
      <c r="U118" s="25" t="inlineStr">
        <is>
          <t>N</t>
        </is>
      </c>
      <c r="V118" s="25" t="inlineStr">
        <is>
          <t>Y</t>
        </is>
      </c>
      <c r="W118" s="25" t="inlineStr"/>
      <c r="X118" s="26" t="inlineStr">
        <is>
          <t>Model reconciled to the live Niagara station</t>
        </is>
      </c>
    </row>
    <row r="119">
      <c r="A119" s="24" t="inlineStr">
        <is>
          <t>Z-703</t>
        </is>
      </c>
      <c r="B119" s="24" t="inlineStr">
        <is>
          <t>Information Management</t>
        </is>
      </c>
      <c r="C119" s="24" t="inlineStr"/>
      <c r="D119" s="25" t="inlineStr">
        <is>
          <t>ZZ</t>
        </is>
      </c>
      <c r="E119" s="26" t="inlineStr">
        <is>
          <t>Deliverable D gate pack: LOD 500 verification and asset data completeness</t>
        </is>
      </c>
      <c r="F119" s="24" t="inlineStr">
        <is>
          <t>Document</t>
        </is>
      </c>
      <c r="G119" s="25" t="inlineStr">
        <is>
          <t>RP</t>
        </is>
      </c>
      <c r="H119" s="24" t="inlineStr">
        <is>
          <t>3.3 Deliverable D</t>
        </is>
      </c>
      <c r="I119" s="25" t="inlineStr">
        <is>
          <t>500</t>
        </is>
      </c>
      <c r="J119" s="24" t="inlineStr">
        <is>
          <t>PDF</t>
        </is>
      </c>
      <c r="K119" s="25" t="inlineStr">
        <is>
          <t>A1</t>
        </is>
      </c>
      <c r="L119" s="25" t="inlineStr">
        <is>
          <t>Published</t>
        </is>
      </c>
      <c r="M119" s="25" t="n">
        <v>49</v>
      </c>
      <c r="N119" s="25" t="n">
        <v>49</v>
      </c>
      <c r="O119" s="27">
        <f>IF(Programme!$C$4="","",EOMONTH(Programme!$C$4,49))</f>
        <v/>
      </c>
      <c r="P119" s="27" t="n"/>
      <c r="Q119" s="28">
        <f>IF(AND(O119&lt;&gt;"",P119&lt;&gt;""),P119-O119,"")</f>
        <v/>
      </c>
      <c r="R119" s="24" t="inlineStr">
        <is>
          <t>Information Manager</t>
        </is>
      </c>
      <c r="S119" s="24" t="inlineStr">
        <is>
          <t>TIDP-Z</t>
        </is>
      </c>
      <c r="T119" s="25" t="inlineStr">
        <is>
          <t>Y</t>
        </is>
      </c>
      <c r="U119" s="25" t="inlineStr">
        <is>
          <t>N</t>
        </is>
      </c>
      <c r="V119" s="25" t="inlineStr">
        <is>
          <t>N</t>
        </is>
      </c>
      <c r="W119" s="25" t="inlineStr"/>
      <c r="X119" s="26" t="inlineStr">
        <is>
          <t>Days 10 to 35 of the close-out plan</t>
        </is>
      </c>
    </row>
    <row r="120">
      <c r="A120" s="24" t="inlineStr">
        <is>
          <t>Z-704</t>
        </is>
      </c>
      <c r="B120" s="24" t="inlineStr">
        <is>
          <t>Information Management</t>
        </is>
      </c>
      <c r="C120" s="24" t="inlineStr"/>
      <c r="D120" s="25" t="inlineStr">
        <is>
          <t>ZZ</t>
        </is>
      </c>
      <c r="E120" s="26" t="inlineStr">
        <is>
          <t>Final transmittal and project archive</t>
        </is>
      </c>
      <c r="F120" s="24" t="inlineStr">
        <is>
          <t>Document</t>
        </is>
      </c>
      <c r="G120" s="25" t="inlineStr">
        <is>
          <t>IE</t>
        </is>
      </c>
      <c r="H120" s="24" t="inlineStr">
        <is>
          <t>3.3 Deliverable D</t>
        </is>
      </c>
      <c r="I120" s="25" t="inlineStr">
        <is>
          <t>500</t>
        </is>
      </c>
      <c r="J120" s="24" t="inlineStr">
        <is>
          <t>PDF</t>
        </is>
      </c>
      <c r="K120" s="25" t="inlineStr">
        <is>
          <t>A1</t>
        </is>
      </c>
      <c r="L120" s="25" t="inlineStr">
        <is>
          <t>Archived</t>
        </is>
      </c>
      <c r="M120" s="25" t="n">
        <v>49</v>
      </c>
      <c r="N120" s="25" t="n">
        <v>49</v>
      </c>
      <c r="O120" s="27">
        <f>IF(Programme!$C$4="","",EOMONTH(Programme!$C$4,49))</f>
        <v/>
      </c>
      <c r="P120" s="27" t="n"/>
      <c r="Q120" s="28">
        <f>IF(AND(O120&lt;&gt;"",P120&lt;&gt;""),P120-O120,"")</f>
        <v/>
      </c>
      <c r="R120" s="24" t="inlineStr">
        <is>
          <t>Information Manager</t>
        </is>
      </c>
      <c r="S120" s="24" t="inlineStr">
        <is>
          <t>TIDP-Z</t>
        </is>
      </c>
      <c r="T120" s="25" t="inlineStr">
        <is>
          <t>Y</t>
        </is>
      </c>
      <c r="U120" s="25" t="inlineStr">
        <is>
          <t>N</t>
        </is>
      </c>
      <c r="V120" s="25" t="inlineStr">
        <is>
          <t>N</t>
        </is>
      </c>
      <c r="W120" s="25" t="inlineStr"/>
      <c r="X120" s="26" t="inlineStr">
        <is>
          <t>Days 50 to 60</t>
        </is>
      </c>
    </row>
    <row r="121">
      <c r="A121" s="24" t="inlineStr">
        <is>
          <t>Z-705</t>
        </is>
      </c>
      <c r="B121" s="24" t="inlineStr">
        <is>
          <t>All disciplines</t>
        </is>
      </c>
      <c r="C121" s="24" t="inlineStr"/>
      <c r="D121" s="25" t="inlineStr">
        <is>
          <t>ZZ</t>
        </is>
      </c>
      <c r="E121" s="26" t="inlineStr">
        <is>
          <t>Native design, calculation, energy and system program files (A1 Deliverable D)</t>
        </is>
      </c>
      <c r="F121" s="24" t="inlineStr">
        <is>
          <t>Document</t>
        </is>
      </c>
      <c r="G121" s="25" t="inlineStr">
        <is>
          <t>RP</t>
        </is>
      </c>
      <c r="H121" s="24" t="inlineStr">
        <is>
          <t>3.3 Deliverable D</t>
        </is>
      </c>
      <c r="I121" s="25" t="inlineStr">
        <is>
          <t>500</t>
        </is>
      </c>
      <c r="J121" s="24" t="inlineStr">
        <is>
          <t>Native</t>
        </is>
      </c>
      <c r="K121" s="25" t="inlineStr">
        <is>
          <t>A1</t>
        </is>
      </c>
      <c r="L121" s="25" t="inlineStr">
        <is>
          <t>Published</t>
        </is>
      </c>
      <c r="M121" s="25" t="n">
        <v>48</v>
      </c>
      <c r="N121" s="25" t="n">
        <v>49</v>
      </c>
      <c r="O121" s="27">
        <f>IF(Programme!$C$4="","",EOMONTH(Programme!$C$4,49))</f>
        <v/>
      </c>
      <c r="P121" s="27" t="n"/>
      <c r="Q121" s="28">
        <f>IF(AND(O121&lt;&gt;"",P121&lt;&gt;""),P121-O121,"")</f>
        <v/>
      </c>
      <c r="R121" s="24" t="inlineStr">
        <is>
          <t>Task Team Managers</t>
        </is>
      </c>
      <c r="S121" s="24" t="inlineStr">
        <is>
          <t>TIDP-ALL</t>
        </is>
      </c>
      <c r="T121" s="25" t="inlineStr">
        <is>
          <t>Y</t>
        </is>
      </c>
      <c r="U121" s="25" t="inlineStr">
        <is>
          <t>N</t>
        </is>
      </c>
      <c r="V121" s="25" t="inlineStr">
        <is>
          <t>Y</t>
        </is>
      </c>
      <c r="W121" s="25" t="inlineStr"/>
      <c r="X121" s="26" t="inlineStr"/>
    </row>
    <row r="122">
      <c r="A122" s="24" t="inlineStr">
        <is>
          <t>Z-706</t>
        </is>
      </c>
      <c r="B122" s="24" t="inlineStr">
        <is>
          <t>Information Management</t>
        </is>
      </c>
      <c r="C122" s="24" t="inlineStr"/>
      <c r="D122" s="25" t="inlineStr">
        <is>
          <t>ZZ</t>
        </is>
      </c>
      <c r="E122" s="26" t="inlineStr">
        <is>
          <t>Final drawing register</t>
        </is>
      </c>
      <c r="F122" s="24" t="inlineStr">
        <is>
          <t>Schedule</t>
        </is>
      </c>
      <c r="G122" s="25" t="inlineStr">
        <is>
          <t>SH</t>
        </is>
      </c>
      <c r="H122" s="24" t="inlineStr">
        <is>
          <t>3.3 Deliverable D</t>
        </is>
      </c>
      <c r="I122" s="25" t="inlineStr">
        <is>
          <t>500</t>
        </is>
      </c>
      <c r="J122" s="24" t="inlineStr">
        <is>
          <t>XLSX/PDF</t>
        </is>
      </c>
      <c r="K122" s="25" t="inlineStr">
        <is>
          <t>A1</t>
        </is>
      </c>
      <c r="L122" s="25" t="inlineStr">
        <is>
          <t>Published</t>
        </is>
      </c>
      <c r="M122" s="25" t="n">
        <v>49</v>
      </c>
      <c r="N122" s="25" t="n">
        <v>49</v>
      </c>
      <c r="O122" s="27">
        <f>IF(Programme!$C$4="","",EOMONTH(Programme!$C$4,49))</f>
        <v/>
      </c>
      <c r="P122" s="27" t="n"/>
      <c r="Q122" s="28">
        <f>IF(AND(O122&lt;&gt;"",P122&lt;&gt;""),P122-O122,"")</f>
        <v/>
      </c>
      <c r="R122" s="24" t="inlineStr">
        <is>
          <t>Information Manager</t>
        </is>
      </c>
      <c r="S122" s="24" t="inlineStr">
        <is>
          <t>TIDP-Z</t>
        </is>
      </c>
      <c r="T122" s="25" t="inlineStr">
        <is>
          <t>N</t>
        </is>
      </c>
      <c r="U122" s="25" t="inlineStr">
        <is>
          <t>N</t>
        </is>
      </c>
      <c r="V122" s="25" t="inlineStr">
        <is>
          <t>N</t>
        </is>
      </c>
      <c r="W122" s="25" t="inlineStr"/>
      <c r="X122" s="26" t="inlineStr"/>
    </row>
  </sheetData>
  <autoFilter ref="A1:X122"/>
  <conditionalFormatting sqref="W2:W122">
    <cfRule type="cellIs" priority="1" operator="equal" dxfId="0">
      <formula>"Red"</formula>
    </cfRule>
    <cfRule type="cellIs" priority="2" operator="equal" dxfId="1">
      <formula>"Amber"</formula>
    </cfRule>
    <cfRule type="cellIs" priority="3" operator="equal" dxfId="2">
      <formula>"Green"</formula>
    </cfRule>
    <cfRule type="cellIs" priority="4" operator="equal" dxfId="2">
      <formula>"Complete"</formula>
    </cfRule>
  </conditionalFormatting>
  <conditionalFormatting sqref="A2:X122">
    <cfRule type="expression" priority="5" dxfId="3" stopIfTrue="0">
      <formula>$T2="Y"</formula>
    </cfRule>
    <cfRule type="expression" priority="6" dxfId="0" stopIfTrue="0">
      <formula>AND($O2&lt;&gt;"",$P2="",$O2&lt;TODAY())</formula>
    </cfRule>
  </conditionalFormatting>
  <dataValidations count="12">
    <dataValidation sqref="B2:B122" showDropDown="0" showInputMessage="0" showErrorMessage="0" allowBlank="1" errorTitle="Value not permitted" error="Select a value from the list. To add a permitted value, amend the Lists sheet." type="list">
      <formula1>'Lists'!$A$2:$A$30</formula1>
    </dataValidation>
    <dataValidation sqref="D2:D122" showDropDown="0" showInputMessage="0" showErrorMessage="0" allowBlank="1" errorTitle="Value not permitted" error="Select a value from the list. To add a permitted value, amend the Lists sheet." type="list">
      <formula1>'Lists'!$I$2:$I$30</formula1>
    </dataValidation>
    <dataValidation sqref="F2:F122" showDropDown="0" showInputMessage="0" showErrorMessage="0" allowBlank="1" errorTitle="Value not permitted" error="Select a value from the list. To add a permitted value, amend the Lists sheet." type="list">
      <formula1>'Lists'!$C$2:$C$30</formula1>
    </dataValidation>
    <dataValidation sqref="G2:G122" showDropDown="0" showInputMessage="0" showErrorMessage="0" allowBlank="1" errorTitle="Value not permitted" error="Select a value from the list. To add a permitted value, amend the Lists sheet." type="list">
      <formula1>'Lists'!$J$2:$J$30</formula1>
    </dataValidation>
    <dataValidation sqref="H2:H122" showDropDown="0" showInputMessage="0" showErrorMessage="0" allowBlank="1" errorTitle="Value not permitted" error="Select a value from the list. To add a permitted value, amend the Lists sheet." type="list">
      <formula1>'Lists'!$D$2:$D$30</formula1>
    </dataValidation>
    <dataValidation sqref="I2:I122" showDropDown="0" showInputMessage="0" showErrorMessage="0" allowBlank="1" errorTitle="Value not permitted" error="Select a value from the list. To add a permitted value, amend the Lists sheet." type="list">
      <formula1>'Lists'!$E$2:$E$30</formula1>
    </dataValidation>
    <dataValidation sqref="K2:K122" showDropDown="0" showInputMessage="0" showErrorMessage="0" allowBlank="1" errorTitle="Value not permitted" error="Select a value from the list. To add a permitted value, amend the Lists sheet." type="list">
      <formula1>'Lists'!$F$2:$F$30</formula1>
    </dataValidation>
    <dataValidation sqref="L2:L122" showDropDown="0" showInputMessage="0" showErrorMessage="0" allowBlank="1" errorTitle="Value not permitted" error="Select a value from the list. To add a permitted value, amend the Lists sheet." type="list">
      <formula1>'Lists'!$G$2:$G$30</formula1>
    </dataValidation>
    <dataValidation sqref="T2:T122" showDropDown="0" showInputMessage="0" showErrorMessage="0" allowBlank="1" errorTitle="Value not permitted" error="Select a value from the list. To add a permitted value, amend the Lists sheet." type="list">
      <formula1>'Lists'!$K$2:$K$30</formula1>
    </dataValidation>
    <dataValidation sqref="U2:U122" showDropDown="0" showInputMessage="0" showErrorMessage="0" allowBlank="1" errorTitle="Value not permitted" error="Select a value from the list. To add a permitted value, amend the Lists sheet." type="list">
      <formula1>'Lists'!$K$2:$K$30</formula1>
    </dataValidation>
    <dataValidation sqref="V2:V122" showDropDown="0" showInputMessage="0" showErrorMessage="0" allowBlank="1" errorTitle="Value not permitted" error="Select a value from the list. To add a permitted value, amend the Lists sheet." type="list">
      <formula1>'Lists'!$K$2:$K$30</formula1>
    </dataValidation>
    <dataValidation sqref="W2:W122" showDropDown="0" showInputMessage="0" showErrorMessage="0" allowBlank="1" errorTitle="Value not permitted" error="Select a value from the list. To add a permitted value, amend the Lists sheet." type="list">
      <formula1>'Lists'!$H$2:$H$30</formula1>
    </dataValidation>
  </dataValidations>
  <pageMargins left="0.75" right="0.75" top="1" bottom="1" header="0.5" footer="0.5"/>
  <pageSetup orientation="landscape" fitToHeight="0" fitToWidth="1"/>
  <headerFooter>
    <oddHeader>&amp;L&amp;"Calibri,Bold"&amp;9KAMPALA UGANDA TEMPLE&amp;C&amp;"Calibri,Bold"&amp;9&amp;A&amp;R&amp;9KUT-SMB-ZZ-ZZ-SH-Z-0001   Rev P01</oddHeader>
    <oddFooter>&amp;L&amp;9&amp;KC00000DRAFT - not issued (S0, work in progress)&amp;C&amp;8Symbion Consulting Group Studios - Information Manager&amp;R&amp;9&amp;A   Page &amp;P of &amp;N</oddFooter>
    <evenHeader/>
    <evenFooter/>
    <firstHeader/>
    <firstFooter/>
  </headerFooter>
</worksheet>
</file>

<file path=xl/worksheets/sheet4.xml><?xml version="1.0" encoding="utf-8"?>
<worksheet xmlns="http://schemas.openxmlformats.org/spreadsheetml/2006/main">
  <sheetPr>
    <tabColor rgb="00444F5C"/>
    <outlinePr summaryBelow="1" summaryRight="1"/>
    <pageSetUpPr fitToPage="1"/>
  </sheetPr>
  <dimension ref="A1:Y83"/>
  <sheetViews>
    <sheetView showGridLines="0" workbookViewId="0">
      <pane ySplit="16" topLeftCell="A17" activePane="bottomLeft" state="frozen"/>
      <selection pane="bottomLeft" activeCell="A1" sqref="A1"/>
    </sheetView>
  </sheetViews>
  <sheetFormatPr baseColWidth="8" defaultRowHeight="15"/>
  <cols>
    <col width="3" customWidth="1" min="1" max="1"/>
    <col width="10" customWidth="1" min="2" max="2"/>
    <col width="20" customWidth="1" min="3" max="3"/>
    <col width="12" customWidth="1" min="4" max="4"/>
    <col width="8" customWidth="1" min="5" max="5"/>
    <col width="44" customWidth="1" min="6" max="6"/>
    <col width="15" customWidth="1" min="7" max="7"/>
    <col width="10" customWidth="1" min="8" max="8"/>
    <col width="20" customWidth="1" min="9" max="9"/>
    <col width="7" customWidth="1" min="10" max="10"/>
    <col width="15" customWidth="1" min="11" max="11"/>
    <col width="11" customWidth="1" min="12" max="12"/>
    <col width="12" customWidth="1" min="13" max="13"/>
    <col width="11" customWidth="1" min="14" max="14"/>
    <col width="10" customWidth="1" min="15" max="15"/>
    <col width="13" customWidth="1" min="16" max="16"/>
    <col width="13" customWidth="1" min="17" max="17"/>
    <col width="14" customWidth="1" min="18" max="18"/>
    <col width="20" customWidth="1" min="19" max="19"/>
    <col width="10" customWidth="1" min="20" max="20"/>
    <col width="9" customWidth="1" min="21" max="21"/>
    <col width="9" customWidth="1" min="22" max="22"/>
    <col width="7" customWidth="1" min="23" max="23"/>
    <col width="11" customWidth="1" min="24" max="24"/>
    <col width="40" customWidth="1" min="25" max="25"/>
  </cols>
  <sheetData>
    <row r="1">
      <c r="A1" s="13" t="inlineStr">
        <is>
          <t>&lt; Cover</t>
        </is>
      </c>
    </row>
    <row r="2">
      <c r="B2" s="14" t="inlineStr">
        <is>
          <t>Task Information Delivery Plan — Information Management</t>
        </is>
      </c>
    </row>
    <row r="4">
      <c r="B4" s="7" t="inlineStr">
        <is>
          <t>The deliverables below are those already assigned to you in the Master Information Delivery Plan. Confirm the planned dates, add any deliverable your scope requires that is not listed, and return this sheet to the Information Manager. Rows are merged back into the register by reference. Use the drop-down lists; if a value you need is not offered, raise it rather than typing a variant.</t>
        </is>
      </c>
    </row>
    <row r="5"/>
    <row r="7">
      <c r="B7" s="4" t="inlineStr">
        <is>
          <t>Task Information Delivery Plan</t>
        </is>
      </c>
      <c r="C7" s="5" t="inlineStr">
        <is>
          <t>TIDP-Z</t>
        </is>
      </c>
    </row>
    <row r="8">
      <c r="B8" s="4" t="inlineStr">
        <is>
          <t>Scope</t>
        </is>
      </c>
      <c r="C8" s="5" t="inlineStr">
        <is>
          <t>Information Management</t>
        </is>
      </c>
    </row>
    <row r="9">
      <c r="B9" s="4" t="inlineStr">
        <is>
          <t>Appointed party</t>
        </is>
      </c>
      <c r="C9" s="5" t="inlineStr">
        <is>
          <t>Symbion Consulting Group Studios — Information Manager</t>
        </is>
      </c>
    </row>
    <row r="10">
      <c r="B10" s="4" t="inlineStr">
        <is>
          <t>Originator code</t>
        </is>
      </c>
      <c r="C10" s="5" t="inlineStr">
        <is>
          <t>[FILL — once the register is issued]</t>
        </is>
      </c>
    </row>
    <row r="11">
      <c r="B11" s="4" t="inlineStr">
        <is>
          <t>Task Team Manager</t>
        </is>
      </c>
      <c r="C11" s="5" t="inlineStr">
        <is>
          <t>[FILL]</t>
        </is>
      </c>
    </row>
    <row r="12">
      <c r="B12" s="4" t="inlineStr">
        <is>
          <t>Contact</t>
        </is>
      </c>
      <c r="C12" s="5" t="inlineStr">
        <is>
          <t>[FILL]</t>
        </is>
      </c>
    </row>
    <row r="13">
      <c r="B13" s="4" t="inlineStr">
        <is>
          <t>Revision</t>
        </is>
      </c>
      <c r="C13" s="5" t="inlineStr">
        <is>
          <t>P01</t>
        </is>
      </c>
    </row>
    <row r="14">
      <c r="B14" s="4" t="inlineStr">
        <is>
          <t>Date</t>
        </is>
      </c>
      <c r="C14" s="5" t="inlineStr">
        <is>
          <t>[FILL]</t>
        </is>
      </c>
    </row>
    <row r="16" ht="30" customHeight="1">
      <c r="A16" s="17" t="n"/>
      <c r="B16" s="17" t="inlineStr">
        <is>
          <t>Ref</t>
        </is>
      </c>
      <c r="C16" s="17" t="inlineStr">
        <is>
          <t>Discipline</t>
        </is>
      </c>
      <c r="D16" s="17" t="inlineStr">
        <is>
          <t>Originator</t>
        </is>
      </c>
      <c r="E16" s="17" t="inlineStr">
        <is>
          <t>Volume</t>
        </is>
      </c>
      <c r="F16" s="17" t="inlineStr">
        <is>
          <t>Deliverable</t>
        </is>
      </c>
      <c r="G16" s="17" t="inlineStr">
        <is>
          <t>Type</t>
        </is>
      </c>
      <c r="H16" s="17" t="inlineStr">
        <is>
          <t>Type code</t>
        </is>
      </c>
      <c r="I16" s="17" t="inlineStr">
        <is>
          <t>Stage</t>
        </is>
      </c>
      <c r="J16" s="17" t="inlineStr">
        <is>
          <t>LOD</t>
        </is>
      </c>
      <c r="K16" s="17" t="inlineStr">
        <is>
          <t>Format</t>
        </is>
      </c>
      <c r="L16" s="17" t="inlineStr">
        <is>
          <t>Suitability</t>
        </is>
      </c>
      <c r="M16" s="17" t="inlineStr">
        <is>
          <t>CDE State</t>
        </is>
      </c>
      <c r="N16" s="17" t="inlineStr">
        <is>
          <t>Month from</t>
        </is>
      </c>
      <c r="O16" s="17" t="inlineStr">
        <is>
          <t>Month to</t>
        </is>
      </c>
      <c r="P16" s="17" t="inlineStr">
        <is>
          <t>Planned date</t>
        </is>
      </c>
      <c r="Q16" s="17" t="inlineStr">
        <is>
          <t>Actual date</t>
        </is>
      </c>
      <c r="R16" s="17" t="inlineStr">
        <is>
          <t>Variance (days)</t>
        </is>
      </c>
      <c r="S16" s="17" t="inlineStr">
        <is>
          <t>Responsible</t>
        </is>
      </c>
      <c r="T16" s="17" t="inlineStr">
        <is>
          <t>TIDP ref</t>
        </is>
      </c>
      <c r="U16" s="17" t="inlineStr">
        <is>
          <t>Critical</t>
        </is>
      </c>
      <c r="V16" s="17" t="inlineStr">
        <is>
          <t>As-built</t>
        </is>
      </c>
      <c r="W16" s="17" t="inlineStr">
        <is>
          <t>O&amp;M</t>
        </is>
      </c>
      <c r="X16" s="17" t="inlineStr">
        <is>
          <t>RAG</t>
        </is>
      </c>
      <c r="Y16" s="17" t="inlineStr">
        <is>
          <t>Notes</t>
        </is>
      </c>
    </row>
    <row r="17">
      <c r="B17" s="24" t="inlineStr">
        <is>
          <t>Z-000</t>
        </is>
      </c>
      <c r="C17" s="24" t="inlineStr">
        <is>
          <t>Information Management</t>
        </is>
      </c>
      <c r="D17" s="24" t="inlineStr"/>
      <c r="E17" s="25" t="inlineStr">
        <is>
          <t>ZZ</t>
        </is>
      </c>
      <c r="F17" s="26" t="inlineStr">
        <is>
          <t>BIM Execution Plan</t>
        </is>
      </c>
      <c r="G17" s="24" t="inlineStr">
        <is>
          <t>Document</t>
        </is>
      </c>
      <c r="H17" s="25" t="inlineStr">
        <is>
          <t>RP</t>
        </is>
      </c>
      <c r="I17" s="24" t="inlineStr">
        <is>
          <t>Mobilisation</t>
        </is>
      </c>
      <c r="J17" s="25" t="inlineStr">
        <is>
          <t>n/a</t>
        </is>
      </c>
      <c r="K17" s="24" t="inlineStr">
        <is>
          <t>DOCX/PDF</t>
        </is>
      </c>
      <c r="L17" s="25" t="inlineStr">
        <is>
          <t>A1</t>
        </is>
      </c>
      <c r="M17" s="25" t="inlineStr">
        <is>
          <t>Published</t>
        </is>
      </c>
      <c r="N17" s="25" t="n">
        <v>0</v>
      </c>
      <c r="O17" s="25" t="n">
        <v>0</v>
      </c>
      <c r="P17" s="27" t="n"/>
      <c r="Q17" s="27" t="n"/>
      <c r="R17" s="24" t="n"/>
      <c r="S17" s="24" t="inlineStr">
        <is>
          <t>Information Manager</t>
        </is>
      </c>
      <c r="T17" s="24" t="inlineStr">
        <is>
          <t>TIDP-Z</t>
        </is>
      </c>
      <c r="U17" s="25" t="inlineStr">
        <is>
          <t>N</t>
        </is>
      </c>
      <c r="V17" s="25" t="inlineStr">
        <is>
          <t>N</t>
        </is>
      </c>
      <c r="W17" s="25" t="inlineStr">
        <is>
          <t>N</t>
        </is>
      </c>
      <c r="X17" s="25" t="inlineStr"/>
      <c r="Y17" s="26" t="inlineStr">
        <is>
          <t>Baselined at mobilisation; reissued per stage</t>
        </is>
      </c>
    </row>
    <row r="18">
      <c r="B18" s="24" t="inlineStr">
        <is>
          <t>Z-001</t>
        </is>
      </c>
      <c r="C18" s="24" t="inlineStr">
        <is>
          <t>Information Management</t>
        </is>
      </c>
      <c r="D18" s="24" t="inlineStr"/>
      <c r="E18" s="25" t="inlineStr">
        <is>
          <t>ZZ</t>
        </is>
      </c>
      <c r="F18" s="26" t="inlineStr">
        <is>
          <t>Master Information Delivery Plan</t>
        </is>
      </c>
      <c r="G18" s="24" t="inlineStr">
        <is>
          <t>Schedule</t>
        </is>
      </c>
      <c r="H18" s="25" t="inlineStr">
        <is>
          <t>SH</t>
        </is>
      </c>
      <c r="I18" s="24" t="inlineStr">
        <is>
          <t>Mobilisation</t>
        </is>
      </c>
      <c r="J18" s="25" t="inlineStr">
        <is>
          <t>n/a</t>
        </is>
      </c>
      <c r="K18" s="24" t="inlineStr">
        <is>
          <t>XLSX</t>
        </is>
      </c>
      <c r="L18" s="25" t="inlineStr">
        <is>
          <t>A1</t>
        </is>
      </c>
      <c r="M18" s="25" t="inlineStr">
        <is>
          <t>Published</t>
        </is>
      </c>
      <c r="N18" s="25" t="n">
        <v>0</v>
      </c>
      <c r="O18" s="25" t="n">
        <v>0</v>
      </c>
      <c r="P18" s="27" t="n"/>
      <c r="Q18" s="27" t="n"/>
      <c r="R18" s="24" t="n"/>
      <c r="S18" s="24" t="inlineStr">
        <is>
          <t>Information Manager</t>
        </is>
      </c>
      <c r="T18" s="24" t="inlineStr">
        <is>
          <t>TIDP-Z</t>
        </is>
      </c>
      <c r="U18" s="25" t="inlineStr">
        <is>
          <t>N</t>
        </is>
      </c>
      <c r="V18" s="25" t="inlineStr">
        <is>
          <t>N</t>
        </is>
      </c>
      <c r="W18" s="25" t="inlineStr">
        <is>
          <t>N</t>
        </is>
      </c>
      <c r="X18" s="25" t="inlineStr"/>
      <c r="Y18" s="26" t="inlineStr">
        <is>
          <t>Aggregated from all TIDPs; monthly and per drop</t>
        </is>
      </c>
    </row>
    <row r="19">
      <c r="B19" s="24" t="inlineStr">
        <is>
          <t>Z-002</t>
        </is>
      </c>
      <c r="C19" s="24" t="inlineStr">
        <is>
          <t>Information Management</t>
        </is>
      </c>
      <c r="D19" s="24" t="inlineStr"/>
      <c r="E19" s="25" t="inlineStr">
        <is>
          <t>ZZ</t>
        </is>
      </c>
      <c r="F19" s="26" t="inlineStr">
        <is>
          <t>Project Delivery Playbook</t>
        </is>
      </c>
      <c r="G19" s="24" t="inlineStr">
        <is>
          <t>Document</t>
        </is>
      </c>
      <c r="H19" s="25" t="inlineStr">
        <is>
          <t>RP</t>
        </is>
      </c>
      <c r="I19" s="24" t="inlineStr">
        <is>
          <t>Mobilisation</t>
        </is>
      </c>
      <c r="J19" s="25" t="inlineStr">
        <is>
          <t>n/a</t>
        </is>
      </c>
      <c r="K19" s="24" t="inlineStr">
        <is>
          <t>DOCX/PDF</t>
        </is>
      </c>
      <c r="L19" s="25" t="inlineStr">
        <is>
          <t>A1</t>
        </is>
      </c>
      <c r="M19" s="25" t="inlineStr">
        <is>
          <t>Published</t>
        </is>
      </c>
      <c r="N19" s="25" t="n">
        <v>0</v>
      </c>
      <c r="O19" s="25" t="n">
        <v>0</v>
      </c>
      <c r="P19" s="27" t="n"/>
      <c r="Q19" s="27" t="n"/>
      <c r="R19" s="24" t="n"/>
      <c r="S19" s="24" t="inlineStr">
        <is>
          <t>Information Manager</t>
        </is>
      </c>
      <c r="T19" s="24" t="inlineStr">
        <is>
          <t>TIDP-Z</t>
        </is>
      </c>
      <c r="U19" s="25" t="inlineStr">
        <is>
          <t>N</t>
        </is>
      </c>
      <c r="V19" s="25" t="inlineStr">
        <is>
          <t>N</t>
        </is>
      </c>
      <c r="W19" s="25" t="inlineStr">
        <is>
          <t>N</t>
        </is>
      </c>
      <c r="X19" s="25" t="inlineStr"/>
      <c r="Y19" s="26" t="inlineStr">
        <is>
          <t>Reference RP-Z-0002</t>
        </is>
      </c>
    </row>
    <row r="20">
      <c r="B20" s="24" t="inlineStr">
        <is>
          <t>Z-003</t>
        </is>
      </c>
      <c r="C20" s="24" t="inlineStr">
        <is>
          <t>Information Management</t>
        </is>
      </c>
      <c r="D20" s="24" t="inlineStr"/>
      <c r="E20" s="25" t="inlineStr">
        <is>
          <t>ZZ</t>
        </is>
      </c>
      <c r="F20" s="26" t="inlineStr">
        <is>
          <t>Responsibility matrix (RACI)</t>
        </is>
      </c>
      <c r="G20" s="24" t="inlineStr">
        <is>
          <t>Schedule</t>
        </is>
      </c>
      <c r="H20" s="25" t="inlineStr">
        <is>
          <t>SH</t>
        </is>
      </c>
      <c r="I20" s="24" t="inlineStr">
        <is>
          <t>Mobilisation</t>
        </is>
      </c>
      <c r="J20" s="25" t="inlineStr">
        <is>
          <t>n/a</t>
        </is>
      </c>
      <c r="K20" s="24" t="inlineStr">
        <is>
          <t>XLSX</t>
        </is>
      </c>
      <c r="L20" s="25" t="inlineStr">
        <is>
          <t>A1</t>
        </is>
      </c>
      <c r="M20" s="25" t="inlineStr">
        <is>
          <t>Published</t>
        </is>
      </c>
      <c r="N20" s="25" t="n">
        <v>0</v>
      </c>
      <c r="O20" s="25" t="n">
        <v>0</v>
      </c>
      <c r="P20" s="27" t="n"/>
      <c r="Q20" s="27" t="n"/>
      <c r="R20" s="24" t="n"/>
      <c r="S20" s="24" t="inlineStr">
        <is>
          <t>Information Manager</t>
        </is>
      </c>
      <c r="T20" s="24" t="inlineStr">
        <is>
          <t>TIDP-Z</t>
        </is>
      </c>
      <c r="U20" s="25" t="inlineStr">
        <is>
          <t>N</t>
        </is>
      </c>
      <c r="V20" s="25" t="inlineStr">
        <is>
          <t>N</t>
        </is>
      </c>
      <c r="W20" s="25" t="inlineStr">
        <is>
          <t>N</t>
        </is>
      </c>
      <c r="X20" s="25" t="inlineStr"/>
      <c r="Y20" s="26" t="inlineStr">
        <is>
          <t>Reference SH-Z-0002</t>
        </is>
      </c>
    </row>
    <row r="21">
      <c r="B21" s="24" t="inlineStr">
        <is>
          <t>Z-004</t>
        </is>
      </c>
      <c r="C21" s="24" t="inlineStr">
        <is>
          <t>Information Management</t>
        </is>
      </c>
      <c r="D21" s="24" t="inlineStr"/>
      <c r="E21" s="25" t="inlineStr">
        <is>
          <t>ZZ</t>
        </is>
      </c>
      <c r="F21" s="26" t="inlineStr">
        <is>
          <t>Project template, family library and title blocks</t>
        </is>
      </c>
      <c r="G21" s="24" t="inlineStr">
        <is>
          <t>Model</t>
        </is>
      </c>
      <c r="H21" s="25" t="inlineStr">
        <is>
          <t>M3</t>
        </is>
      </c>
      <c r="I21" s="24" t="inlineStr">
        <is>
          <t>Mobilisation</t>
        </is>
      </c>
      <c r="J21" s="25" t="inlineStr">
        <is>
          <t>n/a</t>
        </is>
      </c>
      <c r="K21" s="24" t="inlineStr">
        <is>
          <t>RVT/RFA</t>
        </is>
      </c>
      <c r="L21" s="25" t="inlineStr">
        <is>
          <t>A1</t>
        </is>
      </c>
      <c r="M21" s="25" t="inlineStr">
        <is>
          <t>Published</t>
        </is>
      </c>
      <c r="N21" s="25" t="n">
        <v>0</v>
      </c>
      <c r="O21" s="25" t="n">
        <v>0</v>
      </c>
      <c r="P21" s="27" t="n"/>
      <c r="Q21" s="27" t="n"/>
      <c r="R21" s="24" t="n"/>
      <c r="S21" s="24" t="inlineStr">
        <is>
          <t>Information Manager</t>
        </is>
      </c>
      <c r="T21" s="24" t="inlineStr">
        <is>
          <t>TIDP-Z</t>
        </is>
      </c>
      <c r="U21" s="25" t="inlineStr">
        <is>
          <t>Y</t>
        </is>
      </c>
      <c r="V21" s="25" t="inlineStr">
        <is>
          <t>N</t>
        </is>
      </c>
      <c r="W21" s="25" t="inlineStr">
        <is>
          <t>N</t>
        </is>
      </c>
      <c r="X21" s="25" t="inlineStr"/>
      <c r="Y21" s="26" t="inlineStr">
        <is>
          <t>Coordinates, levels, grids, worksets, shared parameters bound</t>
        </is>
      </c>
    </row>
    <row r="22">
      <c r="B22" s="24" t="inlineStr">
        <is>
          <t>Z-005</t>
        </is>
      </c>
      <c r="C22" s="24" t="inlineStr">
        <is>
          <t>Information Management</t>
        </is>
      </c>
      <c r="D22" s="24" t="inlineStr"/>
      <c r="E22" s="25" t="inlineStr">
        <is>
          <t>ZZ</t>
        </is>
      </c>
      <c r="F22" s="26" t="inlineStr">
        <is>
          <t>Originator code register</t>
        </is>
      </c>
      <c r="G22" s="24" t="inlineStr">
        <is>
          <t>Schedule</t>
        </is>
      </c>
      <c r="H22" s="25" t="inlineStr">
        <is>
          <t>SH</t>
        </is>
      </c>
      <c r="I22" s="24" t="inlineStr">
        <is>
          <t>Mobilisation</t>
        </is>
      </c>
      <c r="J22" s="25" t="inlineStr">
        <is>
          <t>n/a</t>
        </is>
      </c>
      <c r="K22" s="24" t="inlineStr">
        <is>
          <t>XLSX</t>
        </is>
      </c>
      <c r="L22" s="25" t="inlineStr">
        <is>
          <t>A1</t>
        </is>
      </c>
      <c r="M22" s="25" t="inlineStr">
        <is>
          <t>Published</t>
        </is>
      </c>
      <c r="N22" s="25" t="n">
        <v>0</v>
      </c>
      <c r="O22" s="25" t="n">
        <v>0</v>
      </c>
      <c r="P22" s="27" t="n"/>
      <c r="Q22" s="27" t="n"/>
      <c r="R22" s="24" t="n"/>
      <c r="S22" s="24" t="inlineStr">
        <is>
          <t>Lead Appointed Party</t>
        </is>
      </c>
      <c r="T22" s="24" t="inlineStr">
        <is>
          <t>TIDP-Z</t>
        </is>
      </c>
      <c r="U22" s="25" t="inlineStr">
        <is>
          <t>Y</t>
        </is>
      </c>
      <c r="V22" s="25" t="inlineStr">
        <is>
          <t>N</t>
        </is>
      </c>
      <c r="W22" s="25" t="inlineStr">
        <is>
          <t>N</t>
        </is>
      </c>
      <c r="X22" s="25" t="inlineStr"/>
      <c r="Y22" s="26" t="inlineStr">
        <is>
          <t>Required before any container is numbered; 3-character codes</t>
        </is>
      </c>
    </row>
    <row r="23">
      <c r="B23" s="24" t="inlineStr">
        <is>
          <t>Z-007</t>
        </is>
      </c>
      <c r="C23" s="24" t="inlineStr">
        <is>
          <t>Information Management</t>
        </is>
      </c>
      <c r="D23" s="24" t="inlineStr"/>
      <c r="E23" s="25" t="inlineStr">
        <is>
          <t>ZZ</t>
        </is>
      </c>
      <c r="F23" s="26" t="inlineStr">
        <is>
          <t>Standards reconciliation schedule (BEP 4.1.3)</t>
        </is>
      </c>
      <c r="G23" s="24" t="inlineStr">
        <is>
          <t>Schedule</t>
        </is>
      </c>
      <c r="H23" s="25" t="inlineStr">
        <is>
          <t>SH</t>
        </is>
      </c>
      <c r="I23" s="24" t="inlineStr">
        <is>
          <t>Mobilisation</t>
        </is>
      </c>
      <c r="J23" s="25" t="inlineStr">
        <is>
          <t>n/a</t>
        </is>
      </c>
      <c r="K23" s="24" t="inlineStr">
        <is>
          <t>XLSX/PDF</t>
        </is>
      </c>
      <c r="L23" s="25" t="inlineStr">
        <is>
          <t>S3</t>
        </is>
      </c>
      <c r="M23" s="25" t="inlineStr">
        <is>
          <t>Shared</t>
        </is>
      </c>
      <c r="N23" s="25" t="n">
        <v>0</v>
      </c>
      <c r="O23" s="25" t="n">
        <v>8</v>
      </c>
      <c r="P23" s="27" t="n"/>
      <c r="Q23" s="27" t="n"/>
      <c r="R23" s="24" t="n"/>
      <c r="S23" s="24" t="inlineStr">
        <is>
          <t>All disciplines</t>
        </is>
      </c>
      <c r="T23" s="24" t="inlineStr">
        <is>
          <t>TIDP-Z</t>
        </is>
      </c>
      <c r="U23" s="25" t="inlineStr">
        <is>
          <t>Y</t>
        </is>
      </c>
      <c r="V23" s="25" t="inlineStr">
        <is>
          <t>N</t>
        </is>
      </c>
      <c r="W23" s="25" t="inlineStr">
        <is>
          <t>N</t>
        </is>
      </c>
      <c r="X23" s="25" t="inlineStr"/>
      <c r="Y23" s="26" t="inlineStr">
        <is>
          <t>Opened at mobilisation; closed before Stage 2.3</t>
        </is>
      </c>
    </row>
    <row r="24">
      <c r="B24" s="24" t="inlineStr">
        <is>
          <t>Z-008</t>
        </is>
      </c>
      <c r="C24" s="24" t="inlineStr">
        <is>
          <t>Information Management</t>
        </is>
      </c>
      <c r="D24" s="24" t="inlineStr"/>
      <c r="E24" s="25" t="inlineStr">
        <is>
          <t>ZZ</t>
        </is>
      </c>
      <c r="F24" s="26" t="inlineStr">
        <is>
          <t>Shared coordinates seed model</t>
        </is>
      </c>
      <c r="G24" s="24" t="inlineStr">
        <is>
          <t>Model</t>
        </is>
      </c>
      <c r="H24" s="25" t="inlineStr">
        <is>
          <t>M3</t>
        </is>
      </c>
      <c r="I24" s="24" t="inlineStr">
        <is>
          <t>Mobilisation</t>
        </is>
      </c>
      <c r="J24" s="25" t="inlineStr">
        <is>
          <t>n/a</t>
        </is>
      </c>
      <c r="K24" s="24" t="inlineStr">
        <is>
          <t>RVT</t>
        </is>
      </c>
      <c r="L24" s="25" t="inlineStr">
        <is>
          <t>A1</t>
        </is>
      </c>
      <c r="M24" s="25" t="inlineStr">
        <is>
          <t>Published</t>
        </is>
      </c>
      <c r="N24" s="25" t="n">
        <v>0</v>
      </c>
      <c r="O24" s="25" t="n">
        <v>0</v>
      </c>
      <c r="P24" s="27" t="n"/>
      <c r="Q24" s="27" t="n"/>
      <c r="R24" s="24" t="n"/>
      <c r="S24" s="24" t="inlineStr">
        <is>
          <t>Information Manager</t>
        </is>
      </c>
      <c r="T24" s="24" t="inlineStr">
        <is>
          <t>TIDP-Z</t>
        </is>
      </c>
      <c r="U24" s="25" t="inlineStr">
        <is>
          <t>Y</t>
        </is>
      </c>
      <c r="V24" s="25" t="inlineStr">
        <is>
          <t>N</t>
        </is>
      </c>
      <c r="W24" s="25" t="inlineStr">
        <is>
          <t>N</t>
        </is>
      </c>
      <c r="X24" s="25" t="inlineStr"/>
      <c r="Y24" s="26" t="inlineStr">
        <is>
          <t>Survey point, project base point, true north, levels and grids</t>
        </is>
      </c>
    </row>
    <row r="25">
      <c r="B25" s="24" t="inlineStr">
        <is>
          <t>Z-009</t>
        </is>
      </c>
      <c r="C25" s="24" t="inlineStr">
        <is>
          <t>Information Management</t>
        </is>
      </c>
      <c r="D25" s="24" t="inlineStr"/>
      <c r="E25" s="25" t="inlineStr">
        <is>
          <t>ZZ</t>
        </is>
      </c>
      <c r="F25" s="26" t="inlineStr">
        <is>
          <t>Level and grid register</t>
        </is>
      </c>
      <c r="G25" s="24" t="inlineStr">
        <is>
          <t>Schedule</t>
        </is>
      </c>
      <c r="H25" s="25" t="inlineStr">
        <is>
          <t>SH</t>
        </is>
      </c>
      <c r="I25" s="24" t="inlineStr">
        <is>
          <t>Mobilisation</t>
        </is>
      </c>
      <c r="J25" s="25" t="inlineStr">
        <is>
          <t>n/a</t>
        </is>
      </c>
      <c r="K25" s="24" t="inlineStr">
        <is>
          <t>XLSX/PDF</t>
        </is>
      </c>
      <c r="L25" s="25" t="inlineStr">
        <is>
          <t>A1</t>
        </is>
      </c>
      <c r="M25" s="25" t="inlineStr">
        <is>
          <t>Published</t>
        </is>
      </c>
      <c r="N25" s="25" t="n">
        <v>0</v>
      </c>
      <c r="O25" s="25" t="n">
        <v>0</v>
      </c>
      <c r="P25" s="27" t="n"/>
      <c r="Q25" s="27" t="n"/>
      <c r="R25" s="24" t="n"/>
      <c r="S25" s="24" t="inlineStr">
        <is>
          <t>Lead Appointed Party</t>
        </is>
      </c>
      <c r="T25" s="24" t="inlineStr">
        <is>
          <t>TIDP-Z</t>
        </is>
      </c>
      <c r="U25" s="25" t="inlineStr">
        <is>
          <t>Y</t>
        </is>
      </c>
      <c r="V25" s="25" t="inlineStr">
        <is>
          <t>N</t>
        </is>
      </c>
      <c r="W25" s="25" t="inlineStr">
        <is>
          <t>N</t>
        </is>
      </c>
      <c r="X25" s="25" t="inlineStr"/>
      <c r="Y25" s="26" t="inlineStr">
        <is>
          <t>Reference SH-Z-0003</t>
        </is>
      </c>
    </row>
    <row r="26">
      <c r="B26" s="24" t="inlineStr">
        <is>
          <t>Z-011</t>
        </is>
      </c>
      <c r="C26" s="24" t="inlineStr">
        <is>
          <t>Information Management</t>
        </is>
      </c>
      <c r="D26" s="24" t="inlineStr"/>
      <c r="E26" s="25" t="inlineStr">
        <is>
          <t>ZZ</t>
        </is>
      </c>
      <c r="F26" s="26" t="inlineStr">
        <is>
          <t>Software and version register</t>
        </is>
      </c>
      <c r="G26" s="24" t="inlineStr">
        <is>
          <t>Schedule</t>
        </is>
      </c>
      <c r="H26" s="25" t="inlineStr">
        <is>
          <t>SH</t>
        </is>
      </c>
      <c r="I26" s="24" t="inlineStr">
        <is>
          <t>Mobilisation</t>
        </is>
      </c>
      <c r="J26" s="25" t="inlineStr">
        <is>
          <t>n/a</t>
        </is>
      </c>
      <c r="K26" s="24" t="inlineStr">
        <is>
          <t>XLSX</t>
        </is>
      </c>
      <c r="L26" s="25" t="inlineStr">
        <is>
          <t>A1</t>
        </is>
      </c>
      <c r="M26" s="25" t="inlineStr">
        <is>
          <t>Published</t>
        </is>
      </c>
      <c r="N26" s="25" t="n">
        <v>0</v>
      </c>
      <c r="O26" s="25" t="n">
        <v>0</v>
      </c>
      <c r="P26" s="27" t="n"/>
      <c r="Q26" s="27" t="n"/>
      <c r="R26" s="24" t="n"/>
      <c r="S26" s="24" t="inlineStr">
        <is>
          <t>All parties</t>
        </is>
      </c>
      <c r="T26" s="24" t="inlineStr">
        <is>
          <t>TIDP-Z</t>
        </is>
      </c>
      <c r="U26" s="25" t="inlineStr">
        <is>
          <t>N</t>
        </is>
      </c>
      <c r="V26" s="25" t="inlineStr">
        <is>
          <t>N</t>
        </is>
      </c>
      <c r="W26" s="25" t="inlineStr">
        <is>
          <t>N</t>
        </is>
      </c>
      <c r="X26" s="25" t="inlineStr"/>
      <c r="Y26" s="26" t="inlineStr">
        <is>
          <t>Revit 2025 locked project-wide</t>
        </is>
      </c>
    </row>
    <row r="27">
      <c r="B27" s="24" t="inlineStr">
        <is>
          <t>Z-012</t>
        </is>
      </c>
      <c r="C27" s="24" t="inlineStr">
        <is>
          <t>Information Management</t>
        </is>
      </c>
      <c r="D27" s="24" t="inlineStr"/>
      <c r="E27" s="25" t="inlineStr">
        <is>
          <t>ZZ</t>
        </is>
      </c>
      <c r="F27" s="26" t="inlineStr">
        <is>
          <t>CDE folder structure and permission matrix</t>
        </is>
      </c>
      <c r="G27" s="24" t="inlineStr">
        <is>
          <t>Document</t>
        </is>
      </c>
      <c r="H27" s="25" t="inlineStr">
        <is>
          <t>RP</t>
        </is>
      </c>
      <c r="I27" s="24" t="inlineStr">
        <is>
          <t>Mobilisation</t>
        </is>
      </c>
      <c r="J27" s="25" t="inlineStr">
        <is>
          <t>n/a</t>
        </is>
      </c>
      <c r="K27" s="24" t="inlineStr">
        <is>
          <t>PDF</t>
        </is>
      </c>
      <c r="L27" s="25" t="inlineStr">
        <is>
          <t>A1</t>
        </is>
      </c>
      <c r="M27" s="25" t="inlineStr">
        <is>
          <t>Published</t>
        </is>
      </c>
      <c r="N27" s="25" t="n">
        <v>0</v>
      </c>
      <c r="O27" s="25" t="n">
        <v>0</v>
      </c>
      <c r="P27" s="27" t="n"/>
      <c r="Q27" s="27" t="n"/>
      <c r="R27" s="24" t="n"/>
      <c r="S27" s="24" t="inlineStr">
        <is>
          <t>Information Manager</t>
        </is>
      </c>
      <c r="T27" s="24" t="inlineStr">
        <is>
          <t>TIDP-Z</t>
        </is>
      </c>
      <c r="U27" s="25" t="inlineStr">
        <is>
          <t>N</t>
        </is>
      </c>
      <c r="V27" s="25" t="inlineStr">
        <is>
          <t>N</t>
        </is>
      </c>
      <c r="W27" s="25" t="inlineStr">
        <is>
          <t>N</t>
        </is>
      </c>
      <c r="X27" s="25" t="inlineStr"/>
      <c r="Y27" s="26" t="inlineStr">
        <is>
          <t>ACC provisioned; seats confirmed for every party (E-01)</t>
        </is>
      </c>
    </row>
    <row r="28">
      <c r="B28" s="24" t="inlineStr">
        <is>
          <t>Z-013</t>
        </is>
      </c>
      <c r="C28" s="24" t="inlineStr">
        <is>
          <t>Information Management</t>
        </is>
      </c>
      <c r="D28" s="24" t="inlineStr"/>
      <c r="E28" s="25" t="inlineStr">
        <is>
          <t>ZZ</t>
        </is>
      </c>
      <c r="F28" s="26" t="inlineStr">
        <is>
          <t>Information classification and access schedule</t>
        </is>
      </c>
      <c r="G28" s="24" t="inlineStr">
        <is>
          <t>Document</t>
        </is>
      </c>
      <c r="H28" s="25" t="inlineStr">
        <is>
          <t>RP</t>
        </is>
      </c>
      <c r="I28" s="24" t="inlineStr">
        <is>
          <t>Mobilisation</t>
        </is>
      </c>
      <c r="J28" s="25" t="inlineStr">
        <is>
          <t>n/a</t>
        </is>
      </c>
      <c r="K28" s="24" t="inlineStr">
        <is>
          <t>PDF</t>
        </is>
      </c>
      <c r="L28" s="25" t="inlineStr">
        <is>
          <t>A1</t>
        </is>
      </c>
      <c r="M28" s="25" t="inlineStr">
        <is>
          <t>Published</t>
        </is>
      </c>
      <c r="N28" s="25" t="n">
        <v>0</v>
      </c>
      <c r="O28" s="25" t="n">
        <v>0</v>
      </c>
      <c r="P28" s="27" t="n"/>
      <c r="Q28" s="27" t="n"/>
      <c r="R28" s="24" t="n"/>
      <c r="S28" s="24" t="inlineStr">
        <is>
          <t>Appointing Party</t>
        </is>
      </c>
      <c r="T28" s="24" t="inlineStr">
        <is>
          <t>TIDP-Z</t>
        </is>
      </c>
      <c r="U28" s="25" t="inlineStr">
        <is>
          <t>Y</t>
        </is>
      </c>
      <c r="V28" s="25" t="inlineStr">
        <is>
          <t>N</t>
        </is>
      </c>
      <c r="W28" s="25" t="inlineStr">
        <is>
          <t>N</t>
        </is>
      </c>
      <c r="X28" s="25" t="inlineStr"/>
      <c r="Y28" s="26" t="inlineStr">
        <is>
          <t>Restricted spaces and systems classified before modelling begins</t>
        </is>
      </c>
    </row>
    <row r="29">
      <c r="B29" s="24" t="inlineStr">
        <is>
          <t>Z-014</t>
        </is>
      </c>
      <c r="C29" s="24" t="inlineStr">
        <is>
          <t>Information Management</t>
        </is>
      </c>
      <c r="D29" s="24" t="inlineStr"/>
      <c r="E29" s="25" t="inlineStr">
        <is>
          <t>ZZ</t>
        </is>
      </c>
      <c r="F29" s="26" t="inlineStr">
        <is>
          <t>Clash matrix and tolerance schedule</t>
        </is>
      </c>
      <c r="G29" s="24" t="inlineStr">
        <is>
          <t>Document</t>
        </is>
      </c>
      <c r="H29" s="25" t="inlineStr">
        <is>
          <t>RP</t>
        </is>
      </c>
      <c r="I29" s="24" t="inlineStr">
        <is>
          <t>Mobilisation</t>
        </is>
      </c>
      <c r="J29" s="25" t="inlineStr">
        <is>
          <t>n/a</t>
        </is>
      </c>
      <c r="K29" s="24" t="inlineStr">
        <is>
          <t>PDF</t>
        </is>
      </c>
      <c r="L29" s="25" t="inlineStr">
        <is>
          <t>S3</t>
        </is>
      </c>
      <c r="M29" s="25" t="inlineStr">
        <is>
          <t>Shared</t>
        </is>
      </c>
      <c r="N29" s="25" t="n">
        <v>1</v>
      </c>
      <c r="O29" s="25" t="n">
        <v>1</v>
      </c>
      <c r="P29" s="27" t="n"/>
      <c r="Q29" s="27" t="n"/>
      <c r="R29" s="24" t="n"/>
      <c r="S29" s="24" t="inlineStr">
        <is>
          <t>MEP and structural leads</t>
        </is>
      </c>
      <c r="T29" s="24" t="inlineStr">
        <is>
          <t>TIDP-Z</t>
        </is>
      </c>
      <c r="U29" s="25" t="inlineStr">
        <is>
          <t>Y</t>
        </is>
      </c>
      <c r="V29" s="25" t="inlineStr">
        <is>
          <t>N</t>
        </is>
      </c>
      <c r="W29" s="25" t="inlineStr">
        <is>
          <t>N</t>
        </is>
      </c>
      <c r="X29" s="25" t="inlineStr"/>
      <c r="Y29" s="26" t="inlineStr">
        <is>
          <t>Required before the first coordination cycle of Stage 2.2</t>
        </is>
      </c>
    </row>
    <row r="30">
      <c r="B30" s="24" t="inlineStr">
        <is>
          <t>Z-015</t>
        </is>
      </c>
      <c r="C30" s="24" t="inlineStr">
        <is>
          <t>Information Management</t>
        </is>
      </c>
      <c r="D30" s="24" t="inlineStr"/>
      <c r="E30" s="25" t="inlineStr">
        <is>
          <t>ZZ</t>
        </is>
      </c>
      <c r="F30" s="26" t="inlineStr">
        <is>
          <t>IFC export configuration</t>
        </is>
      </c>
      <c r="G30" s="24" t="inlineStr">
        <is>
          <t>Document</t>
        </is>
      </c>
      <c r="H30" s="25" t="inlineStr">
        <is>
          <t>RP</t>
        </is>
      </c>
      <c r="I30" s="24" t="inlineStr">
        <is>
          <t>Mobilisation</t>
        </is>
      </c>
      <c r="J30" s="25" t="inlineStr">
        <is>
          <t>n/a</t>
        </is>
      </c>
      <c r="K30" s="24" t="inlineStr">
        <is>
          <t>PDF/JSON</t>
        </is>
      </c>
      <c r="L30" s="25" t="inlineStr">
        <is>
          <t>A1</t>
        </is>
      </c>
      <c r="M30" s="25" t="inlineStr">
        <is>
          <t>Published</t>
        </is>
      </c>
      <c r="N30" s="25" t="n">
        <v>0</v>
      </c>
      <c r="O30" s="25" t="n">
        <v>0</v>
      </c>
      <c r="P30" s="27" t="n"/>
      <c r="Q30" s="27" t="n"/>
      <c r="R30" s="24" t="n"/>
      <c r="S30" s="24" t="inlineStr">
        <is>
          <t>Information Manager</t>
        </is>
      </c>
      <c r="T30" s="24" t="inlineStr">
        <is>
          <t>TIDP-Z</t>
        </is>
      </c>
      <c r="U30" s="25" t="inlineStr">
        <is>
          <t>N</t>
        </is>
      </c>
      <c r="V30" s="25" t="inlineStr">
        <is>
          <t>N</t>
        </is>
      </c>
      <c r="W30" s="25" t="inlineStr">
        <is>
          <t>N</t>
        </is>
      </c>
      <c r="X30" s="25" t="inlineStr"/>
      <c r="Y30" s="26" t="inlineStr">
        <is>
          <t>Issued centrally</t>
        </is>
      </c>
    </row>
    <row r="31">
      <c r="B31" s="24" t="inlineStr">
        <is>
          <t>Z-016</t>
        </is>
      </c>
      <c r="C31" s="24" t="inlineStr">
        <is>
          <t>Information Management</t>
        </is>
      </c>
      <c r="D31" s="24" t="inlineStr"/>
      <c r="E31" s="25" t="inlineStr">
        <is>
          <t>ZZ</t>
        </is>
      </c>
      <c r="F31" s="26" t="inlineStr">
        <is>
          <t>Shared parameter file</t>
        </is>
      </c>
      <c r="G31" s="24" t="inlineStr">
        <is>
          <t>Document</t>
        </is>
      </c>
      <c r="H31" s="25" t="inlineStr">
        <is>
          <t>RP</t>
        </is>
      </c>
      <c r="I31" s="24" t="inlineStr">
        <is>
          <t>Mobilisation</t>
        </is>
      </c>
      <c r="J31" s="25" t="inlineStr">
        <is>
          <t>n/a</t>
        </is>
      </c>
      <c r="K31" s="24" t="inlineStr">
        <is>
          <t>TXT</t>
        </is>
      </c>
      <c r="L31" s="25" t="inlineStr">
        <is>
          <t>A1</t>
        </is>
      </c>
      <c r="M31" s="25" t="inlineStr">
        <is>
          <t>Published</t>
        </is>
      </c>
      <c r="N31" s="25" t="n">
        <v>0</v>
      </c>
      <c r="O31" s="25" t="n">
        <v>0</v>
      </c>
      <c r="P31" s="27" t="n"/>
      <c r="Q31" s="27" t="n"/>
      <c r="R31" s="24" t="n"/>
      <c r="S31" s="24" t="inlineStr">
        <is>
          <t>Information Manager</t>
        </is>
      </c>
      <c r="T31" s="24" t="inlineStr">
        <is>
          <t>TIDP-Z</t>
        </is>
      </c>
      <c r="U31" s="25" t="inlineStr">
        <is>
          <t>Y</t>
        </is>
      </c>
      <c r="V31" s="25" t="inlineStr">
        <is>
          <t>N</t>
        </is>
      </c>
      <c r="W31" s="25" t="inlineStr">
        <is>
          <t>N</t>
        </is>
      </c>
      <c r="X31" s="25" t="inlineStr"/>
      <c r="Y31" s="26" t="inlineStr">
        <is>
          <t>Central ownership</t>
        </is>
      </c>
    </row>
    <row r="32">
      <c r="B32" s="24" t="inlineStr">
        <is>
          <t>Z-017</t>
        </is>
      </c>
      <c r="C32" s="24" t="inlineStr">
        <is>
          <t>Information Management</t>
        </is>
      </c>
      <c r="D32" s="24" t="inlineStr"/>
      <c r="E32" s="25" t="inlineStr">
        <is>
          <t>ZZ</t>
        </is>
      </c>
      <c r="F32" s="26" t="inlineStr">
        <is>
          <t>Capability and capacity assessment</t>
        </is>
      </c>
      <c r="G32" s="24" t="inlineStr">
        <is>
          <t>Report</t>
        </is>
      </c>
      <c r="H32" s="25" t="inlineStr">
        <is>
          <t>RP</t>
        </is>
      </c>
      <c r="I32" s="24" t="inlineStr">
        <is>
          <t>Mobilisation</t>
        </is>
      </c>
      <c r="J32" s="25" t="inlineStr">
        <is>
          <t>n/a</t>
        </is>
      </c>
      <c r="K32" s="24" t="inlineStr">
        <is>
          <t>XLSX</t>
        </is>
      </c>
      <c r="L32" s="25" t="inlineStr">
        <is>
          <t>S3</t>
        </is>
      </c>
      <c r="M32" s="25" t="inlineStr">
        <is>
          <t>Shared</t>
        </is>
      </c>
      <c r="N32" s="25" t="n">
        <v>1</v>
      </c>
      <c r="O32" s="25" t="n">
        <v>1</v>
      </c>
      <c r="P32" s="27" t="n"/>
      <c r="Q32" s="27" t="n"/>
      <c r="R32" s="24" t="n"/>
      <c r="S32" s="24" t="inlineStr">
        <is>
          <t>Lead Appointed Party</t>
        </is>
      </c>
      <c r="T32" s="24" t="inlineStr">
        <is>
          <t>TIDP-Z</t>
        </is>
      </c>
      <c r="U32" s="25" t="inlineStr">
        <is>
          <t>N</t>
        </is>
      </c>
      <c r="V32" s="25" t="inlineStr">
        <is>
          <t>N</t>
        </is>
      </c>
      <c r="W32" s="25" t="inlineStr">
        <is>
          <t>N</t>
        </is>
      </c>
      <c r="X32" s="25" t="inlineStr"/>
      <c r="Y32" s="26" t="inlineStr">
        <is>
          <t>ISO 19650-2; the Stage 0 test model is its practical form</t>
        </is>
      </c>
    </row>
    <row r="33">
      <c r="B33" s="24" t="inlineStr">
        <is>
          <t>Z-018</t>
        </is>
      </c>
      <c r="C33" s="24" t="inlineStr">
        <is>
          <t>Information Management</t>
        </is>
      </c>
      <c r="D33" s="24" t="inlineStr"/>
      <c r="E33" s="25" t="inlineStr">
        <is>
          <t>ZZ</t>
        </is>
      </c>
      <c r="F33" s="26" t="inlineStr">
        <is>
          <t>Standards localisation note (Owner standards to Ugandan practice)</t>
        </is>
      </c>
      <c r="G33" s="24" t="inlineStr">
        <is>
          <t>Document</t>
        </is>
      </c>
      <c r="H33" s="25" t="inlineStr">
        <is>
          <t>RP</t>
        </is>
      </c>
      <c r="I33" s="24" t="inlineStr">
        <is>
          <t>Mobilisation</t>
        </is>
      </c>
      <c r="J33" s="25" t="inlineStr">
        <is>
          <t>n/a</t>
        </is>
      </c>
      <c r="K33" s="24" t="inlineStr">
        <is>
          <t>DOCX/PDF</t>
        </is>
      </c>
      <c r="L33" s="25" t="inlineStr">
        <is>
          <t>S3</t>
        </is>
      </c>
      <c r="M33" s="25" t="inlineStr">
        <is>
          <t>Shared</t>
        </is>
      </c>
      <c r="N33" s="25" t="n">
        <v>0</v>
      </c>
      <c r="O33" s="25" t="n">
        <v>1</v>
      </c>
      <c r="P33" s="27" t="n"/>
      <c r="Q33" s="27" t="n"/>
      <c r="R33" s="24" t="n"/>
      <c r="S33" s="24" t="inlineStr">
        <is>
          <t>Information Manager</t>
        </is>
      </c>
      <c r="T33" s="24" t="inlineStr">
        <is>
          <t>TIDP-Z</t>
        </is>
      </c>
      <c r="U33" s="25" t="inlineStr">
        <is>
          <t>N</t>
        </is>
      </c>
      <c r="V33" s="25" t="inlineStr">
        <is>
          <t>N</t>
        </is>
      </c>
      <c r="W33" s="25" t="inlineStr">
        <is>
          <t>N</t>
        </is>
      </c>
      <c r="X33" s="25" t="inlineStr"/>
      <c r="Y33" s="26" t="inlineStr">
        <is>
          <t>Reference RP-Z-0005; weeks 2–3 after the Owner standards are received</t>
        </is>
      </c>
    </row>
    <row r="34">
      <c r="B34" s="24" t="inlineStr">
        <is>
          <t>Z-019</t>
        </is>
      </c>
      <c r="C34" s="24" t="inlineStr">
        <is>
          <t>Information Management</t>
        </is>
      </c>
      <c r="D34" s="24" t="inlineStr"/>
      <c r="E34" s="25" t="inlineStr">
        <is>
          <t>ZZ</t>
        </is>
      </c>
      <c r="F34" s="26" t="inlineStr">
        <is>
          <t>Stage 0 gate record (test model shared by every appointed party)</t>
        </is>
      </c>
      <c r="G34" s="24" t="inlineStr">
        <is>
          <t>Report</t>
        </is>
      </c>
      <c r="H34" s="25" t="inlineStr">
        <is>
          <t>RP</t>
        </is>
      </c>
      <c r="I34" s="24" t="inlineStr">
        <is>
          <t>Mobilisation</t>
        </is>
      </c>
      <c r="J34" s="25" t="inlineStr">
        <is>
          <t>n/a</t>
        </is>
      </c>
      <c r="K34" s="24" t="inlineStr">
        <is>
          <t>PDF</t>
        </is>
      </c>
      <c r="L34" s="25" t="inlineStr">
        <is>
          <t>S3</t>
        </is>
      </c>
      <c r="M34" s="25" t="inlineStr">
        <is>
          <t>Shared</t>
        </is>
      </c>
      <c r="N34" s="25" t="n">
        <v>1</v>
      </c>
      <c r="O34" s="25" t="n">
        <v>1</v>
      </c>
      <c r="P34" s="27" t="n"/>
      <c r="Q34" s="27" t="n"/>
      <c r="R34" s="24" t="n"/>
      <c r="S34" s="24" t="inlineStr">
        <is>
          <t>Information Manager</t>
        </is>
      </c>
      <c r="T34" s="24" t="inlineStr">
        <is>
          <t>TIDP-Z</t>
        </is>
      </c>
      <c r="U34" s="25" t="inlineStr">
        <is>
          <t>Y</t>
        </is>
      </c>
      <c r="V34" s="25" t="inlineStr">
        <is>
          <t>N</t>
        </is>
      </c>
      <c r="W34" s="25" t="inlineStr">
        <is>
          <t>N</t>
        </is>
      </c>
      <c r="X34" s="25" t="inlineStr"/>
      <c r="Y34" s="26" t="inlineStr">
        <is>
          <t>No discipline enters the fortnightly cycle before this</t>
        </is>
      </c>
    </row>
    <row r="35">
      <c r="B35" s="24" t="inlineStr">
        <is>
          <t>Z-020</t>
        </is>
      </c>
      <c r="C35" s="24" t="inlineStr">
        <is>
          <t>Information Management</t>
        </is>
      </c>
      <c r="D35" s="24" t="inlineStr"/>
      <c r="E35" s="25" t="inlineStr">
        <is>
          <t>ZZ</t>
        </is>
      </c>
      <c r="F35" s="26" t="inlineStr">
        <is>
          <t>Monthly BIM status report (design stage)</t>
        </is>
      </c>
      <c r="G35" s="24" t="inlineStr">
        <is>
          <t>Report</t>
        </is>
      </c>
      <c r="H35" s="25" t="inlineStr">
        <is>
          <t>RP</t>
        </is>
      </c>
      <c r="I35" s="24" t="inlineStr">
        <is>
          <t>Mobilisation</t>
        </is>
      </c>
      <c r="J35" s="25" t="inlineStr">
        <is>
          <t>n/a</t>
        </is>
      </c>
      <c r="K35" s="24" t="inlineStr">
        <is>
          <t>PDF</t>
        </is>
      </c>
      <c r="L35" s="25" t="inlineStr">
        <is>
          <t>S2</t>
        </is>
      </c>
      <c r="M35" s="25" t="inlineStr">
        <is>
          <t>Shared</t>
        </is>
      </c>
      <c r="N35" s="25" t="n">
        <v>1</v>
      </c>
      <c r="O35" s="25" t="n">
        <v>11</v>
      </c>
      <c r="P35" s="27" t="n"/>
      <c r="Q35" s="27" t="n"/>
      <c r="R35" s="24" t="n"/>
      <c r="S35" s="24" t="inlineStr">
        <is>
          <t>Information Manager</t>
        </is>
      </c>
      <c r="T35" s="24" t="inlineStr">
        <is>
          <t>TIDP-Z</t>
        </is>
      </c>
      <c r="U35" s="25" t="inlineStr">
        <is>
          <t>N</t>
        </is>
      </c>
      <c r="V35" s="25" t="inlineStr">
        <is>
          <t>N</t>
        </is>
      </c>
      <c r="W35" s="25" t="inlineStr">
        <is>
          <t>N</t>
        </is>
      </c>
      <c r="X35" s="25" t="inlineStr"/>
      <c r="Y35" s="26" t="inlineStr">
        <is>
          <t>KPIs per BEP 10.5</t>
        </is>
      </c>
    </row>
    <row r="36">
      <c r="B36" s="24" t="inlineStr">
        <is>
          <t>Z-021</t>
        </is>
      </c>
      <c r="C36" s="24" t="inlineStr">
        <is>
          <t>Information Management</t>
        </is>
      </c>
      <c r="D36" s="24" t="inlineStr"/>
      <c r="E36" s="25" t="inlineStr">
        <is>
          <t>ZZ</t>
        </is>
      </c>
      <c r="F36" s="26" t="inlineStr">
        <is>
          <t>Kickoff induction record and BEP acknowledgement</t>
        </is>
      </c>
      <c r="G36" s="24" t="inlineStr">
        <is>
          <t>Document</t>
        </is>
      </c>
      <c r="H36" s="25" t="inlineStr">
        <is>
          <t>RP</t>
        </is>
      </c>
      <c r="I36" s="24" t="inlineStr">
        <is>
          <t>Mobilisation</t>
        </is>
      </c>
      <c r="J36" s="25" t="inlineStr">
        <is>
          <t>n/a</t>
        </is>
      </c>
      <c r="K36" s="24" t="inlineStr">
        <is>
          <t>PDF</t>
        </is>
      </c>
      <c r="L36" s="25" t="inlineStr">
        <is>
          <t>A1</t>
        </is>
      </c>
      <c r="M36" s="25" t="inlineStr">
        <is>
          <t>Published</t>
        </is>
      </c>
      <c r="N36" s="25" t="n">
        <v>0</v>
      </c>
      <c r="O36" s="25" t="n">
        <v>1</v>
      </c>
      <c r="P36" s="27" t="n"/>
      <c r="Q36" s="27" t="n"/>
      <c r="R36" s="24" t="n"/>
      <c r="S36" s="24" t="inlineStr">
        <is>
          <t>Information Manager</t>
        </is>
      </c>
      <c r="T36" s="24" t="inlineStr">
        <is>
          <t>TIDP-Z</t>
        </is>
      </c>
      <c r="U36" s="25" t="inlineStr">
        <is>
          <t>N</t>
        </is>
      </c>
      <c r="V36" s="25" t="inlineStr">
        <is>
          <t>N</t>
        </is>
      </c>
      <c r="W36" s="25" t="inlineStr">
        <is>
          <t>N</t>
        </is>
      </c>
      <c r="X36" s="25" t="inlineStr"/>
      <c r="Y36" s="26" t="inlineStr">
        <is>
          <t>Attendance and signed acknowledgement from every task team</t>
        </is>
      </c>
    </row>
    <row r="37">
      <c r="B37" s="24" t="inlineStr">
        <is>
          <t>Z-022</t>
        </is>
      </c>
      <c r="C37" s="24" t="inlineStr">
        <is>
          <t>Information Management</t>
        </is>
      </c>
      <c r="D37" s="24" t="inlineStr"/>
      <c r="E37" s="25" t="inlineStr">
        <is>
          <t>ZZ</t>
        </is>
      </c>
      <c r="F37" s="26" t="inlineStr">
        <is>
          <t>Document Control Standard (reissued to P02 codes)</t>
        </is>
      </c>
      <c r="G37" s="24" t="inlineStr">
        <is>
          <t>Document</t>
        </is>
      </c>
      <c r="H37" s="25" t="inlineStr">
        <is>
          <t>RP</t>
        </is>
      </c>
      <c r="I37" s="24" t="inlineStr">
        <is>
          <t>Mobilisation</t>
        </is>
      </c>
      <c r="J37" s="25" t="inlineStr">
        <is>
          <t>n/a</t>
        </is>
      </c>
      <c r="K37" s="24" t="inlineStr">
        <is>
          <t>DOCX/PDF</t>
        </is>
      </c>
      <c r="L37" s="25" t="inlineStr">
        <is>
          <t>A1</t>
        </is>
      </c>
      <c r="M37" s="25" t="inlineStr">
        <is>
          <t>Published</t>
        </is>
      </c>
      <c r="N37" s="25" t="n">
        <v>0</v>
      </c>
      <c r="O37" s="25" t="n">
        <v>0</v>
      </c>
      <c r="P37" s="27" t="n"/>
      <c r="Q37" s="27" t="n"/>
      <c r="R37" s="24" t="n"/>
      <c r="S37" s="24" t="inlineStr">
        <is>
          <t>Information Manager</t>
        </is>
      </c>
      <c r="T37" s="24" t="inlineStr">
        <is>
          <t>TIDP-Z</t>
        </is>
      </c>
      <c r="U37" s="25" t="inlineStr">
        <is>
          <t>N</t>
        </is>
      </c>
      <c r="V37" s="25" t="inlineStr">
        <is>
          <t>N</t>
        </is>
      </c>
      <c r="W37" s="25" t="inlineStr">
        <is>
          <t>N</t>
        </is>
      </c>
      <c r="X37" s="25" t="inlineStr"/>
      <c r="Y37" s="26" t="inlineStr">
        <is>
          <t>KUT-SMB-ZZ-ZZ-RP-Z-0003. Container naming, sheet number bands, revision, authorisation, transmittal, superseded/cancelled/replaced notices, number retirement</t>
        </is>
      </c>
    </row>
    <row r="38">
      <c r="B38" s="24" t="inlineStr">
        <is>
          <t>Z-024</t>
        </is>
      </c>
      <c r="C38" s="24" t="inlineStr">
        <is>
          <t>Information Management</t>
        </is>
      </c>
      <c r="D38" s="24" t="inlineStr"/>
      <c r="E38" s="25" t="inlineStr">
        <is>
          <t>ZZ</t>
        </is>
      </c>
      <c r="F38" s="26" t="inlineStr">
        <is>
          <t>Drawing register, transmittal and notice templates</t>
        </is>
      </c>
      <c r="G38" s="24" t="inlineStr">
        <is>
          <t>Document</t>
        </is>
      </c>
      <c r="H38" s="25" t="inlineStr">
        <is>
          <t>IE</t>
        </is>
      </c>
      <c r="I38" s="24" t="inlineStr">
        <is>
          <t>Mobilisation</t>
        </is>
      </c>
      <c r="J38" s="25" t="inlineStr">
        <is>
          <t>n/a</t>
        </is>
      </c>
      <c r="K38" s="24" t="inlineStr">
        <is>
          <t>XLSX/DOCX</t>
        </is>
      </c>
      <c r="L38" s="25" t="inlineStr">
        <is>
          <t>A1</t>
        </is>
      </c>
      <c r="M38" s="25" t="inlineStr">
        <is>
          <t>Published</t>
        </is>
      </c>
      <c r="N38" s="25" t="n">
        <v>0</v>
      </c>
      <c r="O38" s="25" t="n">
        <v>0</v>
      </c>
      <c r="P38" s="27" t="n"/>
      <c r="Q38" s="27" t="n"/>
      <c r="R38" s="24" t="n"/>
      <c r="S38" s="24" t="inlineStr">
        <is>
          <t>Information Manager</t>
        </is>
      </c>
      <c r="T38" s="24" t="inlineStr">
        <is>
          <t>TIDP-Z</t>
        </is>
      </c>
      <c r="U38" s="25" t="inlineStr">
        <is>
          <t>N</t>
        </is>
      </c>
      <c r="V38" s="25" t="inlineStr">
        <is>
          <t>N</t>
        </is>
      </c>
      <c r="W38" s="25" t="inlineStr">
        <is>
          <t>N</t>
        </is>
      </c>
      <c r="X38" s="25" t="inlineStr"/>
      <c r="Y38" s="26" t="inlineStr"/>
    </row>
    <row r="39">
      <c r="B39" s="24" t="inlineStr">
        <is>
          <t>Z-010</t>
        </is>
      </c>
      <c r="C39" s="24" t="inlineStr">
        <is>
          <t>Information Management</t>
        </is>
      </c>
      <c r="D39" s="24" t="inlineStr"/>
      <c r="E39" s="25" t="inlineStr">
        <is>
          <t>ZZ</t>
        </is>
      </c>
      <c r="F39" s="26" t="inlineStr">
        <is>
          <t>Federated coordination model</t>
        </is>
      </c>
      <c r="G39" s="24" t="inlineStr">
        <is>
          <t>Model</t>
        </is>
      </c>
      <c r="H39" s="25" t="inlineStr">
        <is>
          <t>M3</t>
        </is>
      </c>
      <c r="I39" s="24" t="inlineStr">
        <is>
          <t>2.1 Deliverable A</t>
        </is>
      </c>
      <c r="J39" s="25" t="inlineStr">
        <is>
          <t>200</t>
        </is>
      </c>
      <c r="K39" s="24" t="inlineStr">
        <is>
          <t>NWC/NWD/IFC</t>
        </is>
      </c>
      <c r="L39" s="25" t="inlineStr">
        <is>
          <t>S1</t>
        </is>
      </c>
      <c r="M39" s="25" t="inlineStr">
        <is>
          <t>Shared</t>
        </is>
      </c>
      <c r="N39" s="25" t="n">
        <v>1</v>
      </c>
      <c r="O39" s="25" t="n">
        <v>1</v>
      </c>
      <c r="P39" s="27" t="n"/>
      <c r="Q39" s="27" t="n"/>
      <c r="R39" s="24" t="n"/>
      <c r="S39" s="24" t="inlineStr">
        <is>
          <t>Information Manager</t>
        </is>
      </c>
      <c r="T39" s="24" t="inlineStr">
        <is>
          <t>TIDP-Z</t>
        </is>
      </c>
      <c r="U39" s="25" t="inlineStr">
        <is>
          <t>Y</t>
        </is>
      </c>
      <c r="V39" s="25" t="inlineStr">
        <is>
          <t>Y</t>
        </is>
      </c>
      <c r="W39" s="25" t="inlineStr">
        <is>
          <t>N</t>
        </is>
      </c>
      <c r="X39" s="25" t="inlineStr"/>
      <c r="Y39" s="26" t="inlineStr">
        <is>
          <t>First federation; container M3-Z-0001</t>
        </is>
      </c>
    </row>
    <row r="40">
      <c r="B40" s="24" t="inlineStr">
        <is>
          <t>Z-110</t>
        </is>
      </c>
      <c r="C40" s="24" t="inlineStr">
        <is>
          <t>Information Management</t>
        </is>
      </c>
      <c r="D40" s="24" t="inlineStr"/>
      <c r="E40" s="25" t="inlineStr">
        <is>
          <t>ZZ</t>
        </is>
      </c>
      <c r="F40" s="26" t="inlineStr">
        <is>
          <t>Basis of design report</t>
        </is>
      </c>
      <c r="G40" s="24" t="inlineStr">
        <is>
          <t>Document</t>
        </is>
      </c>
      <c r="H40" s="25" t="inlineStr">
        <is>
          <t>RP</t>
        </is>
      </c>
      <c r="I40" s="24" t="inlineStr">
        <is>
          <t>2.1 Deliverable A</t>
        </is>
      </c>
      <c r="J40" s="25" t="inlineStr">
        <is>
          <t>200</t>
        </is>
      </c>
      <c r="K40" s="24" t="inlineStr">
        <is>
          <t>DOCX/PDF</t>
        </is>
      </c>
      <c r="L40" s="25" t="inlineStr">
        <is>
          <t>S3</t>
        </is>
      </c>
      <c r="M40" s="25" t="inlineStr">
        <is>
          <t>Shared</t>
        </is>
      </c>
      <c r="N40" s="25" t="n">
        <v>1</v>
      </c>
      <c r="O40" s="25" t="n">
        <v>1</v>
      </c>
      <c r="P40" s="27" t="n"/>
      <c r="Q40" s="27" t="n"/>
      <c r="R40" s="24" t="n"/>
      <c r="S40" s="24" t="inlineStr">
        <is>
          <t>Lead Appointed Party</t>
        </is>
      </c>
      <c r="T40" s="24" t="inlineStr">
        <is>
          <t>TIDP-Z</t>
        </is>
      </c>
      <c r="U40" s="25" t="inlineStr">
        <is>
          <t>N</t>
        </is>
      </c>
      <c r="V40" s="25" t="inlineStr">
        <is>
          <t>N</t>
        </is>
      </c>
      <c r="W40" s="25" t="inlineStr">
        <is>
          <t>N</t>
        </is>
      </c>
      <c r="X40" s="25" t="inlineStr"/>
      <c r="Y40" s="26" t="inlineStr">
        <is>
          <t>Design intent</t>
        </is>
      </c>
    </row>
    <row r="41">
      <c r="B41" s="24" t="inlineStr">
        <is>
          <t>Z-111</t>
        </is>
      </c>
      <c r="C41" s="24" t="inlineStr">
        <is>
          <t>Information Management</t>
        </is>
      </c>
      <c r="D41" s="24" t="inlineStr"/>
      <c r="E41" s="25" t="inlineStr">
        <is>
          <t>ZZ</t>
        </is>
      </c>
      <c r="F41" s="26" t="inlineStr">
        <is>
          <t>Area schedule reconciled to the brief</t>
        </is>
      </c>
      <c r="G41" s="24" t="inlineStr">
        <is>
          <t>Schedule</t>
        </is>
      </c>
      <c r="H41" s="25" t="inlineStr">
        <is>
          <t>SH</t>
        </is>
      </c>
      <c r="I41" s="24" t="inlineStr">
        <is>
          <t>2.1 Deliverable A</t>
        </is>
      </c>
      <c r="J41" s="25" t="inlineStr">
        <is>
          <t>200</t>
        </is>
      </c>
      <c r="K41" s="24" t="inlineStr">
        <is>
          <t>XLSX/PDF</t>
        </is>
      </c>
      <c r="L41" s="25" t="inlineStr">
        <is>
          <t>S3</t>
        </is>
      </c>
      <c r="M41" s="25" t="inlineStr">
        <is>
          <t>Shared</t>
        </is>
      </c>
      <c r="N41" s="25" t="n">
        <v>1</v>
      </c>
      <c r="O41" s="25" t="n">
        <v>1</v>
      </c>
      <c r="P41" s="27" t="n"/>
      <c r="Q41" s="27" t="n"/>
      <c r="R41" s="24" t="n"/>
      <c r="S41" s="24" t="inlineStr">
        <is>
          <t>Information Manager</t>
        </is>
      </c>
      <c r="T41" s="24" t="inlineStr">
        <is>
          <t>TIDP-Z</t>
        </is>
      </c>
      <c r="U41" s="25" t="inlineStr">
        <is>
          <t>N</t>
        </is>
      </c>
      <c r="V41" s="25" t="inlineStr">
        <is>
          <t>N</t>
        </is>
      </c>
      <c r="W41" s="25" t="inlineStr">
        <is>
          <t>N</t>
        </is>
      </c>
      <c r="X41" s="25" t="inlineStr"/>
      <c r="Y41" s="26" t="inlineStr">
        <is>
          <t>Gate condition</t>
        </is>
      </c>
    </row>
    <row r="42">
      <c r="B42" s="24" t="inlineStr">
        <is>
          <t>Z-112</t>
        </is>
      </c>
      <c r="C42" s="24" t="inlineStr">
        <is>
          <t>Information Management</t>
        </is>
      </c>
      <c r="D42" s="24" t="inlineStr"/>
      <c r="E42" s="25" t="inlineStr">
        <is>
          <t>ZZ</t>
        </is>
      </c>
      <c r="F42" s="26" t="inlineStr">
        <is>
          <t>Deliverable A gate pack and compliance report</t>
        </is>
      </c>
      <c r="G42" s="24" t="inlineStr">
        <is>
          <t>Document</t>
        </is>
      </c>
      <c r="H42" s="25" t="inlineStr">
        <is>
          <t>RP</t>
        </is>
      </c>
      <c r="I42" s="24" t="inlineStr">
        <is>
          <t>2.1 Deliverable A</t>
        </is>
      </c>
      <c r="J42" s="25" t="inlineStr">
        <is>
          <t>200</t>
        </is>
      </c>
      <c r="K42" s="24" t="inlineStr">
        <is>
          <t>PDF</t>
        </is>
      </c>
      <c r="L42" s="25" t="inlineStr">
        <is>
          <t>S4</t>
        </is>
      </c>
      <c r="M42" s="25" t="inlineStr">
        <is>
          <t>Shared</t>
        </is>
      </c>
      <c r="N42" s="25" t="n">
        <v>1</v>
      </c>
      <c r="O42" s="25" t="n">
        <v>1</v>
      </c>
      <c r="P42" s="27" t="n"/>
      <c r="Q42" s="27" t="n"/>
      <c r="R42" s="24" t="n"/>
      <c r="S42" s="24" t="inlineStr">
        <is>
          <t>Information Manager</t>
        </is>
      </c>
      <c r="T42" s="24" t="inlineStr">
        <is>
          <t>TIDP-Z</t>
        </is>
      </c>
      <c r="U42" s="25" t="inlineStr">
        <is>
          <t>Y</t>
        </is>
      </c>
      <c r="V42" s="25" t="inlineStr">
        <is>
          <t>N</t>
        </is>
      </c>
      <c r="W42" s="25" t="inlineStr">
        <is>
          <t>N</t>
        </is>
      </c>
      <c r="X42" s="25" t="inlineStr"/>
      <c r="Y42" s="26" t="inlineStr">
        <is>
          <t>Contents per Playbook Appendix B</t>
        </is>
      </c>
    </row>
    <row r="43">
      <c r="B43" s="24" t="inlineStr">
        <is>
          <t>Z-113</t>
        </is>
      </c>
      <c r="C43" s="24" t="inlineStr">
        <is>
          <t>Information Management</t>
        </is>
      </c>
      <c r="D43" s="24" t="inlineStr"/>
      <c r="E43" s="25" t="inlineStr">
        <is>
          <t>ZZ</t>
        </is>
      </c>
      <c r="F43" s="26" t="inlineStr">
        <is>
          <t>Deliverable A Owner review set and comment close-out report</t>
        </is>
      </c>
      <c r="G43" s="24" t="inlineStr">
        <is>
          <t>Document</t>
        </is>
      </c>
      <c r="H43" s="25" t="inlineStr">
        <is>
          <t>RP</t>
        </is>
      </c>
      <c r="I43" s="24" t="inlineStr">
        <is>
          <t>2.1 Deliverable A</t>
        </is>
      </c>
      <c r="J43" s="25" t="inlineStr">
        <is>
          <t>200</t>
        </is>
      </c>
      <c r="K43" s="24" t="inlineStr">
        <is>
          <t>PDF</t>
        </is>
      </c>
      <c r="L43" s="25" t="inlineStr">
        <is>
          <t>S3</t>
        </is>
      </c>
      <c r="M43" s="25" t="inlineStr">
        <is>
          <t>Shared</t>
        </is>
      </c>
      <c r="N43" s="25" t="n">
        <v>1</v>
      </c>
      <c r="O43" s="25" t="n">
        <v>2</v>
      </c>
      <c r="P43" s="27" t="n"/>
      <c r="Q43" s="27" t="n"/>
      <c r="R43" s="24" t="n"/>
      <c r="S43" s="24" t="inlineStr">
        <is>
          <t>Information Manager</t>
        </is>
      </c>
      <c r="T43" s="24" t="inlineStr">
        <is>
          <t>TIDP-Z</t>
        </is>
      </c>
      <c r="U43" s="25" t="inlineStr">
        <is>
          <t>Y</t>
        </is>
      </c>
      <c r="V43" s="25" t="inlineStr">
        <is>
          <t>N</t>
        </is>
      </c>
      <c r="W43" s="25" t="inlineStr">
        <is>
          <t>N</t>
        </is>
      </c>
      <c r="X43" s="25" t="inlineStr"/>
      <c r="Y43" s="26" t="inlineStr">
        <is>
          <t>Comments closed before the gate</t>
        </is>
      </c>
    </row>
    <row r="44">
      <c r="B44" s="24" t="inlineStr">
        <is>
          <t>Z-114</t>
        </is>
      </c>
      <c r="C44" s="24" t="inlineStr">
        <is>
          <t>Information Management</t>
        </is>
      </c>
      <c r="D44" s="24" t="inlineStr"/>
      <c r="E44" s="25" t="inlineStr">
        <is>
          <t>ZZ</t>
        </is>
      </c>
      <c r="F44" s="26" t="inlineStr">
        <is>
          <t>Baseline model-health report</t>
        </is>
      </c>
      <c r="G44" s="24" t="inlineStr">
        <is>
          <t>Report</t>
        </is>
      </c>
      <c r="H44" s="25" t="inlineStr">
        <is>
          <t>RP</t>
        </is>
      </c>
      <c r="I44" s="24" t="inlineStr">
        <is>
          <t>2.1 Deliverable A</t>
        </is>
      </c>
      <c r="J44" s="25" t="inlineStr">
        <is>
          <t>200</t>
        </is>
      </c>
      <c r="K44" s="24" t="inlineStr">
        <is>
          <t>PDF</t>
        </is>
      </c>
      <c r="L44" s="25" t="inlineStr">
        <is>
          <t>S2</t>
        </is>
      </c>
      <c r="M44" s="25" t="inlineStr">
        <is>
          <t>Shared</t>
        </is>
      </c>
      <c r="N44" s="25" t="n">
        <v>1</v>
      </c>
      <c r="O44" s="25" t="n">
        <v>1</v>
      </c>
      <c r="P44" s="27" t="n"/>
      <c r="Q44" s="27" t="n"/>
      <c r="R44" s="24" t="n"/>
      <c r="S44" s="24" t="inlineStr">
        <is>
          <t>Information Manager</t>
        </is>
      </c>
      <c r="T44" s="24" t="inlineStr">
        <is>
          <t>TIDP-Z</t>
        </is>
      </c>
      <c r="U44" s="25" t="inlineStr">
        <is>
          <t>N</t>
        </is>
      </c>
      <c r="V44" s="25" t="inlineStr">
        <is>
          <t>N</t>
        </is>
      </c>
      <c r="W44" s="25" t="inlineStr">
        <is>
          <t>N</t>
        </is>
      </c>
      <c r="X44" s="25" t="inlineStr"/>
      <c r="Y44" s="26" t="inlineStr"/>
    </row>
    <row r="45">
      <c r="B45" s="24" t="inlineStr">
        <is>
          <t>Z-210</t>
        </is>
      </c>
      <c r="C45" s="24" t="inlineStr">
        <is>
          <t>Information Management</t>
        </is>
      </c>
      <c r="D45" s="24" t="inlineStr"/>
      <c r="E45" s="25" t="inlineStr">
        <is>
          <t>ZZ</t>
        </is>
      </c>
      <c r="F45" s="26" t="inlineStr">
        <is>
          <t>Coordination reports (fortnightly) and Deliverable B clash close-out</t>
        </is>
      </c>
      <c r="G45" s="24" t="inlineStr">
        <is>
          <t>Report</t>
        </is>
      </c>
      <c r="H45" s="25" t="inlineStr">
        <is>
          <t>CR</t>
        </is>
      </c>
      <c r="I45" s="24" t="inlineStr">
        <is>
          <t>2.2 Deliverable B</t>
        </is>
      </c>
      <c r="J45" s="25" t="inlineStr">
        <is>
          <t>300</t>
        </is>
      </c>
      <c r="K45" s="24" t="inlineStr">
        <is>
          <t>PDF/BCF</t>
        </is>
      </c>
      <c r="L45" s="25" t="inlineStr">
        <is>
          <t>S2</t>
        </is>
      </c>
      <c r="M45" s="25" t="inlineStr">
        <is>
          <t>Shared</t>
        </is>
      </c>
      <c r="N45" s="25" t="n">
        <v>2</v>
      </c>
      <c r="O45" s="25" t="n">
        <v>4</v>
      </c>
      <c r="P45" s="27" t="n"/>
      <c r="Q45" s="27" t="n"/>
      <c r="R45" s="24" t="n"/>
      <c r="S45" s="24" t="inlineStr">
        <is>
          <t>Information Manager</t>
        </is>
      </c>
      <c r="T45" s="24" t="inlineStr">
        <is>
          <t>TIDP-Z</t>
        </is>
      </c>
      <c r="U45" s="25" t="inlineStr">
        <is>
          <t>N</t>
        </is>
      </c>
      <c r="V45" s="25" t="inlineStr">
        <is>
          <t>N</t>
        </is>
      </c>
      <c r="W45" s="25" t="inlineStr">
        <is>
          <t>N</t>
        </is>
      </c>
      <c r="X45" s="25" t="inlineStr"/>
      <c r="Y45" s="26" t="inlineStr">
        <is>
          <t>No unresolved high-priority clashes at the gate</t>
        </is>
      </c>
    </row>
    <row r="46">
      <c r="B46" s="24" t="inlineStr">
        <is>
          <t>Z-211</t>
        </is>
      </c>
      <c r="C46" s="24" t="inlineStr">
        <is>
          <t>Information Management</t>
        </is>
      </c>
      <c r="D46" s="24" t="inlineStr"/>
      <c r="E46" s="25" t="inlineStr">
        <is>
          <t>ZZ</t>
        </is>
      </c>
      <c r="F46" s="26" t="inlineStr">
        <is>
          <t>Federated model</t>
        </is>
      </c>
      <c r="G46" s="24" t="inlineStr">
        <is>
          <t>Model</t>
        </is>
      </c>
      <c r="H46" s="25" t="inlineStr">
        <is>
          <t>M3</t>
        </is>
      </c>
      <c r="I46" s="24" t="inlineStr">
        <is>
          <t>2.2 Deliverable B</t>
        </is>
      </c>
      <c r="J46" s="25" t="inlineStr">
        <is>
          <t>300</t>
        </is>
      </c>
      <c r="K46" s="24" t="inlineStr">
        <is>
          <t>NWC/NWD/IFC</t>
        </is>
      </c>
      <c r="L46" s="25" t="inlineStr">
        <is>
          <t>S2</t>
        </is>
      </c>
      <c r="M46" s="25" t="inlineStr">
        <is>
          <t>Shared</t>
        </is>
      </c>
      <c r="N46" s="25" t="n">
        <v>4</v>
      </c>
      <c r="O46" s="25" t="n">
        <v>4</v>
      </c>
      <c r="P46" s="27" t="n"/>
      <c r="Q46" s="27" t="n"/>
      <c r="R46" s="24" t="n"/>
      <c r="S46" s="24" t="inlineStr">
        <is>
          <t>Information Manager</t>
        </is>
      </c>
      <c r="T46" s="24" t="inlineStr">
        <is>
          <t>TIDP-Z</t>
        </is>
      </c>
      <c r="U46" s="25" t="inlineStr">
        <is>
          <t>Y</t>
        </is>
      </c>
      <c r="V46" s="25" t="inlineStr">
        <is>
          <t>Y</t>
        </is>
      </c>
      <c r="W46" s="25" t="inlineStr">
        <is>
          <t>N</t>
        </is>
      </c>
      <c r="X46" s="25" t="inlineStr"/>
      <c r="Y46" s="26" t="inlineStr">
        <is>
          <t>Milestone NWD archived</t>
        </is>
      </c>
    </row>
    <row r="47">
      <c r="B47" s="24" t="inlineStr">
        <is>
          <t>Z-213</t>
        </is>
      </c>
      <c r="C47" s="24" t="inlineStr">
        <is>
          <t>Information Management</t>
        </is>
      </c>
      <c r="D47" s="24" t="inlineStr"/>
      <c r="E47" s="25" t="inlineStr">
        <is>
          <t>ZZ</t>
        </is>
      </c>
      <c r="F47" s="26" t="inlineStr">
        <is>
          <t>Deliverable B gate pack, LOD 300 verification and compliance report</t>
        </is>
      </c>
      <c r="G47" s="24" t="inlineStr">
        <is>
          <t>Document</t>
        </is>
      </c>
      <c r="H47" s="25" t="inlineStr">
        <is>
          <t>RP</t>
        </is>
      </c>
      <c r="I47" s="24" t="inlineStr">
        <is>
          <t>2.2 Deliverable B</t>
        </is>
      </c>
      <c r="J47" s="25" t="inlineStr">
        <is>
          <t>300</t>
        </is>
      </c>
      <c r="K47" s="24" t="inlineStr">
        <is>
          <t>PDF</t>
        </is>
      </c>
      <c r="L47" s="25" t="inlineStr">
        <is>
          <t>S4</t>
        </is>
      </c>
      <c r="M47" s="25" t="inlineStr">
        <is>
          <t>Shared</t>
        </is>
      </c>
      <c r="N47" s="25" t="n">
        <v>4</v>
      </c>
      <c r="O47" s="25" t="n">
        <v>4</v>
      </c>
      <c r="P47" s="27" t="n"/>
      <c r="Q47" s="27" t="n"/>
      <c r="R47" s="24" t="n"/>
      <c r="S47" s="24" t="inlineStr">
        <is>
          <t>Information Manager</t>
        </is>
      </c>
      <c r="T47" s="24" t="inlineStr">
        <is>
          <t>TIDP-Z</t>
        </is>
      </c>
      <c r="U47" s="25" t="inlineStr">
        <is>
          <t>Y</t>
        </is>
      </c>
      <c r="V47" s="25" t="inlineStr">
        <is>
          <t>N</t>
        </is>
      </c>
      <c r="W47" s="25" t="inlineStr">
        <is>
          <t>N</t>
        </is>
      </c>
      <c r="X47" s="25" t="inlineStr"/>
      <c r="Y47" s="26" t="inlineStr"/>
    </row>
    <row r="48">
      <c r="B48" s="24" t="inlineStr">
        <is>
          <t>Z-214</t>
        </is>
      </c>
      <c r="C48" s="24" t="inlineStr">
        <is>
          <t>Information Management</t>
        </is>
      </c>
      <c r="D48" s="24" t="inlineStr"/>
      <c r="E48" s="25" t="inlineStr">
        <is>
          <t>ZZ</t>
        </is>
      </c>
      <c r="F48" s="26" t="inlineStr">
        <is>
          <t>Deliverable B Owner review set and comment close-out report</t>
        </is>
      </c>
      <c r="G48" s="24" t="inlineStr">
        <is>
          <t>Document</t>
        </is>
      </c>
      <c r="H48" s="25" t="inlineStr">
        <is>
          <t>RP</t>
        </is>
      </c>
      <c r="I48" s="24" t="inlineStr">
        <is>
          <t>2.2 Deliverable B</t>
        </is>
      </c>
      <c r="J48" s="25" t="inlineStr">
        <is>
          <t>300</t>
        </is>
      </c>
      <c r="K48" s="24" t="inlineStr">
        <is>
          <t>PDF</t>
        </is>
      </c>
      <c r="L48" s="25" t="inlineStr">
        <is>
          <t>S3</t>
        </is>
      </c>
      <c r="M48" s="25" t="inlineStr">
        <is>
          <t>Shared</t>
        </is>
      </c>
      <c r="N48" s="25" t="n">
        <v>4</v>
      </c>
      <c r="O48" s="25" t="n">
        <v>5</v>
      </c>
      <c r="P48" s="27" t="n"/>
      <c r="Q48" s="27" t="n"/>
      <c r="R48" s="24" t="n"/>
      <c r="S48" s="24" t="inlineStr">
        <is>
          <t>Information Manager</t>
        </is>
      </c>
      <c r="T48" s="24" t="inlineStr">
        <is>
          <t>TIDP-Z</t>
        </is>
      </c>
      <c r="U48" s="25" t="inlineStr">
        <is>
          <t>Y</t>
        </is>
      </c>
      <c r="V48" s="25" t="inlineStr">
        <is>
          <t>N</t>
        </is>
      </c>
      <c r="W48" s="25" t="inlineStr">
        <is>
          <t>N</t>
        </is>
      </c>
      <c r="X48" s="25" t="inlineStr"/>
      <c r="Y48" s="26" t="inlineStr"/>
    </row>
    <row r="49">
      <c r="B49" s="24" t="inlineStr">
        <is>
          <t>Z-312</t>
        </is>
      </c>
      <c r="C49" s="24" t="inlineStr">
        <is>
          <t>Information Management</t>
        </is>
      </c>
      <c r="D49" s="24" t="inlineStr"/>
      <c r="E49" s="25" t="inlineStr">
        <is>
          <t>ZZ</t>
        </is>
      </c>
      <c r="F49" s="26" t="inlineStr">
        <is>
          <t>Specification reconciliation report (model vs SpecLink)</t>
        </is>
      </c>
      <c r="G49" s="24" t="inlineStr">
        <is>
          <t>Report</t>
        </is>
      </c>
      <c r="H49" s="25" t="inlineStr">
        <is>
          <t>RP</t>
        </is>
      </c>
      <c r="I49" s="24" t="inlineStr">
        <is>
          <t>2.3 Deliverable C</t>
        </is>
      </c>
      <c r="J49" s="25" t="inlineStr">
        <is>
          <t>350</t>
        </is>
      </c>
      <c r="K49" s="24" t="inlineStr">
        <is>
          <t>XLSX/PDF</t>
        </is>
      </c>
      <c r="L49" s="25" t="inlineStr">
        <is>
          <t>S4</t>
        </is>
      </c>
      <c r="M49" s="25" t="inlineStr">
        <is>
          <t>Shared</t>
        </is>
      </c>
      <c r="N49" s="25" t="n">
        <v>8</v>
      </c>
      <c r="O49" s="25" t="n">
        <v>8</v>
      </c>
      <c r="P49" s="27" t="n"/>
      <c r="Q49" s="27" t="n"/>
      <c r="R49" s="24" t="n"/>
      <c r="S49" s="24" t="inlineStr">
        <is>
          <t>Information Manager</t>
        </is>
      </c>
      <c r="T49" s="24" t="inlineStr">
        <is>
          <t>TIDP-Z</t>
        </is>
      </c>
      <c r="U49" s="25" t="inlineStr">
        <is>
          <t>N</t>
        </is>
      </c>
      <c r="V49" s="25" t="inlineStr">
        <is>
          <t>N</t>
        </is>
      </c>
      <c r="W49" s="25" t="inlineStr">
        <is>
          <t>N</t>
        </is>
      </c>
      <c r="X49" s="25" t="inlineStr"/>
      <c r="Y49" s="26" t="inlineStr">
        <is>
          <t>Gaps closed or formally accepted</t>
        </is>
      </c>
    </row>
    <row r="50">
      <c r="B50" s="24" t="inlineStr">
        <is>
          <t>Z-313</t>
        </is>
      </c>
      <c r="C50" s="24" t="inlineStr">
        <is>
          <t>Information Management</t>
        </is>
      </c>
      <c r="D50" s="24" t="inlineStr"/>
      <c r="E50" s="25" t="inlineStr">
        <is>
          <t>ZZ</t>
        </is>
      </c>
      <c r="F50" s="26" t="inlineStr">
        <is>
          <t>Deliverable C gate pack, LOD 350 verification and compliance report</t>
        </is>
      </c>
      <c r="G50" s="24" t="inlineStr">
        <is>
          <t>Document</t>
        </is>
      </c>
      <c r="H50" s="25" t="inlineStr">
        <is>
          <t>RP</t>
        </is>
      </c>
      <c r="I50" s="24" t="inlineStr">
        <is>
          <t>2.3 Deliverable C</t>
        </is>
      </c>
      <c r="J50" s="25" t="inlineStr">
        <is>
          <t>350</t>
        </is>
      </c>
      <c r="K50" s="24" t="inlineStr">
        <is>
          <t>PDF</t>
        </is>
      </c>
      <c r="L50" s="25" t="inlineStr">
        <is>
          <t>S4</t>
        </is>
      </c>
      <c r="M50" s="25" t="inlineStr">
        <is>
          <t>Shared</t>
        </is>
      </c>
      <c r="N50" s="25" t="n">
        <v>8</v>
      </c>
      <c r="O50" s="25" t="n">
        <v>8</v>
      </c>
      <c r="P50" s="27" t="n"/>
      <c r="Q50" s="27" t="n"/>
      <c r="R50" s="24" t="n"/>
      <c r="S50" s="24" t="inlineStr">
        <is>
          <t>Information Manager</t>
        </is>
      </c>
      <c r="T50" s="24" t="inlineStr">
        <is>
          <t>TIDP-Z</t>
        </is>
      </c>
      <c r="U50" s="25" t="inlineStr">
        <is>
          <t>Y</t>
        </is>
      </c>
      <c r="V50" s="25" t="inlineStr">
        <is>
          <t>N</t>
        </is>
      </c>
      <c r="W50" s="25" t="inlineStr">
        <is>
          <t>N</t>
        </is>
      </c>
      <c r="X50" s="25" t="inlineStr"/>
      <c r="Y50" s="26" t="inlineStr">
        <is>
          <t>Includes FF&amp;E currency report</t>
        </is>
      </c>
    </row>
    <row r="51">
      <c r="B51" s="24" t="inlineStr">
        <is>
          <t>Z-314</t>
        </is>
      </c>
      <c r="C51" s="24" t="inlineStr">
        <is>
          <t>Information Management</t>
        </is>
      </c>
      <c r="D51" s="24" t="inlineStr"/>
      <c r="E51" s="25" t="inlineStr">
        <is>
          <t>ZZ</t>
        </is>
      </c>
      <c r="F51" s="26" t="inlineStr">
        <is>
          <t>Deliverable C Owner review set and comment close-out report</t>
        </is>
      </c>
      <c r="G51" s="24" t="inlineStr">
        <is>
          <t>Document</t>
        </is>
      </c>
      <c r="H51" s="25" t="inlineStr">
        <is>
          <t>RP</t>
        </is>
      </c>
      <c r="I51" s="24" t="inlineStr">
        <is>
          <t>2.3 Deliverable C</t>
        </is>
      </c>
      <c r="J51" s="25" t="inlineStr">
        <is>
          <t>350</t>
        </is>
      </c>
      <c r="K51" s="24" t="inlineStr">
        <is>
          <t>PDF</t>
        </is>
      </c>
      <c r="L51" s="25" t="inlineStr">
        <is>
          <t>S3</t>
        </is>
      </c>
      <c r="M51" s="25" t="inlineStr">
        <is>
          <t>Shared</t>
        </is>
      </c>
      <c r="N51" s="25" t="n">
        <v>8</v>
      </c>
      <c r="O51" s="25" t="n">
        <v>9</v>
      </c>
      <c r="P51" s="27" t="n"/>
      <c r="Q51" s="27" t="n"/>
      <c r="R51" s="24" t="n"/>
      <c r="S51" s="24" t="inlineStr">
        <is>
          <t>Information Manager</t>
        </is>
      </c>
      <c r="T51" s="24" t="inlineStr">
        <is>
          <t>TIDP-Z</t>
        </is>
      </c>
      <c r="U51" s="25" t="inlineStr">
        <is>
          <t>Y</t>
        </is>
      </c>
      <c r="V51" s="25" t="inlineStr">
        <is>
          <t>N</t>
        </is>
      </c>
      <c r="W51" s="25" t="inlineStr">
        <is>
          <t>N</t>
        </is>
      </c>
      <c r="X51" s="25" t="inlineStr"/>
      <c r="Y51" s="26" t="inlineStr"/>
    </row>
    <row r="52">
      <c r="B52" s="24" t="inlineStr">
        <is>
          <t>Z-400</t>
        </is>
      </c>
      <c r="C52" s="24" t="inlineStr">
        <is>
          <t>Information Management</t>
        </is>
      </c>
      <c r="D52" s="24" t="inlineStr"/>
      <c r="E52" s="25" t="inlineStr">
        <is>
          <t>ZZ</t>
        </is>
      </c>
      <c r="F52" s="26" t="inlineStr">
        <is>
          <t>Tender documents</t>
        </is>
      </c>
      <c r="G52" s="24" t="inlineStr">
        <is>
          <t>Document</t>
        </is>
      </c>
      <c r="H52" s="25" t="inlineStr">
        <is>
          <t>RP</t>
        </is>
      </c>
      <c r="I52" s="24" t="inlineStr">
        <is>
          <t>2.4 Tender</t>
        </is>
      </c>
      <c r="J52" s="25" t="inlineStr">
        <is>
          <t>n/a</t>
        </is>
      </c>
      <c r="K52" s="24" t="inlineStr">
        <is>
          <t>PDF</t>
        </is>
      </c>
      <c r="L52" s="25" t="inlineStr">
        <is>
          <t>A1</t>
        </is>
      </c>
      <c r="M52" s="25" t="inlineStr">
        <is>
          <t>Published</t>
        </is>
      </c>
      <c r="N52" s="25" t="n">
        <v>9</v>
      </c>
      <c r="O52" s="25" t="n">
        <v>9</v>
      </c>
      <c r="P52" s="27" t="n"/>
      <c r="Q52" s="27" t="n"/>
      <c r="R52" s="24" t="n"/>
      <c r="S52" s="24" t="inlineStr">
        <is>
          <t>Lead Appointed Party</t>
        </is>
      </c>
      <c r="T52" s="24" t="inlineStr">
        <is>
          <t>TIDP-Z</t>
        </is>
      </c>
      <c r="U52" s="25" t="inlineStr">
        <is>
          <t>N</t>
        </is>
      </c>
      <c r="V52" s="25" t="inlineStr">
        <is>
          <t>N</t>
        </is>
      </c>
      <c r="W52" s="25" t="inlineStr">
        <is>
          <t>N</t>
        </is>
      </c>
      <c r="X52" s="25" t="inlineStr"/>
      <c r="Y52" s="26" t="inlineStr">
        <is>
          <t>Issued from the CDE at A1</t>
        </is>
      </c>
    </row>
    <row r="53">
      <c r="B53" s="24" t="inlineStr">
        <is>
          <t>Z-401</t>
        </is>
      </c>
      <c r="C53" s="24" t="inlineStr">
        <is>
          <t>Information Management</t>
        </is>
      </c>
      <c r="D53" s="24" t="inlineStr"/>
      <c r="E53" s="25" t="inlineStr">
        <is>
          <t>ZZ</t>
        </is>
      </c>
      <c r="F53" s="26" t="inlineStr">
        <is>
          <t>Tender query and addendum log</t>
        </is>
      </c>
      <c r="G53" s="24" t="inlineStr">
        <is>
          <t>Report</t>
        </is>
      </c>
      <c r="H53" s="25" t="inlineStr">
        <is>
          <t>RP</t>
        </is>
      </c>
      <c r="I53" s="24" t="inlineStr">
        <is>
          <t>2.4 Tender</t>
        </is>
      </c>
      <c r="J53" s="25" t="inlineStr">
        <is>
          <t>n/a</t>
        </is>
      </c>
      <c r="K53" s="24" t="inlineStr">
        <is>
          <t>XLSX</t>
        </is>
      </c>
      <c r="L53" s="25" t="inlineStr">
        <is>
          <t>S2</t>
        </is>
      </c>
      <c r="M53" s="25" t="inlineStr">
        <is>
          <t>Shared</t>
        </is>
      </c>
      <c r="N53" s="25" t="n">
        <v>9</v>
      </c>
      <c r="O53" s="25" t="n">
        <v>11</v>
      </c>
      <c r="P53" s="27" t="n"/>
      <c r="Q53" s="27" t="n"/>
      <c r="R53" s="24" t="n"/>
      <c r="S53" s="24" t="inlineStr">
        <is>
          <t>Lead Appointed Party</t>
        </is>
      </c>
      <c r="T53" s="24" t="inlineStr">
        <is>
          <t>TIDP-Z</t>
        </is>
      </c>
      <c r="U53" s="25" t="inlineStr">
        <is>
          <t>N</t>
        </is>
      </c>
      <c r="V53" s="25" t="inlineStr">
        <is>
          <t>N</t>
        </is>
      </c>
      <c r="W53" s="25" t="inlineStr">
        <is>
          <t>N</t>
        </is>
      </c>
      <c r="X53" s="25" t="inlineStr"/>
      <c r="Y53" s="26" t="inlineStr">
        <is>
          <t>Queries answered as formal RFIs</t>
        </is>
      </c>
    </row>
    <row r="54">
      <c r="B54" s="24" t="inlineStr">
        <is>
          <t>Z-410</t>
        </is>
      </c>
      <c r="C54" s="24" t="inlineStr">
        <is>
          <t>Information Management</t>
        </is>
      </c>
      <c r="D54" s="24" t="inlineStr"/>
      <c r="E54" s="25" t="inlineStr">
        <is>
          <t>ZZ</t>
        </is>
      </c>
      <c r="F54" s="26" t="inlineStr">
        <is>
          <t>Conformed set</t>
        </is>
      </c>
      <c r="G54" s="24" t="inlineStr">
        <is>
          <t>Drawing</t>
        </is>
      </c>
      <c r="H54" s="25" t="inlineStr">
        <is>
          <t>DR</t>
        </is>
      </c>
      <c r="I54" s="24" t="inlineStr">
        <is>
          <t>2.5 Conformed set</t>
        </is>
      </c>
      <c r="J54" s="25" t="inlineStr">
        <is>
          <t>350</t>
        </is>
      </c>
      <c r="K54" s="24" t="inlineStr">
        <is>
          <t>PDF/DWG</t>
        </is>
      </c>
      <c r="L54" s="25" t="inlineStr">
        <is>
          <t>A1</t>
        </is>
      </c>
      <c r="M54" s="25" t="inlineStr">
        <is>
          <t>Published</t>
        </is>
      </c>
      <c r="N54" s="25" t="n">
        <v>11</v>
      </c>
      <c r="O54" s="25" t="n">
        <v>11</v>
      </c>
      <c r="P54" s="27" t="n"/>
      <c r="Q54" s="27" t="n"/>
      <c r="R54" s="24" t="n"/>
      <c r="S54" s="24" t="inlineStr">
        <is>
          <t>Lead Appointed Party</t>
        </is>
      </c>
      <c r="T54" s="24" t="inlineStr">
        <is>
          <t>TIDP-Z</t>
        </is>
      </c>
      <c r="U54" s="25" t="inlineStr">
        <is>
          <t>Y</t>
        </is>
      </c>
      <c r="V54" s="25" t="inlineStr">
        <is>
          <t>Y</t>
        </is>
      </c>
      <c r="W54" s="25" t="inlineStr">
        <is>
          <t>N</t>
        </is>
      </c>
      <c r="X54" s="25" t="inlineStr"/>
      <c r="Y54" s="26" t="inlineStr">
        <is>
          <t>Addenda incorporated; superseded revisions archived</t>
        </is>
      </c>
    </row>
    <row r="55">
      <c r="B55" s="24" t="inlineStr">
        <is>
          <t>Z-411</t>
        </is>
      </c>
      <c r="C55" s="24" t="inlineStr">
        <is>
          <t>Information Management</t>
        </is>
      </c>
      <c r="D55" s="24" t="inlineStr"/>
      <c r="E55" s="25" t="inlineStr">
        <is>
          <t>ZZ</t>
        </is>
      </c>
      <c r="F55" s="26" t="inlineStr">
        <is>
          <t>Conformed-set conformance audit and compliance report</t>
        </is>
      </c>
      <c r="G55" s="24" t="inlineStr">
        <is>
          <t>Report</t>
        </is>
      </c>
      <c r="H55" s="25" t="inlineStr">
        <is>
          <t>RP</t>
        </is>
      </c>
      <c r="I55" s="24" t="inlineStr">
        <is>
          <t>2.5 Conformed set</t>
        </is>
      </c>
      <c r="J55" s="25" t="inlineStr">
        <is>
          <t>350</t>
        </is>
      </c>
      <c r="K55" s="24" t="inlineStr">
        <is>
          <t>PDF</t>
        </is>
      </c>
      <c r="L55" s="25" t="inlineStr">
        <is>
          <t>S4</t>
        </is>
      </c>
      <c r="M55" s="25" t="inlineStr">
        <is>
          <t>Shared</t>
        </is>
      </c>
      <c r="N55" s="25" t="n">
        <v>11</v>
      </c>
      <c r="O55" s="25" t="n">
        <v>11</v>
      </c>
      <c r="P55" s="27" t="n"/>
      <c r="Q55" s="27" t="n"/>
      <c r="R55" s="24" t="n"/>
      <c r="S55" s="24" t="inlineStr">
        <is>
          <t>Information Manager</t>
        </is>
      </c>
      <c r="T55" s="24" t="inlineStr">
        <is>
          <t>TIDP-Z</t>
        </is>
      </c>
      <c r="U55" s="25" t="inlineStr">
        <is>
          <t>Y</t>
        </is>
      </c>
      <c r="V55" s="25" t="inlineStr">
        <is>
          <t>N</t>
        </is>
      </c>
      <c r="W55" s="25" t="inlineStr">
        <is>
          <t>N</t>
        </is>
      </c>
      <c r="X55" s="25" t="inlineStr"/>
      <c r="Y55" s="26" t="inlineStr">
        <is>
          <t>Milestone NWD archive</t>
        </is>
      </c>
    </row>
    <row r="56">
      <c r="B56" s="24" t="inlineStr">
        <is>
          <t>Z-510</t>
        </is>
      </c>
      <c r="C56" s="24" t="inlineStr">
        <is>
          <t>Information Management</t>
        </is>
      </c>
      <c r="D56" s="24" t="inlineStr"/>
      <c r="E56" s="25" t="inlineStr">
        <is>
          <t>ZZ</t>
        </is>
      </c>
      <c r="F56" s="26" t="inlineStr">
        <is>
          <t>Request for information and submittal register</t>
        </is>
      </c>
      <c r="G56" s="24" t="inlineStr">
        <is>
          <t>Report</t>
        </is>
      </c>
      <c r="H56" s="25" t="inlineStr">
        <is>
          <t>RP</t>
        </is>
      </c>
      <c r="I56" s="24" t="inlineStr">
        <is>
          <t>3.1 Construction</t>
        </is>
      </c>
      <c r="J56" s="25" t="inlineStr">
        <is>
          <t>400</t>
        </is>
      </c>
      <c r="K56" s="24" t="inlineStr">
        <is>
          <t>XLSX</t>
        </is>
      </c>
      <c r="L56" s="25" t="inlineStr">
        <is>
          <t>S2</t>
        </is>
      </c>
      <c r="M56" s="25" t="inlineStr">
        <is>
          <t>Shared</t>
        </is>
      </c>
      <c r="N56" s="25" t="n">
        <v>12</v>
      </c>
      <c r="O56" s="25" t="n">
        <v>43</v>
      </c>
      <c r="P56" s="27" t="n"/>
      <c r="Q56" s="27" t="n"/>
      <c r="R56" s="24" t="n"/>
      <c r="S56" s="24" t="inlineStr">
        <is>
          <t>Information Manager</t>
        </is>
      </c>
      <c r="T56" s="24" t="inlineStr">
        <is>
          <t>TIDP-Z</t>
        </is>
      </c>
      <c r="U56" s="25" t="inlineStr">
        <is>
          <t>N</t>
        </is>
      </c>
      <c r="V56" s="25" t="inlineStr">
        <is>
          <t>N</t>
        </is>
      </c>
      <c r="W56" s="25" t="inlineStr">
        <is>
          <t>N</t>
        </is>
      </c>
      <c r="X56" s="25" t="inlineStr"/>
      <c r="Y56" s="26" t="inlineStr">
        <is>
          <t>Maintained continuously</t>
        </is>
      </c>
    </row>
    <row r="57">
      <c r="B57" s="24" t="inlineStr">
        <is>
          <t>Z-511</t>
        </is>
      </c>
      <c r="C57" s="24" t="inlineStr">
        <is>
          <t>Information Management</t>
        </is>
      </c>
      <c r="D57" s="24" t="inlineStr"/>
      <c r="E57" s="25" t="inlineStr">
        <is>
          <t>ZZ</t>
        </is>
      </c>
      <c r="F57" s="26" t="inlineStr">
        <is>
          <t>Monthly BIM status report (construction)</t>
        </is>
      </c>
      <c r="G57" s="24" t="inlineStr">
        <is>
          <t>Report</t>
        </is>
      </c>
      <c r="H57" s="25" t="inlineStr">
        <is>
          <t>RP</t>
        </is>
      </c>
      <c r="I57" s="24" t="inlineStr">
        <is>
          <t>3.1 Construction</t>
        </is>
      </c>
      <c r="J57" s="25" t="inlineStr">
        <is>
          <t>400</t>
        </is>
      </c>
      <c r="K57" s="24" t="inlineStr">
        <is>
          <t>PDF</t>
        </is>
      </c>
      <c r="L57" s="25" t="inlineStr">
        <is>
          <t>S2</t>
        </is>
      </c>
      <c r="M57" s="25" t="inlineStr">
        <is>
          <t>Shared</t>
        </is>
      </c>
      <c r="N57" s="25" t="n">
        <v>12</v>
      </c>
      <c r="O57" s="25" t="n">
        <v>49</v>
      </c>
      <c r="P57" s="27" t="n"/>
      <c r="Q57" s="27" t="n"/>
      <c r="R57" s="24" t="n"/>
      <c r="S57" s="24" t="inlineStr">
        <is>
          <t>Information Manager</t>
        </is>
      </c>
      <c r="T57" s="24" t="inlineStr">
        <is>
          <t>TIDP-Z</t>
        </is>
      </c>
      <c r="U57" s="25" t="inlineStr">
        <is>
          <t>N</t>
        </is>
      </c>
      <c r="V57" s="25" t="inlineStr">
        <is>
          <t>N</t>
        </is>
      </c>
      <c r="W57" s="25" t="inlineStr">
        <is>
          <t>N</t>
        </is>
      </c>
      <c r="X57" s="25" t="inlineStr"/>
      <c r="Y57" s="26" t="inlineStr"/>
    </row>
    <row r="58">
      <c r="B58" s="24" t="inlineStr">
        <is>
          <t>Z-514</t>
        </is>
      </c>
      <c r="C58" s="24" t="inlineStr">
        <is>
          <t>Information Management</t>
        </is>
      </c>
      <c r="D58" s="24" t="inlineStr"/>
      <c r="E58" s="25" t="inlineStr">
        <is>
          <t>ZZ</t>
        </is>
      </c>
      <c r="F58" s="26" t="inlineStr">
        <is>
          <t>Asset data completeness report (monthly, by tier and volume)</t>
        </is>
      </c>
      <c r="G58" s="24" t="inlineStr">
        <is>
          <t>Report</t>
        </is>
      </c>
      <c r="H58" s="25" t="inlineStr">
        <is>
          <t>RP</t>
        </is>
      </c>
      <c r="I58" s="24" t="inlineStr">
        <is>
          <t>3.1 Construction</t>
        </is>
      </c>
      <c r="J58" s="25" t="inlineStr">
        <is>
          <t>400</t>
        </is>
      </c>
      <c r="K58" s="24" t="inlineStr">
        <is>
          <t>XLSX/PDF</t>
        </is>
      </c>
      <c r="L58" s="25" t="inlineStr">
        <is>
          <t>S2</t>
        </is>
      </c>
      <c r="M58" s="25" t="inlineStr">
        <is>
          <t>Shared</t>
        </is>
      </c>
      <c r="N58" s="25" t="n">
        <v>12</v>
      </c>
      <c r="O58" s="25" t="n">
        <v>47</v>
      </c>
      <c r="P58" s="27" t="n"/>
      <c r="Q58" s="27" t="n"/>
      <c r="R58" s="24" t="n"/>
      <c r="S58" s="24" t="inlineStr">
        <is>
          <t>Information Manager</t>
        </is>
      </c>
      <c r="T58" s="24" t="inlineStr">
        <is>
          <t>TIDP-Z</t>
        </is>
      </c>
      <c r="U58" s="25" t="inlineStr">
        <is>
          <t>N</t>
        </is>
      </c>
      <c r="V58" s="25" t="inlineStr">
        <is>
          <t>N</t>
        </is>
      </c>
      <c r="W58" s="25" t="inlineStr">
        <is>
          <t>N</t>
        </is>
      </c>
      <c r="X58" s="25" t="inlineStr"/>
      <c r="Y58" s="26" t="inlineStr">
        <is>
          <t>A tier below 95% at Gate D is a gate failure</t>
        </is>
      </c>
    </row>
    <row r="59">
      <c r="B59" s="24" t="inlineStr">
        <is>
          <t>Z-515</t>
        </is>
      </c>
      <c r="C59" s="24" t="inlineStr">
        <is>
          <t>Information Management</t>
        </is>
      </c>
      <c r="D59" s="24" t="inlineStr"/>
      <c r="E59" s="25" t="inlineStr">
        <is>
          <t>ZZ</t>
        </is>
      </c>
      <c r="F59" s="26" t="inlineStr">
        <is>
          <t>Quarterly model-health audit</t>
        </is>
      </c>
      <c r="G59" s="24" t="inlineStr">
        <is>
          <t>Report</t>
        </is>
      </c>
      <c r="H59" s="25" t="inlineStr">
        <is>
          <t>RP</t>
        </is>
      </c>
      <c r="I59" s="24" t="inlineStr">
        <is>
          <t>3.1 Construction</t>
        </is>
      </c>
      <c r="J59" s="25" t="inlineStr">
        <is>
          <t>400</t>
        </is>
      </c>
      <c r="K59" s="24" t="inlineStr">
        <is>
          <t>PDF</t>
        </is>
      </c>
      <c r="L59" s="25" t="inlineStr">
        <is>
          <t>S2</t>
        </is>
      </c>
      <c r="M59" s="25" t="inlineStr">
        <is>
          <t>Shared</t>
        </is>
      </c>
      <c r="N59" s="25" t="n">
        <v>12</v>
      </c>
      <c r="O59" s="25" t="n">
        <v>43</v>
      </c>
      <c r="P59" s="27" t="n"/>
      <c r="Q59" s="27" t="n"/>
      <c r="R59" s="24" t="n"/>
      <c r="S59" s="24" t="inlineStr">
        <is>
          <t>Information Manager</t>
        </is>
      </c>
      <c r="T59" s="24" t="inlineStr">
        <is>
          <t>TIDP-Z</t>
        </is>
      </c>
      <c r="U59" s="25" t="inlineStr">
        <is>
          <t>N</t>
        </is>
      </c>
      <c r="V59" s="25" t="inlineStr">
        <is>
          <t>N</t>
        </is>
      </c>
      <c r="W59" s="25" t="inlineStr">
        <is>
          <t>N</t>
        </is>
      </c>
      <c r="X59" s="25" t="inlineStr"/>
      <c r="Y59" s="26" t="inlineStr"/>
    </row>
    <row r="60">
      <c r="B60" s="24" t="inlineStr">
        <is>
          <t>Z-516</t>
        </is>
      </c>
      <c r="C60" s="24" t="inlineStr">
        <is>
          <t>Information Management</t>
        </is>
      </c>
      <c r="D60" s="24" t="inlineStr"/>
      <c r="E60" s="25" t="inlineStr">
        <is>
          <t>ZZ</t>
        </is>
      </c>
      <c r="F60" s="26" t="inlineStr">
        <is>
          <t>Revision register</t>
        </is>
      </c>
      <c r="G60" s="24" t="inlineStr">
        <is>
          <t>Schedule</t>
        </is>
      </c>
      <c r="H60" s="25" t="inlineStr">
        <is>
          <t>SH</t>
        </is>
      </c>
      <c r="I60" s="24" t="inlineStr">
        <is>
          <t>3.1 Construction</t>
        </is>
      </c>
      <c r="J60" s="25" t="inlineStr">
        <is>
          <t>400</t>
        </is>
      </c>
      <c r="K60" s="24" t="inlineStr">
        <is>
          <t>XLSX</t>
        </is>
      </c>
      <c r="L60" s="25" t="inlineStr">
        <is>
          <t>S2</t>
        </is>
      </c>
      <c r="M60" s="25" t="inlineStr">
        <is>
          <t>Shared</t>
        </is>
      </c>
      <c r="N60" s="25" t="n">
        <v>12</v>
      </c>
      <c r="O60" s="25" t="n">
        <v>43</v>
      </c>
      <c r="P60" s="27" t="n"/>
      <c r="Q60" s="27" t="n"/>
      <c r="R60" s="24" t="n"/>
      <c r="S60" s="24" t="inlineStr">
        <is>
          <t>Information Manager</t>
        </is>
      </c>
      <c r="T60" s="24" t="inlineStr">
        <is>
          <t>TIDP-Z</t>
        </is>
      </c>
      <c r="U60" s="25" t="inlineStr">
        <is>
          <t>N</t>
        </is>
      </c>
      <c r="V60" s="25" t="inlineStr">
        <is>
          <t>N</t>
        </is>
      </c>
      <c r="W60" s="25" t="inlineStr">
        <is>
          <t>N</t>
        </is>
      </c>
      <c r="X60" s="25" t="inlineStr"/>
      <c r="Y60" s="26" t="inlineStr">
        <is>
          <t>Clouds and revision schedules</t>
        </is>
      </c>
    </row>
    <row r="61">
      <c r="B61" s="24" t="inlineStr">
        <is>
          <t>Z-517</t>
        </is>
      </c>
      <c r="C61" s="24" t="inlineStr">
        <is>
          <t>Information Management</t>
        </is>
      </c>
      <c r="D61" s="24" t="inlineStr"/>
      <c r="E61" s="25" t="inlineStr">
        <is>
          <t>ZZ</t>
        </is>
      </c>
      <c r="F61" s="26" t="inlineStr">
        <is>
          <t>Contractor and specialist induction record</t>
        </is>
      </c>
      <c r="G61" s="24" t="inlineStr">
        <is>
          <t>Document</t>
        </is>
      </c>
      <c r="H61" s="25" t="inlineStr">
        <is>
          <t>RP</t>
        </is>
      </c>
      <c r="I61" s="24" t="inlineStr">
        <is>
          <t>3.1 Construction</t>
        </is>
      </c>
      <c r="J61" s="25" t="inlineStr">
        <is>
          <t>n/a</t>
        </is>
      </c>
      <c r="K61" s="24" t="inlineStr">
        <is>
          <t>PDF</t>
        </is>
      </c>
      <c r="L61" s="25" t="inlineStr">
        <is>
          <t>S2</t>
        </is>
      </c>
      <c r="M61" s="25" t="inlineStr">
        <is>
          <t>Shared</t>
        </is>
      </c>
      <c r="N61" s="25" t="n">
        <v>12</v>
      </c>
      <c r="O61" s="25" t="n">
        <v>12</v>
      </c>
      <c r="P61" s="27" t="n"/>
      <c r="Q61" s="27" t="n"/>
      <c r="R61" s="24" t="n"/>
      <c r="S61" s="24" t="inlineStr">
        <is>
          <t>Information Manager</t>
        </is>
      </c>
      <c r="T61" s="24" t="inlineStr">
        <is>
          <t>TIDP-Z</t>
        </is>
      </c>
      <c r="U61" s="25" t="inlineStr">
        <is>
          <t>N</t>
        </is>
      </c>
      <c r="V61" s="25" t="inlineStr">
        <is>
          <t>N</t>
        </is>
      </c>
      <c r="W61" s="25" t="inlineStr">
        <is>
          <t>N</t>
        </is>
      </c>
      <c r="X61" s="25" t="inlineStr"/>
      <c r="Y61" s="26" t="inlineStr">
        <is>
          <t>Including the design-build fire and controls contractors</t>
        </is>
      </c>
    </row>
    <row r="62">
      <c r="B62" s="24" t="inlineStr">
        <is>
          <t>Z-518</t>
        </is>
      </c>
      <c r="C62" s="24" t="inlineStr">
        <is>
          <t>Information Management</t>
        </is>
      </c>
      <c r="D62" s="24" t="inlineStr"/>
      <c r="E62" s="25" t="inlineStr">
        <is>
          <t>ZZ</t>
        </is>
      </c>
      <c r="F62" s="26" t="inlineStr">
        <is>
          <t>Construction-stage coordination reports (monthly)</t>
        </is>
      </c>
      <c r="G62" s="24" t="inlineStr">
        <is>
          <t>Report</t>
        </is>
      </c>
      <c r="H62" s="25" t="inlineStr">
        <is>
          <t>CR</t>
        </is>
      </c>
      <c r="I62" s="24" t="inlineStr">
        <is>
          <t>3.1 Construction</t>
        </is>
      </c>
      <c r="J62" s="25" t="inlineStr">
        <is>
          <t>400</t>
        </is>
      </c>
      <c r="K62" s="24" t="inlineStr">
        <is>
          <t>PDF/BCF</t>
        </is>
      </c>
      <c r="L62" s="25" t="inlineStr">
        <is>
          <t>S2</t>
        </is>
      </c>
      <c r="M62" s="25" t="inlineStr">
        <is>
          <t>Shared</t>
        </is>
      </c>
      <c r="N62" s="25" t="n">
        <v>12</v>
      </c>
      <c r="O62" s="25" t="n">
        <v>43</v>
      </c>
      <c r="P62" s="27" t="n"/>
      <c r="Q62" s="27" t="n"/>
      <c r="R62" s="24" t="n"/>
      <c r="S62" s="24" t="inlineStr">
        <is>
          <t>Information Manager</t>
        </is>
      </c>
      <c r="T62" s="24" t="inlineStr">
        <is>
          <t>TIDP-Z</t>
        </is>
      </c>
      <c r="U62" s="25" t="inlineStr">
        <is>
          <t>N</t>
        </is>
      </c>
      <c r="V62" s="25" t="inlineStr">
        <is>
          <t>N</t>
        </is>
      </c>
      <c r="W62" s="25" t="inlineStr">
        <is>
          <t>N</t>
        </is>
      </c>
      <c r="X62" s="25" t="inlineStr"/>
      <c r="Y62" s="26" t="inlineStr"/>
    </row>
    <row r="63">
      <c r="B63" s="24" t="inlineStr">
        <is>
          <t>Z-700</t>
        </is>
      </c>
      <c r="C63" s="24" t="inlineStr">
        <is>
          <t>Information Management</t>
        </is>
      </c>
      <c r="D63" s="24" t="inlineStr"/>
      <c r="E63" s="25" t="inlineStr">
        <is>
          <t>ZZ</t>
        </is>
      </c>
      <c r="F63" s="26" t="inlineStr">
        <is>
          <t>COBie 2.4 handover dataset — CONDITIONAL on Owner instruction</t>
        </is>
      </c>
      <c r="G63" s="24" t="inlineStr">
        <is>
          <t>Schedule</t>
        </is>
      </c>
      <c r="H63" s="25" t="inlineStr">
        <is>
          <t>SH</t>
        </is>
      </c>
      <c r="I63" s="24" t="inlineStr">
        <is>
          <t>3.3 Deliverable D</t>
        </is>
      </c>
      <c r="J63" s="25" t="inlineStr">
        <is>
          <t>500</t>
        </is>
      </c>
      <c r="K63" s="24" t="inlineStr">
        <is>
          <t>XLSX</t>
        </is>
      </c>
      <c r="L63" s="25" t="inlineStr">
        <is>
          <t>A1</t>
        </is>
      </c>
      <c r="M63" s="25" t="inlineStr">
        <is>
          <t>Published</t>
        </is>
      </c>
      <c r="N63" s="25" t="n">
        <v>48</v>
      </c>
      <c r="O63" s="25" t="n">
        <v>49</v>
      </c>
      <c r="P63" s="27" t="n"/>
      <c r="Q63" s="27" t="n"/>
      <c r="R63" s="24" t="n"/>
      <c r="S63" s="24" t="inlineStr">
        <is>
          <t>Information Manager</t>
        </is>
      </c>
      <c r="T63" s="24" t="inlineStr">
        <is>
          <t>TIDP-Z</t>
        </is>
      </c>
      <c r="U63" s="25" t="inlineStr">
        <is>
          <t>N</t>
        </is>
      </c>
      <c r="V63" s="25" t="inlineStr">
        <is>
          <t>N</t>
        </is>
      </c>
      <c r="W63" s="25" t="inlineStr">
        <is>
          <t>Y</t>
        </is>
      </c>
      <c r="X63" s="25" t="inlineStr"/>
      <c r="Y63" s="26" t="inlineStr">
        <is>
          <t>Produced only if instructed as an additional service</t>
        </is>
      </c>
    </row>
    <row r="64">
      <c r="B64" s="24" t="inlineStr">
        <is>
          <t>Z-701</t>
        </is>
      </c>
      <c r="C64" s="24" t="inlineStr">
        <is>
          <t>Information Management</t>
        </is>
      </c>
      <c r="D64" s="24" t="inlineStr"/>
      <c r="E64" s="25" t="inlineStr">
        <is>
          <t>ZZ</t>
        </is>
      </c>
      <c r="F64" s="26" t="inlineStr">
        <is>
          <t>Operation and maintenance / asset data pack (Fohlio)</t>
        </is>
      </c>
      <c r="G64" s="24" t="inlineStr">
        <is>
          <t>Document</t>
        </is>
      </c>
      <c r="H64" s="25" t="inlineStr">
        <is>
          <t>RP</t>
        </is>
      </c>
      <c r="I64" s="24" t="inlineStr">
        <is>
          <t>3.3 Deliverable D</t>
        </is>
      </c>
      <c r="J64" s="25" t="inlineStr">
        <is>
          <t>500</t>
        </is>
      </c>
      <c r="K64" s="24" t="inlineStr">
        <is>
          <t>PDF</t>
        </is>
      </c>
      <c r="L64" s="25" t="inlineStr">
        <is>
          <t>A1</t>
        </is>
      </c>
      <c r="M64" s="25" t="inlineStr">
        <is>
          <t>Published</t>
        </is>
      </c>
      <c r="N64" s="25" t="n">
        <v>48</v>
      </c>
      <c r="O64" s="25" t="n">
        <v>49</v>
      </c>
      <c r="P64" s="27" t="n"/>
      <c r="Q64" s="27" t="n"/>
      <c r="R64" s="24" t="n"/>
      <c r="S64" s="24" t="inlineStr">
        <is>
          <t>Information Manager</t>
        </is>
      </c>
      <c r="T64" s="24" t="inlineStr">
        <is>
          <t>TIDP-Z</t>
        </is>
      </c>
      <c r="U64" s="25" t="inlineStr">
        <is>
          <t>Y</t>
        </is>
      </c>
      <c r="V64" s="25" t="inlineStr">
        <is>
          <t>N</t>
        </is>
      </c>
      <c r="W64" s="25" t="inlineStr">
        <is>
          <t>Y</t>
        </is>
      </c>
      <c r="X64" s="25" t="inlineStr"/>
      <c r="Y64" s="26" t="inlineStr">
        <is>
          <t>O&amp;M manuals published through Fohlio by the Interior Designer (A1)</t>
        </is>
      </c>
    </row>
    <row r="65">
      <c r="B65" s="24" t="inlineStr">
        <is>
          <t>Z-702</t>
        </is>
      </c>
      <c r="C65" s="24" t="inlineStr">
        <is>
          <t>Information Management</t>
        </is>
      </c>
      <c r="D65" s="24" t="inlineStr"/>
      <c r="E65" s="25" t="inlineStr">
        <is>
          <t>ZZ</t>
        </is>
      </c>
      <c r="F65" s="26" t="inlineStr">
        <is>
          <t>Reconciled building management system point register (digital-twin baseline)</t>
        </is>
      </c>
      <c r="G65" s="24" t="inlineStr">
        <is>
          <t>Schedule</t>
        </is>
      </c>
      <c r="H65" s="25" t="inlineStr">
        <is>
          <t>SH</t>
        </is>
      </c>
      <c r="I65" s="24" t="inlineStr">
        <is>
          <t>3.3 Deliverable D</t>
        </is>
      </c>
      <c r="J65" s="25" t="inlineStr">
        <is>
          <t>500</t>
        </is>
      </c>
      <c r="K65" s="24" t="inlineStr">
        <is>
          <t>CSV/PDF</t>
        </is>
      </c>
      <c r="L65" s="25" t="inlineStr">
        <is>
          <t>A1</t>
        </is>
      </c>
      <c r="M65" s="25" t="inlineStr">
        <is>
          <t>Published</t>
        </is>
      </c>
      <c r="N65" s="25" t="n">
        <v>49</v>
      </c>
      <c r="O65" s="25" t="n">
        <v>49</v>
      </c>
      <c r="P65" s="27" t="n"/>
      <c r="Q65" s="27" t="n"/>
      <c r="R65" s="24" t="n"/>
      <c r="S65" s="24" t="inlineStr">
        <is>
          <t>Information Manager</t>
        </is>
      </c>
      <c r="T65" s="24" t="inlineStr">
        <is>
          <t>TIDP-Z</t>
        </is>
      </c>
      <c r="U65" s="25" t="inlineStr">
        <is>
          <t>Y</t>
        </is>
      </c>
      <c r="V65" s="25" t="inlineStr">
        <is>
          <t>N</t>
        </is>
      </c>
      <c r="W65" s="25" t="inlineStr">
        <is>
          <t>Y</t>
        </is>
      </c>
      <c r="X65" s="25" t="inlineStr"/>
      <c r="Y65" s="26" t="inlineStr">
        <is>
          <t>Model reconciled to the live Niagara station</t>
        </is>
      </c>
    </row>
    <row r="66">
      <c r="B66" s="24" t="inlineStr">
        <is>
          <t>Z-703</t>
        </is>
      </c>
      <c r="C66" s="24" t="inlineStr">
        <is>
          <t>Information Management</t>
        </is>
      </c>
      <c r="D66" s="24" t="inlineStr"/>
      <c r="E66" s="25" t="inlineStr">
        <is>
          <t>ZZ</t>
        </is>
      </c>
      <c r="F66" s="26" t="inlineStr">
        <is>
          <t>Deliverable D gate pack: LOD 500 verification and asset data completeness</t>
        </is>
      </c>
      <c r="G66" s="24" t="inlineStr">
        <is>
          <t>Document</t>
        </is>
      </c>
      <c r="H66" s="25" t="inlineStr">
        <is>
          <t>RP</t>
        </is>
      </c>
      <c r="I66" s="24" t="inlineStr">
        <is>
          <t>3.3 Deliverable D</t>
        </is>
      </c>
      <c r="J66" s="25" t="inlineStr">
        <is>
          <t>500</t>
        </is>
      </c>
      <c r="K66" s="24" t="inlineStr">
        <is>
          <t>PDF</t>
        </is>
      </c>
      <c r="L66" s="25" t="inlineStr">
        <is>
          <t>A1</t>
        </is>
      </c>
      <c r="M66" s="25" t="inlineStr">
        <is>
          <t>Published</t>
        </is>
      </c>
      <c r="N66" s="25" t="n">
        <v>49</v>
      </c>
      <c r="O66" s="25" t="n">
        <v>49</v>
      </c>
      <c r="P66" s="27" t="n"/>
      <c r="Q66" s="27" t="n"/>
      <c r="R66" s="24" t="n"/>
      <c r="S66" s="24" t="inlineStr">
        <is>
          <t>Information Manager</t>
        </is>
      </c>
      <c r="T66" s="24" t="inlineStr">
        <is>
          <t>TIDP-Z</t>
        </is>
      </c>
      <c r="U66" s="25" t="inlineStr">
        <is>
          <t>Y</t>
        </is>
      </c>
      <c r="V66" s="25" t="inlineStr">
        <is>
          <t>N</t>
        </is>
      </c>
      <c r="W66" s="25" t="inlineStr">
        <is>
          <t>N</t>
        </is>
      </c>
      <c r="X66" s="25" t="inlineStr"/>
      <c r="Y66" s="26" t="inlineStr">
        <is>
          <t>Days 10 to 35 of the close-out plan</t>
        </is>
      </c>
    </row>
    <row r="67">
      <c r="B67" s="24" t="inlineStr">
        <is>
          <t>Z-704</t>
        </is>
      </c>
      <c r="C67" s="24" t="inlineStr">
        <is>
          <t>Information Management</t>
        </is>
      </c>
      <c r="D67" s="24" t="inlineStr"/>
      <c r="E67" s="25" t="inlineStr">
        <is>
          <t>ZZ</t>
        </is>
      </c>
      <c r="F67" s="26" t="inlineStr">
        <is>
          <t>Final transmittal and project archive</t>
        </is>
      </c>
      <c r="G67" s="24" t="inlineStr">
        <is>
          <t>Document</t>
        </is>
      </c>
      <c r="H67" s="25" t="inlineStr">
        <is>
          <t>IE</t>
        </is>
      </c>
      <c r="I67" s="24" t="inlineStr">
        <is>
          <t>3.3 Deliverable D</t>
        </is>
      </c>
      <c r="J67" s="25" t="inlineStr">
        <is>
          <t>500</t>
        </is>
      </c>
      <c r="K67" s="24" t="inlineStr">
        <is>
          <t>PDF</t>
        </is>
      </c>
      <c r="L67" s="25" t="inlineStr">
        <is>
          <t>A1</t>
        </is>
      </c>
      <c r="M67" s="25" t="inlineStr">
        <is>
          <t>Archived</t>
        </is>
      </c>
      <c r="N67" s="25" t="n">
        <v>49</v>
      </c>
      <c r="O67" s="25" t="n">
        <v>49</v>
      </c>
      <c r="P67" s="27" t="n"/>
      <c r="Q67" s="27" t="n"/>
      <c r="R67" s="24" t="n"/>
      <c r="S67" s="24" t="inlineStr">
        <is>
          <t>Information Manager</t>
        </is>
      </c>
      <c r="T67" s="24" t="inlineStr">
        <is>
          <t>TIDP-Z</t>
        </is>
      </c>
      <c r="U67" s="25" t="inlineStr">
        <is>
          <t>Y</t>
        </is>
      </c>
      <c r="V67" s="25" t="inlineStr">
        <is>
          <t>N</t>
        </is>
      </c>
      <c r="W67" s="25" t="inlineStr">
        <is>
          <t>N</t>
        </is>
      </c>
      <c r="X67" s="25" t="inlineStr"/>
      <c r="Y67" s="26" t="inlineStr">
        <is>
          <t>Days 50 to 60</t>
        </is>
      </c>
    </row>
    <row r="68">
      <c r="B68" s="24" t="inlineStr">
        <is>
          <t>Z-706</t>
        </is>
      </c>
      <c r="C68" s="24" t="inlineStr">
        <is>
          <t>Information Management</t>
        </is>
      </c>
      <c r="D68" s="24" t="inlineStr"/>
      <c r="E68" s="25" t="inlineStr">
        <is>
          <t>ZZ</t>
        </is>
      </c>
      <c r="F68" s="26" t="inlineStr">
        <is>
          <t>Final drawing register</t>
        </is>
      </c>
      <c r="G68" s="24" t="inlineStr">
        <is>
          <t>Schedule</t>
        </is>
      </c>
      <c r="H68" s="25" t="inlineStr">
        <is>
          <t>SH</t>
        </is>
      </c>
      <c r="I68" s="24" t="inlineStr">
        <is>
          <t>3.3 Deliverable D</t>
        </is>
      </c>
      <c r="J68" s="25" t="inlineStr">
        <is>
          <t>500</t>
        </is>
      </c>
      <c r="K68" s="24" t="inlineStr">
        <is>
          <t>XLSX/PDF</t>
        </is>
      </c>
      <c r="L68" s="25" t="inlineStr">
        <is>
          <t>A1</t>
        </is>
      </c>
      <c r="M68" s="25" t="inlineStr">
        <is>
          <t>Published</t>
        </is>
      </c>
      <c r="N68" s="25" t="n">
        <v>49</v>
      </c>
      <c r="O68" s="25" t="n">
        <v>49</v>
      </c>
      <c r="P68" s="27" t="n"/>
      <c r="Q68" s="27" t="n"/>
      <c r="R68" s="24" t="n"/>
      <c r="S68" s="24" t="inlineStr">
        <is>
          <t>Information Manager</t>
        </is>
      </c>
      <c r="T68" s="24" t="inlineStr">
        <is>
          <t>TIDP-Z</t>
        </is>
      </c>
      <c r="U68" s="25" t="inlineStr">
        <is>
          <t>N</t>
        </is>
      </c>
      <c r="V68" s="25" t="inlineStr">
        <is>
          <t>N</t>
        </is>
      </c>
      <c r="W68" s="25" t="inlineStr">
        <is>
          <t>N</t>
        </is>
      </c>
      <c r="X68" s="25" t="inlineStr"/>
      <c r="Y68" s="26" t="inlineStr"/>
    </row>
    <row r="69">
      <c r="B69" s="18" t="n"/>
      <c r="C69" s="18" t="n"/>
      <c r="D69" s="18" t="n"/>
      <c r="E69" s="18" t="n"/>
      <c r="F69" s="18" t="n"/>
      <c r="G69" s="18" t="n"/>
      <c r="H69" s="18" t="n"/>
      <c r="I69" s="18" t="n"/>
      <c r="J69" s="18" t="n"/>
      <c r="K69" s="18" t="n"/>
      <c r="L69" s="18" t="n"/>
      <c r="M69" s="18" t="n"/>
      <c r="N69" s="18" t="n"/>
      <c r="O69" s="18" t="n"/>
      <c r="P69" s="20" t="n"/>
      <c r="Q69" s="20" t="n"/>
      <c r="R69" s="18" t="n"/>
      <c r="S69" s="18" t="n"/>
      <c r="T69" s="18" t="n"/>
      <c r="U69" s="18" t="n"/>
      <c r="V69" s="18" t="n"/>
      <c r="W69" s="18" t="n"/>
      <c r="X69" s="18" t="n"/>
      <c r="Y69" s="18" t="n"/>
    </row>
    <row r="70">
      <c r="B70" s="18" t="n"/>
      <c r="C70" s="18" t="n"/>
      <c r="D70" s="18" t="n"/>
      <c r="E70" s="18" t="n"/>
      <c r="F70" s="18" t="n"/>
      <c r="G70" s="18" t="n"/>
      <c r="H70" s="18" t="n"/>
      <c r="I70" s="18" t="n"/>
      <c r="J70" s="18" t="n"/>
      <c r="K70" s="18" t="n"/>
      <c r="L70" s="18" t="n"/>
      <c r="M70" s="18" t="n"/>
      <c r="N70" s="18" t="n"/>
      <c r="O70" s="18" t="n"/>
      <c r="P70" s="20" t="n"/>
      <c r="Q70" s="20" t="n"/>
      <c r="R70" s="18" t="n"/>
      <c r="S70" s="18" t="n"/>
      <c r="T70" s="18" t="n"/>
      <c r="U70" s="18" t="n"/>
      <c r="V70" s="18" t="n"/>
      <c r="W70" s="18" t="n"/>
      <c r="X70" s="18" t="n"/>
      <c r="Y70" s="18" t="n"/>
    </row>
    <row r="71">
      <c r="B71" s="18" t="n"/>
      <c r="C71" s="18" t="n"/>
      <c r="D71" s="18" t="n"/>
      <c r="E71" s="18" t="n"/>
      <c r="F71" s="18" t="n"/>
      <c r="G71" s="18" t="n"/>
      <c r="H71" s="18" t="n"/>
      <c r="I71" s="18" t="n"/>
      <c r="J71" s="18" t="n"/>
      <c r="K71" s="18" t="n"/>
      <c r="L71" s="18" t="n"/>
      <c r="M71" s="18" t="n"/>
      <c r="N71" s="18" t="n"/>
      <c r="O71" s="18" t="n"/>
      <c r="P71" s="20" t="n"/>
      <c r="Q71" s="20" t="n"/>
      <c r="R71" s="18" t="n"/>
      <c r="S71" s="18" t="n"/>
      <c r="T71" s="18" t="n"/>
      <c r="U71" s="18" t="n"/>
      <c r="V71" s="18" t="n"/>
      <c r="W71" s="18" t="n"/>
      <c r="X71" s="18" t="n"/>
      <c r="Y71" s="18" t="n"/>
    </row>
    <row r="72">
      <c r="B72" s="18" t="n"/>
      <c r="C72" s="18" t="n"/>
      <c r="D72" s="18" t="n"/>
      <c r="E72" s="18" t="n"/>
      <c r="F72" s="18" t="n"/>
      <c r="G72" s="18" t="n"/>
      <c r="H72" s="18" t="n"/>
      <c r="I72" s="18" t="n"/>
      <c r="J72" s="18" t="n"/>
      <c r="K72" s="18" t="n"/>
      <c r="L72" s="18" t="n"/>
      <c r="M72" s="18" t="n"/>
      <c r="N72" s="18" t="n"/>
      <c r="O72" s="18" t="n"/>
      <c r="P72" s="20" t="n"/>
      <c r="Q72" s="20" t="n"/>
      <c r="R72" s="18" t="n"/>
      <c r="S72" s="18" t="n"/>
      <c r="T72" s="18" t="n"/>
      <c r="U72" s="18" t="n"/>
      <c r="V72" s="18" t="n"/>
      <c r="W72" s="18" t="n"/>
      <c r="X72" s="18" t="n"/>
      <c r="Y72" s="18" t="n"/>
    </row>
    <row r="73">
      <c r="B73" s="18" t="n"/>
      <c r="C73" s="18" t="n"/>
      <c r="D73" s="18" t="n"/>
      <c r="E73" s="18" t="n"/>
      <c r="F73" s="18" t="n"/>
      <c r="G73" s="18" t="n"/>
      <c r="H73" s="18" t="n"/>
      <c r="I73" s="18" t="n"/>
      <c r="J73" s="18" t="n"/>
      <c r="K73" s="18" t="n"/>
      <c r="L73" s="18" t="n"/>
      <c r="M73" s="18" t="n"/>
      <c r="N73" s="18" t="n"/>
      <c r="O73" s="18" t="n"/>
      <c r="P73" s="20" t="n"/>
      <c r="Q73" s="20" t="n"/>
      <c r="R73" s="18" t="n"/>
      <c r="S73" s="18" t="n"/>
      <c r="T73" s="18" t="n"/>
      <c r="U73" s="18" t="n"/>
      <c r="V73" s="18" t="n"/>
      <c r="W73" s="18" t="n"/>
      <c r="X73" s="18" t="n"/>
      <c r="Y73" s="18" t="n"/>
    </row>
    <row r="74">
      <c r="B74" s="18" t="n"/>
      <c r="C74" s="18" t="n"/>
      <c r="D74" s="18" t="n"/>
      <c r="E74" s="18" t="n"/>
      <c r="F74" s="18" t="n"/>
      <c r="G74" s="18" t="n"/>
      <c r="H74" s="18" t="n"/>
      <c r="I74" s="18" t="n"/>
      <c r="J74" s="18" t="n"/>
      <c r="K74" s="18" t="n"/>
      <c r="L74" s="18" t="n"/>
      <c r="M74" s="18" t="n"/>
      <c r="N74" s="18" t="n"/>
      <c r="O74" s="18" t="n"/>
      <c r="P74" s="20" t="n"/>
      <c r="Q74" s="20" t="n"/>
      <c r="R74" s="18" t="n"/>
      <c r="S74" s="18" t="n"/>
      <c r="T74" s="18" t="n"/>
      <c r="U74" s="18" t="n"/>
      <c r="V74" s="18" t="n"/>
      <c r="W74" s="18" t="n"/>
      <c r="X74" s="18" t="n"/>
      <c r="Y74" s="18" t="n"/>
    </row>
    <row r="75">
      <c r="B75" s="18" t="n"/>
      <c r="C75" s="18" t="n"/>
      <c r="D75" s="18" t="n"/>
      <c r="E75" s="18" t="n"/>
      <c r="F75" s="18" t="n"/>
      <c r="G75" s="18" t="n"/>
      <c r="H75" s="18" t="n"/>
      <c r="I75" s="18" t="n"/>
      <c r="J75" s="18" t="n"/>
      <c r="K75" s="18" t="n"/>
      <c r="L75" s="18" t="n"/>
      <c r="M75" s="18" t="n"/>
      <c r="N75" s="18" t="n"/>
      <c r="O75" s="18" t="n"/>
      <c r="P75" s="20" t="n"/>
      <c r="Q75" s="20" t="n"/>
      <c r="R75" s="18" t="n"/>
      <c r="S75" s="18" t="n"/>
      <c r="T75" s="18" t="n"/>
      <c r="U75" s="18" t="n"/>
      <c r="V75" s="18" t="n"/>
      <c r="W75" s="18" t="n"/>
      <c r="X75" s="18" t="n"/>
      <c r="Y75" s="18" t="n"/>
    </row>
    <row r="76">
      <c r="B76" s="18" t="n"/>
      <c r="C76" s="18" t="n"/>
      <c r="D76" s="18" t="n"/>
      <c r="E76" s="18" t="n"/>
      <c r="F76" s="18" t="n"/>
      <c r="G76" s="18" t="n"/>
      <c r="H76" s="18" t="n"/>
      <c r="I76" s="18" t="n"/>
      <c r="J76" s="18" t="n"/>
      <c r="K76" s="18" t="n"/>
      <c r="L76" s="18" t="n"/>
      <c r="M76" s="18" t="n"/>
      <c r="N76" s="18" t="n"/>
      <c r="O76" s="18" t="n"/>
      <c r="P76" s="20" t="n"/>
      <c r="Q76" s="20" t="n"/>
      <c r="R76" s="18" t="n"/>
      <c r="S76" s="18" t="n"/>
      <c r="T76" s="18" t="n"/>
      <c r="U76" s="18" t="n"/>
      <c r="V76" s="18" t="n"/>
      <c r="W76" s="18" t="n"/>
      <c r="X76" s="18" t="n"/>
      <c r="Y76" s="18" t="n"/>
    </row>
    <row r="77">
      <c r="B77" s="18" t="n"/>
      <c r="C77" s="18" t="n"/>
      <c r="D77" s="18" t="n"/>
      <c r="E77" s="18" t="n"/>
      <c r="F77" s="18" t="n"/>
      <c r="G77" s="18" t="n"/>
      <c r="H77" s="18" t="n"/>
      <c r="I77" s="18" t="n"/>
      <c r="J77" s="18" t="n"/>
      <c r="K77" s="18" t="n"/>
      <c r="L77" s="18" t="n"/>
      <c r="M77" s="18" t="n"/>
      <c r="N77" s="18" t="n"/>
      <c r="O77" s="18" t="n"/>
      <c r="P77" s="20" t="n"/>
      <c r="Q77" s="20" t="n"/>
      <c r="R77" s="18" t="n"/>
      <c r="S77" s="18" t="n"/>
      <c r="T77" s="18" t="n"/>
      <c r="U77" s="18" t="n"/>
      <c r="V77" s="18" t="n"/>
      <c r="W77" s="18" t="n"/>
      <c r="X77" s="18" t="n"/>
      <c r="Y77" s="18" t="n"/>
    </row>
    <row r="78">
      <c r="B78" s="18" t="n"/>
      <c r="C78" s="18" t="n"/>
      <c r="D78" s="18" t="n"/>
      <c r="E78" s="18" t="n"/>
      <c r="F78" s="18" t="n"/>
      <c r="G78" s="18" t="n"/>
      <c r="H78" s="18" t="n"/>
      <c r="I78" s="18" t="n"/>
      <c r="J78" s="18" t="n"/>
      <c r="K78" s="18" t="n"/>
      <c r="L78" s="18" t="n"/>
      <c r="M78" s="18" t="n"/>
      <c r="N78" s="18" t="n"/>
      <c r="O78" s="18" t="n"/>
      <c r="P78" s="20" t="n"/>
      <c r="Q78" s="20" t="n"/>
      <c r="R78" s="18" t="n"/>
      <c r="S78" s="18" t="n"/>
      <c r="T78" s="18" t="n"/>
      <c r="U78" s="18" t="n"/>
      <c r="V78" s="18" t="n"/>
      <c r="W78" s="18" t="n"/>
      <c r="X78" s="18" t="n"/>
      <c r="Y78" s="18" t="n"/>
    </row>
    <row r="79">
      <c r="B79" s="18" t="n"/>
      <c r="C79" s="18" t="n"/>
      <c r="D79" s="18" t="n"/>
      <c r="E79" s="18" t="n"/>
      <c r="F79" s="18" t="n"/>
      <c r="G79" s="18" t="n"/>
      <c r="H79" s="18" t="n"/>
      <c r="I79" s="18" t="n"/>
      <c r="J79" s="18" t="n"/>
      <c r="K79" s="18" t="n"/>
      <c r="L79" s="18" t="n"/>
      <c r="M79" s="18" t="n"/>
      <c r="N79" s="18" t="n"/>
      <c r="O79" s="18" t="n"/>
      <c r="P79" s="20" t="n"/>
      <c r="Q79" s="20" t="n"/>
      <c r="R79" s="18" t="n"/>
      <c r="S79" s="18" t="n"/>
      <c r="T79" s="18" t="n"/>
      <c r="U79" s="18" t="n"/>
      <c r="V79" s="18" t="n"/>
      <c r="W79" s="18" t="n"/>
      <c r="X79" s="18" t="n"/>
      <c r="Y79" s="18" t="n"/>
    </row>
    <row r="80">
      <c r="B80" s="18" t="n"/>
      <c r="C80" s="18" t="n"/>
      <c r="D80" s="18" t="n"/>
      <c r="E80" s="18" t="n"/>
      <c r="F80" s="18" t="n"/>
      <c r="G80" s="18" t="n"/>
      <c r="H80" s="18" t="n"/>
      <c r="I80" s="18" t="n"/>
      <c r="J80" s="18" t="n"/>
      <c r="K80" s="18" t="n"/>
      <c r="L80" s="18" t="n"/>
      <c r="M80" s="18" t="n"/>
      <c r="N80" s="18" t="n"/>
      <c r="O80" s="18" t="n"/>
      <c r="P80" s="20" t="n"/>
      <c r="Q80" s="20" t="n"/>
      <c r="R80" s="18" t="n"/>
      <c r="S80" s="18" t="n"/>
      <c r="T80" s="18" t="n"/>
      <c r="U80" s="18" t="n"/>
      <c r="V80" s="18" t="n"/>
      <c r="W80" s="18" t="n"/>
      <c r="X80" s="18" t="n"/>
      <c r="Y80" s="18" t="n"/>
    </row>
    <row r="81">
      <c r="B81" s="18" t="n"/>
      <c r="C81" s="18" t="n"/>
      <c r="D81" s="18" t="n"/>
      <c r="E81" s="18" t="n"/>
      <c r="F81" s="18" t="n"/>
      <c r="G81" s="18" t="n"/>
      <c r="H81" s="18" t="n"/>
      <c r="I81" s="18" t="n"/>
      <c r="J81" s="18" t="n"/>
      <c r="K81" s="18" t="n"/>
      <c r="L81" s="18" t="n"/>
      <c r="M81" s="18" t="n"/>
      <c r="N81" s="18" t="n"/>
      <c r="O81" s="18" t="n"/>
      <c r="P81" s="20" t="n"/>
      <c r="Q81" s="20" t="n"/>
      <c r="R81" s="18" t="n"/>
      <c r="S81" s="18" t="n"/>
      <c r="T81" s="18" t="n"/>
      <c r="U81" s="18" t="n"/>
      <c r="V81" s="18" t="n"/>
      <c r="W81" s="18" t="n"/>
      <c r="X81" s="18" t="n"/>
      <c r="Y81" s="18" t="n"/>
    </row>
    <row r="82">
      <c r="B82" s="18" t="n"/>
      <c r="C82" s="18" t="n"/>
      <c r="D82" s="18" t="n"/>
      <c r="E82" s="18" t="n"/>
      <c r="F82" s="18" t="n"/>
      <c r="G82" s="18" t="n"/>
      <c r="H82" s="18" t="n"/>
      <c r="I82" s="18" t="n"/>
      <c r="J82" s="18" t="n"/>
      <c r="K82" s="18" t="n"/>
      <c r="L82" s="18" t="n"/>
      <c r="M82" s="18" t="n"/>
      <c r="N82" s="18" t="n"/>
      <c r="O82" s="18" t="n"/>
      <c r="P82" s="20" t="n"/>
      <c r="Q82" s="20" t="n"/>
      <c r="R82" s="18" t="n"/>
      <c r="S82" s="18" t="n"/>
      <c r="T82" s="18" t="n"/>
      <c r="U82" s="18" t="n"/>
      <c r="V82" s="18" t="n"/>
      <c r="W82" s="18" t="n"/>
      <c r="X82" s="18" t="n"/>
      <c r="Y82" s="18" t="n"/>
    </row>
    <row r="83">
      <c r="B83" s="18" t="n"/>
      <c r="C83" s="18" t="n"/>
      <c r="D83" s="18" t="n"/>
      <c r="E83" s="18" t="n"/>
      <c r="F83" s="18" t="n"/>
      <c r="G83" s="18" t="n"/>
      <c r="H83" s="18" t="n"/>
      <c r="I83" s="18" t="n"/>
      <c r="J83" s="18" t="n"/>
      <c r="K83" s="18" t="n"/>
      <c r="L83" s="18" t="n"/>
      <c r="M83" s="18" t="n"/>
      <c r="N83" s="18" t="n"/>
      <c r="O83" s="18" t="n"/>
      <c r="P83" s="20" t="n"/>
      <c r="Q83" s="20" t="n"/>
      <c r="R83" s="18" t="n"/>
      <c r="S83" s="18" t="n"/>
      <c r="T83" s="18" t="n"/>
      <c r="U83" s="18" t="n"/>
      <c r="V83" s="18" t="n"/>
      <c r="W83" s="18" t="n"/>
      <c r="X83" s="18" t="n"/>
      <c r="Y83" s="18" t="n"/>
    </row>
  </sheetData>
  <autoFilter ref="A16:X83"/>
  <mergeCells count="1">
    <mergeCell ref="B4:H5"/>
  </mergeCells>
  <dataValidations count="12">
    <dataValidation sqref="C17:C83" showDropDown="0" showInputMessage="0" showErrorMessage="0" allowBlank="1" type="list">
      <formula1>'Lists'!$A$2:$A$30</formula1>
    </dataValidation>
    <dataValidation sqref="E17:E83" showDropDown="0" showInputMessage="0" showErrorMessage="0" allowBlank="1" type="list">
      <formula1>'Lists'!$I$2:$I$30</formula1>
    </dataValidation>
    <dataValidation sqref="G17:G83" showDropDown="0" showInputMessage="0" showErrorMessage="0" allowBlank="1" type="list">
      <formula1>'Lists'!$C$2:$C$30</formula1>
    </dataValidation>
    <dataValidation sqref="H17:H83" showDropDown="0" showInputMessage="0" showErrorMessage="0" allowBlank="1" type="list">
      <formula1>'Lists'!$J$2:$J$30</formula1>
    </dataValidation>
    <dataValidation sqref="I17:I83" showDropDown="0" showInputMessage="0" showErrorMessage="0" allowBlank="1" type="list">
      <formula1>'Lists'!$D$2:$D$30</formula1>
    </dataValidation>
    <dataValidation sqref="J17:J83" showDropDown="0" showInputMessage="0" showErrorMessage="0" allowBlank="1" type="list">
      <formula1>'Lists'!$E$2:$E$30</formula1>
    </dataValidation>
    <dataValidation sqref="L17:L83" showDropDown="0" showInputMessage="0" showErrorMessage="0" allowBlank="1" type="list">
      <formula1>'Lists'!$F$2:$F$30</formula1>
    </dataValidation>
    <dataValidation sqref="M17:M83" showDropDown="0" showInputMessage="0" showErrorMessage="0" allowBlank="1" type="list">
      <formula1>'Lists'!$G$2:$G$30</formula1>
    </dataValidation>
    <dataValidation sqref="U17:U83" showDropDown="0" showInputMessage="0" showErrorMessage="0" allowBlank="1" type="list">
      <formula1>'Lists'!$K$2:$K$30</formula1>
    </dataValidation>
    <dataValidation sqref="V17:V83" showDropDown="0" showInputMessage="0" showErrorMessage="0" allowBlank="1" type="list">
      <formula1>'Lists'!$K$2:$K$30</formula1>
    </dataValidation>
    <dataValidation sqref="W17:W83" showDropDown="0" showInputMessage="0" showErrorMessage="0" allowBlank="1" type="list">
      <formula1>'Lists'!$K$2:$K$30</formula1>
    </dataValidation>
    <dataValidation sqref="X17:X83" showDropDown="0" showInputMessage="0" showErrorMessage="0" allowBlank="1" type="list">
      <formula1>'Lists'!$H$2:$H$30</formula1>
    </dataValidation>
  </dataValidations>
  <hyperlinks>
    <hyperlink xmlns:r="http://schemas.openxmlformats.org/officeDocument/2006/relationships" ref="A1" r:id="rId1"/>
  </hyperlinks>
  <pageMargins left="0.75" right="0.75" top="1" bottom="1" header="0.5" footer="0.5"/>
  <pageSetup orientation="landscape" fitToWidth="1"/>
  <headerFooter>
    <oddHeader>&amp;L&amp;"Calibri,Bold"&amp;9KAMPALA UGANDA TEMPLE&amp;C&amp;"Calibri,Bold"&amp;9&amp;A&amp;R&amp;9KUT-SMB-ZZ-ZZ-SH-Z-0001   Rev P01</oddHeader>
    <oddFooter>&amp;L&amp;9&amp;KC00000DRAFT - not issued (S0, work in progress)&amp;C&amp;8Symbion Consulting Group Studios - Information Manager&amp;R&amp;9&amp;A   Page &amp;P of &amp;N</oddFooter>
    <evenHeader/>
    <evenFooter/>
    <firstHeader/>
    <firstFooter/>
  </headerFooter>
</worksheet>
</file>

<file path=xl/worksheets/sheet5.xml><?xml version="1.0" encoding="utf-8"?>
<worksheet xmlns="http://schemas.openxmlformats.org/spreadsheetml/2006/main">
  <sheetPr>
    <tabColor rgb="00444F5C"/>
    <outlinePr summaryBelow="1" summaryRight="1"/>
    <pageSetUpPr fitToPage="1"/>
  </sheetPr>
  <dimension ref="A1:Y43"/>
  <sheetViews>
    <sheetView showGridLines="0" workbookViewId="0">
      <pane ySplit="16" topLeftCell="A17" activePane="bottomLeft" state="frozen"/>
      <selection pane="bottomLeft" activeCell="A1" sqref="A1"/>
    </sheetView>
  </sheetViews>
  <sheetFormatPr baseColWidth="8" defaultRowHeight="15"/>
  <cols>
    <col width="3" customWidth="1" min="1" max="1"/>
    <col width="10" customWidth="1" min="2" max="2"/>
    <col width="20" customWidth="1" min="3" max="3"/>
    <col width="12" customWidth="1" min="4" max="4"/>
    <col width="8" customWidth="1" min="5" max="5"/>
    <col width="44" customWidth="1" min="6" max="6"/>
    <col width="15" customWidth="1" min="7" max="7"/>
    <col width="10" customWidth="1" min="8" max="8"/>
    <col width="20" customWidth="1" min="9" max="9"/>
    <col width="7" customWidth="1" min="10" max="10"/>
    <col width="15" customWidth="1" min="11" max="11"/>
    <col width="11" customWidth="1" min="12" max="12"/>
    <col width="12" customWidth="1" min="13" max="13"/>
    <col width="11" customWidth="1" min="14" max="14"/>
    <col width="10" customWidth="1" min="15" max="15"/>
    <col width="13" customWidth="1" min="16" max="16"/>
    <col width="13" customWidth="1" min="17" max="17"/>
    <col width="14" customWidth="1" min="18" max="18"/>
    <col width="20" customWidth="1" min="19" max="19"/>
    <col width="10" customWidth="1" min="20" max="20"/>
    <col width="9" customWidth="1" min="21" max="21"/>
    <col width="9" customWidth="1" min="22" max="22"/>
    <col width="7" customWidth="1" min="23" max="23"/>
    <col width="11" customWidth="1" min="24" max="24"/>
    <col width="40" customWidth="1" min="25" max="25"/>
  </cols>
  <sheetData>
    <row r="1">
      <c r="A1" s="13" t="inlineStr">
        <is>
          <t>&lt; Cover</t>
        </is>
      </c>
    </row>
    <row r="2">
      <c r="B2" s="14" t="inlineStr">
        <is>
          <t>Task Information Delivery Plan — Architecture and interiors</t>
        </is>
      </c>
    </row>
    <row r="4">
      <c r="B4" s="7" t="inlineStr">
        <is>
          <t>The deliverables below are those already assigned to you in the Master Information Delivery Plan. Confirm the planned dates, add any deliverable your scope requires that is not listed, and return this sheet to the Information Manager. Rows are merged back into the register by reference. Use the drop-down lists; if a value you need is not offered, raise it rather than typing a variant.</t>
        </is>
      </c>
    </row>
    <row r="5"/>
    <row r="7">
      <c r="B7" s="4" t="inlineStr">
        <is>
          <t>Task Information Delivery Plan</t>
        </is>
      </c>
      <c r="C7" s="5" t="inlineStr">
        <is>
          <t>TIDP-A</t>
        </is>
      </c>
    </row>
    <row r="8">
      <c r="B8" s="4" t="inlineStr">
        <is>
          <t>Scope</t>
        </is>
      </c>
      <c r="C8" s="5" t="inlineStr">
        <is>
          <t>Architecture and interiors</t>
        </is>
      </c>
    </row>
    <row r="9">
      <c r="B9" s="4" t="inlineStr">
        <is>
          <t>Appointed party</t>
        </is>
      </c>
      <c r="C9" s="5" t="inlineStr">
        <is>
          <t>[FILL — architecture practice]</t>
        </is>
      </c>
    </row>
    <row r="10">
      <c r="B10" s="4" t="inlineStr">
        <is>
          <t>Originator code</t>
        </is>
      </c>
      <c r="C10" s="5" t="inlineStr">
        <is>
          <t>[FILL — once the register is issued]</t>
        </is>
      </c>
    </row>
    <row r="11">
      <c r="B11" s="4" t="inlineStr">
        <is>
          <t>Task Team Manager</t>
        </is>
      </c>
      <c r="C11" s="5" t="inlineStr">
        <is>
          <t>[FILL]</t>
        </is>
      </c>
    </row>
    <row r="12">
      <c r="B12" s="4" t="inlineStr">
        <is>
          <t>Contact</t>
        </is>
      </c>
      <c r="C12" s="5" t="inlineStr">
        <is>
          <t>[FILL]</t>
        </is>
      </c>
    </row>
    <row r="13">
      <c r="B13" s="4" t="inlineStr">
        <is>
          <t>Revision</t>
        </is>
      </c>
      <c r="C13" s="5" t="inlineStr">
        <is>
          <t>P01</t>
        </is>
      </c>
    </row>
    <row r="14">
      <c r="B14" s="4" t="inlineStr">
        <is>
          <t>Date</t>
        </is>
      </c>
      <c r="C14" s="5" t="inlineStr">
        <is>
          <t>[FILL]</t>
        </is>
      </c>
    </row>
    <row r="16" ht="30" customHeight="1">
      <c r="A16" s="17" t="n"/>
      <c r="B16" s="17" t="inlineStr">
        <is>
          <t>Ref</t>
        </is>
      </c>
      <c r="C16" s="17" t="inlineStr">
        <is>
          <t>Discipline</t>
        </is>
      </c>
      <c r="D16" s="17" t="inlineStr">
        <is>
          <t>Originator</t>
        </is>
      </c>
      <c r="E16" s="17" t="inlineStr">
        <is>
          <t>Volume</t>
        </is>
      </c>
      <c r="F16" s="17" t="inlineStr">
        <is>
          <t>Deliverable</t>
        </is>
      </c>
      <c r="G16" s="17" t="inlineStr">
        <is>
          <t>Type</t>
        </is>
      </c>
      <c r="H16" s="17" t="inlineStr">
        <is>
          <t>Type code</t>
        </is>
      </c>
      <c r="I16" s="17" t="inlineStr">
        <is>
          <t>Stage</t>
        </is>
      </c>
      <c r="J16" s="17" t="inlineStr">
        <is>
          <t>LOD</t>
        </is>
      </c>
      <c r="K16" s="17" t="inlineStr">
        <is>
          <t>Format</t>
        </is>
      </c>
      <c r="L16" s="17" t="inlineStr">
        <is>
          <t>Suitability</t>
        </is>
      </c>
      <c r="M16" s="17" t="inlineStr">
        <is>
          <t>CDE State</t>
        </is>
      </c>
      <c r="N16" s="17" t="inlineStr">
        <is>
          <t>Month from</t>
        </is>
      </c>
      <c r="O16" s="17" t="inlineStr">
        <is>
          <t>Month to</t>
        </is>
      </c>
      <c r="P16" s="17" t="inlineStr">
        <is>
          <t>Planned date</t>
        </is>
      </c>
      <c r="Q16" s="17" t="inlineStr">
        <is>
          <t>Actual date</t>
        </is>
      </c>
      <c r="R16" s="17" t="inlineStr">
        <is>
          <t>Variance (days)</t>
        </is>
      </c>
      <c r="S16" s="17" t="inlineStr">
        <is>
          <t>Responsible</t>
        </is>
      </c>
      <c r="T16" s="17" t="inlineStr">
        <is>
          <t>TIDP ref</t>
        </is>
      </c>
      <c r="U16" s="17" t="inlineStr">
        <is>
          <t>Critical</t>
        </is>
      </c>
      <c r="V16" s="17" t="inlineStr">
        <is>
          <t>As-built</t>
        </is>
      </c>
      <c r="W16" s="17" t="inlineStr">
        <is>
          <t>O&amp;M</t>
        </is>
      </c>
      <c r="X16" s="17" t="inlineStr">
        <is>
          <t>RAG</t>
        </is>
      </c>
      <c r="Y16" s="17" t="inlineStr">
        <is>
          <t>Notes</t>
        </is>
      </c>
    </row>
    <row r="17">
      <c r="B17" s="24" t="inlineStr">
        <is>
          <t>A-100</t>
        </is>
      </c>
      <c r="C17" s="24" t="inlineStr">
        <is>
          <t>Architecture</t>
        </is>
      </c>
      <c r="D17" s="24" t="inlineStr"/>
      <c r="E17" s="25" t="inlineStr">
        <is>
          <t>ZZ</t>
        </is>
      </c>
      <c r="F17" s="26" t="inlineStr">
        <is>
          <t>Architectural model</t>
        </is>
      </c>
      <c r="G17" s="24" t="inlineStr">
        <is>
          <t>Model</t>
        </is>
      </c>
      <c r="H17" s="25" t="inlineStr">
        <is>
          <t>M3</t>
        </is>
      </c>
      <c r="I17" s="24" t="inlineStr">
        <is>
          <t>2.1 Deliverable A</t>
        </is>
      </c>
      <c r="J17" s="25" t="inlineStr">
        <is>
          <t>200</t>
        </is>
      </c>
      <c r="K17" s="24" t="inlineStr">
        <is>
          <t>RVT/IFC</t>
        </is>
      </c>
      <c r="L17" s="25" t="inlineStr">
        <is>
          <t>S2</t>
        </is>
      </c>
      <c r="M17" s="25" t="inlineStr">
        <is>
          <t>Shared</t>
        </is>
      </c>
      <c r="N17" s="25" t="n">
        <v>1</v>
      </c>
      <c r="O17" s="25" t="n">
        <v>1</v>
      </c>
      <c r="P17" s="27" t="n"/>
      <c r="Q17" s="27" t="n"/>
      <c r="R17" s="24" t="n"/>
      <c r="S17" s="24" t="inlineStr">
        <is>
          <t>Architecture lead</t>
        </is>
      </c>
      <c r="T17" s="24" t="inlineStr">
        <is>
          <t>TIDP-A</t>
        </is>
      </c>
      <c r="U17" s="25" t="inlineStr">
        <is>
          <t>Y</t>
        </is>
      </c>
      <c r="V17" s="25" t="inlineStr">
        <is>
          <t>Y</t>
        </is>
      </c>
      <c r="W17" s="25" t="inlineStr">
        <is>
          <t>N</t>
        </is>
      </c>
      <c r="X17" s="25" t="inlineStr"/>
      <c r="Y17" s="26" t="inlineStr">
        <is>
          <t>Massing and generic systems; rooms placed</t>
        </is>
      </c>
    </row>
    <row r="18">
      <c r="B18" s="24" t="inlineStr">
        <is>
          <t>A-101</t>
        </is>
      </c>
      <c r="C18" s="24" t="inlineStr">
        <is>
          <t>Architecture</t>
        </is>
      </c>
      <c r="D18" s="24" t="inlineStr"/>
      <c r="E18" s="25" t="inlineStr">
        <is>
          <t>ZZ</t>
        </is>
      </c>
      <c r="F18" s="26" t="inlineStr">
        <is>
          <t>Deliverable A drawing set</t>
        </is>
      </c>
      <c r="G18" s="24" t="inlineStr">
        <is>
          <t>Drawing</t>
        </is>
      </c>
      <c r="H18" s="25" t="inlineStr">
        <is>
          <t>DR</t>
        </is>
      </c>
      <c r="I18" s="24" t="inlineStr">
        <is>
          <t>2.1 Deliverable A</t>
        </is>
      </c>
      <c r="J18" s="25" t="inlineStr">
        <is>
          <t>200</t>
        </is>
      </c>
      <c r="K18" s="24" t="inlineStr">
        <is>
          <t>PDF/DWG</t>
        </is>
      </c>
      <c r="L18" s="25" t="inlineStr">
        <is>
          <t>S3</t>
        </is>
      </c>
      <c r="M18" s="25" t="inlineStr">
        <is>
          <t>Shared</t>
        </is>
      </c>
      <c r="N18" s="25" t="n">
        <v>1</v>
      </c>
      <c r="O18" s="25" t="n">
        <v>1</v>
      </c>
      <c r="P18" s="27" t="n"/>
      <c r="Q18" s="27" t="n"/>
      <c r="R18" s="24" t="n"/>
      <c r="S18" s="24" t="inlineStr">
        <is>
          <t>Architecture lead</t>
        </is>
      </c>
      <c r="T18" s="24" t="inlineStr">
        <is>
          <t>TIDP-A</t>
        </is>
      </c>
      <c r="U18" s="25" t="inlineStr">
        <is>
          <t>N</t>
        </is>
      </c>
      <c r="V18" s="25" t="inlineStr">
        <is>
          <t>N</t>
        </is>
      </c>
      <c r="W18" s="25" t="inlineStr">
        <is>
          <t>N</t>
        </is>
      </c>
      <c r="X18" s="25" t="inlineStr"/>
      <c r="Y18" s="26" t="inlineStr"/>
    </row>
    <row r="19">
      <c r="B19" s="24" t="inlineStr">
        <is>
          <t>A-200</t>
        </is>
      </c>
      <c r="C19" s="24" t="inlineStr">
        <is>
          <t>Architecture</t>
        </is>
      </c>
      <c r="D19" s="24" t="inlineStr"/>
      <c r="E19" s="25" t="inlineStr">
        <is>
          <t>ZZ</t>
        </is>
      </c>
      <c r="F19" s="26" t="inlineStr">
        <is>
          <t>Architectural model</t>
        </is>
      </c>
      <c r="G19" s="24" t="inlineStr">
        <is>
          <t>Model</t>
        </is>
      </c>
      <c r="H19" s="25" t="inlineStr">
        <is>
          <t>M3</t>
        </is>
      </c>
      <c r="I19" s="24" t="inlineStr">
        <is>
          <t>2.2 Deliverable B</t>
        </is>
      </c>
      <c r="J19" s="25" t="inlineStr">
        <is>
          <t>300</t>
        </is>
      </c>
      <c r="K19" s="24" t="inlineStr">
        <is>
          <t>RVT/IFC</t>
        </is>
      </c>
      <c r="L19" s="25" t="inlineStr">
        <is>
          <t>S2</t>
        </is>
      </c>
      <c r="M19" s="25" t="inlineStr">
        <is>
          <t>Shared</t>
        </is>
      </c>
      <c r="N19" s="25" t="n">
        <v>2</v>
      </c>
      <c r="O19" s="25" t="n">
        <v>4</v>
      </c>
      <c r="P19" s="27" t="n"/>
      <c r="Q19" s="27" t="n"/>
      <c r="R19" s="24" t="n"/>
      <c r="S19" s="24" t="inlineStr">
        <is>
          <t>Architecture lead</t>
        </is>
      </c>
      <c r="T19" s="24" t="inlineStr">
        <is>
          <t>TIDP-A</t>
        </is>
      </c>
      <c r="U19" s="25" t="inlineStr">
        <is>
          <t>Y</t>
        </is>
      </c>
      <c r="V19" s="25" t="inlineStr">
        <is>
          <t>Y</t>
        </is>
      </c>
      <c r="W19" s="25" t="inlineStr">
        <is>
          <t>N</t>
        </is>
      </c>
      <c r="X19" s="25" t="inlineStr"/>
      <c r="Y19" s="26" t="inlineStr">
        <is>
          <t>Real geometry, correctly located; no placeholder families</t>
        </is>
      </c>
    </row>
    <row r="20">
      <c r="B20" s="24" t="inlineStr">
        <is>
          <t>A-201</t>
        </is>
      </c>
      <c r="C20" s="24" t="inlineStr">
        <is>
          <t>Architecture</t>
        </is>
      </c>
      <c r="D20" s="24" t="inlineStr"/>
      <c r="E20" s="25" t="inlineStr">
        <is>
          <t>ZZ</t>
        </is>
      </c>
      <c r="F20" s="26" t="inlineStr">
        <is>
          <t>General arrangement plans, sections and elevations (50%)</t>
        </is>
      </c>
      <c r="G20" s="24" t="inlineStr">
        <is>
          <t>Drawing</t>
        </is>
      </c>
      <c r="H20" s="25" t="inlineStr">
        <is>
          <t>DR</t>
        </is>
      </c>
      <c r="I20" s="24" t="inlineStr">
        <is>
          <t>2.2 Deliverable B</t>
        </is>
      </c>
      <c r="J20" s="25" t="inlineStr">
        <is>
          <t>300</t>
        </is>
      </c>
      <c r="K20" s="24" t="inlineStr">
        <is>
          <t>PDF/DWG</t>
        </is>
      </c>
      <c r="L20" s="25" t="inlineStr">
        <is>
          <t>S2</t>
        </is>
      </c>
      <c r="M20" s="25" t="inlineStr">
        <is>
          <t>Shared</t>
        </is>
      </c>
      <c r="N20" s="25" t="n">
        <v>4</v>
      </c>
      <c r="O20" s="25" t="n">
        <v>4</v>
      </c>
      <c r="P20" s="27" t="n"/>
      <c r="Q20" s="27" t="n"/>
      <c r="R20" s="24" t="n"/>
      <c r="S20" s="24" t="inlineStr">
        <is>
          <t>Architecture lead</t>
        </is>
      </c>
      <c r="T20" s="24" t="inlineStr">
        <is>
          <t>TIDP-A</t>
        </is>
      </c>
      <c r="U20" s="25" t="inlineStr">
        <is>
          <t>N</t>
        </is>
      </c>
      <c r="V20" s="25" t="inlineStr">
        <is>
          <t>Y</t>
        </is>
      </c>
      <c r="W20" s="25" t="inlineStr">
        <is>
          <t>N</t>
        </is>
      </c>
      <c r="X20" s="25" t="inlineStr"/>
      <c r="Y20" s="26" t="inlineStr"/>
    </row>
    <row r="21">
      <c r="B21" s="24" t="inlineStr">
        <is>
          <t>A-202</t>
        </is>
      </c>
      <c r="C21" s="24" t="inlineStr">
        <is>
          <t>Architecture</t>
        </is>
      </c>
      <c r="D21" s="24" t="inlineStr"/>
      <c r="E21" s="25" t="inlineStr">
        <is>
          <t>ZZ</t>
        </is>
      </c>
      <c r="F21" s="26" t="inlineStr">
        <is>
          <t>Door and window schedules</t>
        </is>
      </c>
      <c r="G21" s="24" t="inlineStr">
        <is>
          <t>Schedule</t>
        </is>
      </c>
      <c r="H21" s="25" t="inlineStr">
        <is>
          <t>SH</t>
        </is>
      </c>
      <c r="I21" s="24" t="inlineStr">
        <is>
          <t>2.2 Deliverable B</t>
        </is>
      </c>
      <c r="J21" s="25" t="inlineStr">
        <is>
          <t>300</t>
        </is>
      </c>
      <c r="K21" s="24" t="inlineStr">
        <is>
          <t>PDF/XLSX</t>
        </is>
      </c>
      <c r="L21" s="25" t="inlineStr">
        <is>
          <t>S2</t>
        </is>
      </c>
      <c r="M21" s="25" t="inlineStr">
        <is>
          <t>Shared</t>
        </is>
      </c>
      <c r="N21" s="25" t="n">
        <v>4</v>
      </c>
      <c r="O21" s="25" t="n">
        <v>4</v>
      </c>
      <c r="P21" s="27" t="n"/>
      <c r="Q21" s="27" t="n"/>
      <c r="R21" s="24" t="n"/>
      <c r="S21" s="24" t="inlineStr">
        <is>
          <t>Architecture lead</t>
        </is>
      </c>
      <c r="T21" s="24" t="inlineStr">
        <is>
          <t>TIDP-A</t>
        </is>
      </c>
      <c r="U21" s="25" t="inlineStr">
        <is>
          <t>N</t>
        </is>
      </c>
      <c r="V21" s="25" t="inlineStr">
        <is>
          <t>N</t>
        </is>
      </c>
      <c r="W21" s="25" t="inlineStr">
        <is>
          <t>N</t>
        </is>
      </c>
      <c r="X21" s="25" t="inlineStr"/>
      <c r="Y21" s="26" t="inlineStr"/>
    </row>
    <row r="22">
      <c r="B22" s="24" t="inlineStr">
        <is>
          <t>A-203</t>
        </is>
      </c>
      <c r="C22" s="24" t="inlineStr">
        <is>
          <t>Architecture</t>
        </is>
      </c>
      <c r="D22" s="24" t="inlineStr"/>
      <c r="E22" s="25" t="inlineStr">
        <is>
          <t>ZZ</t>
        </is>
      </c>
      <c r="F22" s="26" t="inlineStr">
        <is>
          <t>Room data sheets (key spaces)</t>
        </is>
      </c>
      <c r="G22" s="24" t="inlineStr">
        <is>
          <t>Room data sheet</t>
        </is>
      </c>
      <c r="H22" s="25" t="inlineStr">
        <is>
          <t>RD</t>
        </is>
      </c>
      <c r="I22" s="24" t="inlineStr">
        <is>
          <t>2.2 Deliverable B</t>
        </is>
      </c>
      <c r="J22" s="25" t="inlineStr">
        <is>
          <t>300</t>
        </is>
      </c>
      <c r="K22" s="24" t="inlineStr">
        <is>
          <t>PDF</t>
        </is>
      </c>
      <c r="L22" s="25" t="inlineStr">
        <is>
          <t>S2</t>
        </is>
      </c>
      <c r="M22" s="25" t="inlineStr">
        <is>
          <t>Shared</t>
        </is>
      </c>
      <c r="N22" s="25" t="n">
        <v>4</v>
      </c>
      <c r="O22" s="25" t="n">
        <v>4</v>
      </c>
      <c r="P22" s="27" t="n"/>
      <c r="Q22" s="27" t="n"/>
      <c r="R22" s="24" t="n"/>
      <c r="S22" s="24" t="inlineStr">
        <is>
          <t>Architecture lead</t>
        </is>
      </c>
      <c r="T22" s="24" t="inlineStr">
        <is>
          <t>TIDP-A</t>
        </is>
      </c>
      <c r="U22" s="25" t="inlineStr">
        <is>
          <t>N</t>
        </is>
      </c>
      <c r="V22" s="25" t="inlineStr">
        <is>
          <t>N</t>
        </is>
      </c>
      <c r="W22" s="25" t="inlineStr">
        <is>
          <t>N</t>
        </is>
      </c>
      <c r="X22" s="25" t="inlineStr"/>
      <c r="Y22" s="26" t="inlineStr">
        <is>
          <t>Complete set at Deliverable C (A-302)</t>
        </is>
      </c>
    </row>
    <row r="23">
      <c r="B23" s="24" t="inlineStr">
        <is>
          <t>A-204</t>
        </is>
      </c>
      <c r="C23" s="24" t="inlineStr">
        <is>
          <t>Architecture</t>
        </is>
      </c>
      <c r="D23" s="24" t="inlineStr"/>
      <c r="E23" s="25" t="inlineStr">
        <is>
          <t>ZZ</t>
        </is>
      </c>
      <c r="F23" s="26" t="inlineStr">
        <is>
          <t>Existing conditions and removals plan</t>
        </is>
      </c>
      <c r="G23" s="24" t="inlineStr">
        <is>
          <t>Drawing</t>
        </is>
      </c>
      <c r="H23" s="25" t="inlineStr">
        <is>
          <t>DR</t>
        </is>
      </c>
      <c r="I23" s="24" t="inlineStr">
        <is>
          <t>2.2 Deliverable B</t>
        </is>
      </c>
      <c r="J23" s="25" t="inlineStr">
        <is>
          <t>300</t>
        </is>
      </c>
      <c r="K23" s="24" t="inlineStr">
        <is>
          <t>PDF/DWG</t>
        </is>
      </c>
      <c r="L23" s="25" t="inlineStr">
        <is>
          <t>S2</t>
        </is>
      </c>
      <c r="M23" s="25" t="inlineStr">
        <is>
          <t>Shared</t>
        </is>
      </c>
      <c r="N23" s="25" t="n">
        <v>4</v>
      </c>
      <c r="O23" s="25" t="n">
        <v>4</v>
      </c>
      <c r="P23" s="27" t="n"/>
      <c r="Q23" s="27" t="n"/>
      <c r="R23" s="24" t="n"/>
      <c r="S23" s="24" t="inlineStr">
        <is>
          <t>Architecture lead</t>
        </is>
      </c>
      <c r="T23" s="24" t="inlineStr">
        <is>
          <t>TIDP-A</t>
        </is>
      </c>
      <c r="U23" s="25" t="inlineStr">
        <is>
          <t>N</t>
        </is>
      </c>
      <c r="V23" s="25" t="inlineStr">
        <is>
          <t>N</t>
        </is>
      </c>
      <c r="W23" s="25" t="inlineStr">
        <is>
          <t>N</t>
        </is>
      </c>
      <c r="X23" s="25" t="inlineStr"/>
      <c r="Y23" s="26" t="inlineStr">
        <is>
          <t>Demolition classification is a manual task; BEP 10.4</t>
        </is>
      </c>
    </row>
    <row r="24">
      <c r="B24" s="24" t="inlineStr">
        <is>
          <t>A-300</t>
        </is>
      </c>
      <c r="C24" s="24" t="inlineStr">
        <is>
          <t>Architecture</t>
        </is>
      </c>
      <c r="D24" s="24" t="inlineStr"/>
      <c r="E24" s="25" t="inlineStr">
        <is>
          <t>ZZ</t>
        </is>
      </c>
      <c r="F24" s="26" t="inlineStr">
        <is>
          <t>Architectural model</t>
        </is>
      </c>
      <c r="G24" s="24" t="inlineStr">
        <is>
          <t>Model</t>
        </is>
      </c>
      <c r="H24" s="25" t="inlineStr">
        <is>
          <t>M3</t>
        </is>
      </c>
      <c r="I24" s="24" t="inlineStr">
        <is>
          <t>2.3 Deliverable C</t>
        </is>
      </c>
      <c r="J24" s="25" t="inlineStr">
        <is>
          <t>350</t>
        </is>
      </c>
      <c r="K24" s="24" t="inlineStr">
        <is>
          <t>RVT/IFC</t>
        </is>
      </c>
      <c r="L24" s="25" t="inlineStr">
        <is>
          <t>S4</t>
        </is>
      </c>
      <c r="M24" s="25" t="inlineStr">
        <is>
          <t>Shared</t>
        </is>
      </c>
      <c r="N24" s="25" t="n">
        <v>5</v>
      </c>
      <c r="O24" s="25" t="n">
        <v>8</v>
      </c>
      <c r="P24" s="27" t="n"/>
      <c r="Q24" s="27" t="n"/>
      <c r="R24" s="24" t="n"/>
      <c r="S24" s="24" t="inlineStr">
        <is>
          <t>Architecture lead</t>
        </is>
      </c>
      <c r="T24" s="24" t="inlineStr">
        <is>
          <t>TIDP-A</t>
        </is>
      </c>
      <c r="U24" s="25" t="inlineStr">
        <is>
          <t>Y</t>
        </is>
      </c>
      <c r="V24" s="25" t="inlineStr">
        <is>
          <t>Y</t>
        </is>
      </c>
      <c r="W24" s="25" t="inlineStr">
        <is>
          <t>N</t>
        </is>
      </c>
      <c r="X24" s="25" t="inlineStr"/>
      <c r="Y24" s="26" t="inlineStr">
        <is>
          <t>Interfaces resolved</t>
        </is>
      </c>
    </row>
    <row r="25">
      <c r="B25" s="24" t="inlineStr">
        <is>
          <t>A-301</t>
        </is>
      </c>
      <c r="C25" s="24" t="inlineStr">
        <is>
          <t>Architecture</t>
        </is>
      </c>
      <c r="D25" s="24" t="inlineStr"/>
      <c r="E25" s="25" t="inlineStr">
        <is>
          <t>ZZ</t>
        </is>
      </c>
      <c r="F25" s="26" t="inlineStr">
        <is>
          <t>Full drawing set (100%) and details</t>
        </is>
      </c>
      <c r="G25" s="24" t="inlineStr">
        <is>
          <t>Drawing</t>
        </is>
      </c>
      <c r="H25" s="25" t="inlineStr">
        <is>
          <t>DR</t>
        </is>
      </c>
      <c r="I25" s="24" t="inlineStr">
        <is>
          <t>2.3 Deliverable C</t>
        </is>
      </c>
      <c r="J25" s="25" t="inlineStr">
        <is>
          <t>350</t>
        </is>
      </c>
      <c r="K25" s="24" t="inlineStr">
        <is>
          <t>PDF/DWG</t>
        </is>
      </c>
      <c r="L25" s="25" t="inlineStr">
        <is>
          <t>S4</t>
        </is>
      </c>
      <c r="M25" s="25" t="inlineStr">
        <is>
          <t>Shared</t>
        </is>
      </c>
      <c r="N25" s="25" t="n">
        <v>8</v>
      </c>
      <c r="O25" s="25" t="n">
        <v>8</v>
      </c>
      <c r="P25" s="27" t="n"/>
      <c r="Q25" s="27" t="n"/>
      <c r="R25" s="24" t="n"/>
      <c r="S25" s="24" t="inlineStr">
        <is>
          <t>Architecture lead</t>
        </is>
      </c>
      <c r="T25" s="24" t="inlineStr">
        <is>
          <t>TIDP-A</t>
        </is>
      </c>
      <c r="U25" s="25" t="inlineStr">
        <is>
          <t>Y</t>
        </is>
      </c>
      <c r="V25" s="25" t="inlineStr">
        <is>
          <t>Y</t>
        </is>
      </c>
      <c r="W25" s="25" t="inlineStr">
        <is>
          <t>N</t>
        </is>
      </c>
      <c r="X25" s="25" t="inlineStr"/>
      <c r="Y25" s="26" t="inlineStr"/>
    </row>
    <row r="26">
      <c r="B26" s="24" t="inlineStr">
        <is>
          <t>A-302</t>
        </is>
      </c>
      <c r="C26" s="24" t="inlineStr">
        <is>
          <t>Architecture</t>
        </is>
      </c>
      <c r="D26" s="24" t="inlineStr"/>
      <c r="E26" s="25" t="inlineStr">
        <is>
          <t>ZZ</t>
        </is>
      </c>
      <c r="F26" s="26" t="inlineStr">
        <is>
          <t>Room data sheets (complete)</t>
        </is>
      </c>
      <c r="G26" s="24" t="inlineStr">
        <is>
          <t>Room data sheet</t>
        </is>
      </c>
      <c r="H26" s="25" t="inlineStr">
        <is>
          <t>RD</t>
        </is>
      </c>
      <c r="I26" s="24" t="inlineStr">
        <is>
          <t>2.3 Deliverable C</t>
        </is>
      </c>
      <c r="J26" s="25" t="inlineStr">
        <is>
          <t>350</t>
        </is>
      </c>
      <c r="K26" s="24" t="inlineStr">
        <is>
          <t>PDF</t>
        </is>
      </c>
      <c r="L26" s="25" t="inlineStr">
        <is>
          <t>S4</t>
        </is>
      </c>
      <c r="M26" s="25" t="inlineStr">
        <is>
          <t>Shared</t>
        </is>
      </c>
      <c r="N26" s="25" t="n">
        <v>8</v>
      </c>
      <c r="O26" s="25" t="n">
        <v>8</v>
      </c>
      <c r="P26" s="27" t="n"/>
      <c r="Q26" s="27" t="n"/>
      <c r="R26" s="24" t="n"/>
      <c r="S26" s="24" t="inlineStr">
        <is>
          <t>Architecture lead</t>
        </is>
      </c>
      <c r="T26" s="24" t="inlineStr">
        <is>
          <t>TIDP-A</t>
        </is>
      </c>
      <c r="U26" s="25" t="inlineStr">
        <is>
          <t>N</t>
        </is>
      </c>
      <c r="V26" s="25" t="inlineStr">
        <is>
          <t>N</t>
        </is>
      </c>
      <c r="W26" s="25" t="inlineStr">
        <is>
          <t>N</t>
        </is>
      </c>
      <c r="X26" s="25" t="inlineStr"/>
      <c r="Y26" s="26" t="inlineStr">
        <is>
          <t>Generated from the reconciled Fohlio data</t>
        </is>
      </c>
    </row>
    <row r="27">
      <c r="B27" s="24" t="inlineStr">
        <is>
          <t>A-500</t>
        </is>
      </c>
      <c r="C27" s="24" t="inlineStr">
        <is>
          <t>Architecture</t>
        </is>
      </c>
      <c r="D27" s="24" t="inlineStr"/>
      <c r="E27" s="25" t="inlineStr">
        <is>
          <t>ZZ</t>
        </is>
      </c>
      <c r="F27" s="26" t="inlineStr">
        <is>
          <t>Construction-stage model (revisions tracked)</t>
        </is>
      </c>
      <c r="G27" s="24" t="inlineStr">
        <is>
          <t>Model</t>
        </is>
      </c>
      <c r="H27" s="25" t="inlineStr">
        <is>
          <t>M3</t>
        </is>
      </c>
      <c r="I27" s="24" t="inlineStr">
        <is>
          <t>3.1 Construction</t>
        </is>
      </c>
      <c r="J27" s="25" t="inlineStr">
        <is>
          <t>400</t>
        </is>
      </c>
      <c r="K27" s="24" t="inlineStr">
        <is>
          <t>RVT/IFC</t>
        </is>
      </c>
      <c r="L27" s="25" t="inlineStr">
        <is>
          <t>A1</t>
        </is>
      </c>
      <c r="M27" s="25" t="inlineStr">
        <is>
          <t>Published</t>
        </is>
      </c>
      <c r="N27" s="25" t="n">
        <v>12</v>
      </c>
      <c r="O27" s="25" t="n">
        <v>43</v>
      </c>
      <c r="P27" s="27" t="n"/>
      <c r="Q27" s="27" t="n"/>
      <c r="R27" s="24" t="n"/>
      <c r="S27" s="24" t="inlineStr">
        <is>
          <t>Architecture lead</t>
        </is>
      </c>
      <c r="T27" s="24" t="inlineStr">
        <is>
          <t>TIDP-A</t>
        </is>
      </c>
      <c r="U27" s="25" t="inlineStr">
        <is>
          <t>Y</t>
        </is>
      </c>
      <c r="V27" s="25" t="inlineStr">
        <is>
          <t>Y</t>
        </is>
      </c>
      <c r="W27" s="25" t="inlineStr">
        <is>
          <t>N</t>
        </is>
      </c>
      <c r="X27" s="25" t="inlineStr"/>
      <c r="Y27" s="26" t="inlineStr"/>
    </row>
    <row r="28">
      <c r="B28" s="24" t="inlineStr">
        <is>
          <t>A-700</t>
        </is>
      </c>
      <c r="C28" s="24" t="inlineStr">
        <is>
          <t>Architecture</t>
        </is>
      </c>
      <c r="D28" s="24" t="inlineStr"/>
      <c r="E28" s="25" t="inlineStr">
        <is>
          <t>ZZ</t>
        </is>
      </c>
      <c r="F28" s="26" t="inlineStr">
        <is>
          <t>As-built architectural model (LOD 500, verified)</t>
        </is>
      </c>
      <c r="G28" s="24" t="inlineStr">
        <is>
          <t>Model</t>
        </is>
      </c>
      <c r="H28" s="25" t="inlineStr">
        <is>
          <t>M3</t>
        </is>
      </c>
      <c r="I28" s="24" t="inlineStr">
        <is>
          <t>3.3 Deliverable D</t>
        </is>
      </c>
      <c r="J28" s="25" t="inlineStr">
        <is>
          <t>500</t>
        </is>
      </c>
      <c r="K28" s="24" t="inlineStr">
        <is>
          <t>RVT/IFC</t>
        </is>
      </c>
      <c r="L28" s="25" t="inlineStr">
        <is>
          <t>A1</t>
        </is>
      </c>
      <c r="M28" s="25" t="inlineStr">
        <is>
          <t>Published</t>
        </is>
      </c>
      <c r="N28" s="25" t="n">
        <v>48</v>
      </c>
      <c r="O28" s="25" t="n">
        <v>49</v>
      </c>
      <c r="P28" s="27" t="n"/>
      <c r="Q28" s="27" t="n"/>
      <c r="R28" s="24" t="n"/>
      <c r="S28" s="24" t="inlineStr">
        <is>
          <t>Architecture lead</t>
        </is>
      </c>
      <c r="T28" s="24" t="inlineStr">
        <is>
          <t>TIDP-A</t>
        </is>
      </c>
      <c r="U28" s="25" t="inlineStr">
        <is>
          <t>Y</t>
        </is>
      </c>
      <c r="V28" s="25" t="inlineStr">
        <is>
          <t>Y</t>
        </is>
      </c>
      <c r="W28" s="25" t="inlineStr">
        <is>
          <t>Y</t>
        </is>
      </c>
      <c r="X28" s="25" t="inlineStr"/>
      <c r="Y28" s="26" t="inlineStr">
        <is>
          <t>Authored by the design consultant from the Contractor as-built documentation; verified by the Information Manager</t>
        </is>
      </c>
    </row>
    <row r="29">
      <c r="B29" s="18" t="n"/>
      <c r="C29" s="18" t="n"/>
      <c r="D29" s="18" t="n"/>
      <c r="E29" s="18" t="n"/>
      <c r="F29" s="18" t="n"/>
      <c r="G29" s="18" t="n"/>
      <c r="H29" s="18" t="n"/>
      <c r="I29" s="18" t="n"/>
      <c r="J29" s="18" t="n"/>
      <c r="K29" s="18" t="n"/>
      <c r="L29" s="18" t="n"/>
      <c r="M29" s="18" t="n"/>
      <c r="N29" s="18" t="n"/>
      <c r="O29" s="18" t="n"/>
      <c r="P29" s="20" t="n"/>
      <c r="Q29" s="20" t="n"/>
      <c r="R29" s="18" t="n"/>
      <c r="S29" s="18" t="n"/>
      <c r="T29" s="18" t="n"/>
      <c r="U29" s="18" t="n"/>
      <c r="V29" s="18" t="n"/>
      <c r="W29" s="18" t="n"/>
      <c r="X29" s="18" t="n"/>
      <c r="Y29" s="18" t="n"/>
    </row>
    <row r="30">
      <c r="B30" s="18" t="n"/>
      <c r="C30" s="18" t="n"/>
      <c r="D30" s="18" t="n"/>
      <c r="E30" s="18" t="n"/>
      <c r="F30" s="18" t="n"/>
      <c r="G30" s="18" t="n"/>
      <c r="H30" s="18" t="n"/>
      <c r="I30" s="18" t="n"/>
      <c r="J30" s="18" t="n"/>
      <c r="K30" s="18" t="n"/>
      <c r="L30" s="18" t="n"/>
      <c r="M30" s="18" t="n"/>
      <c r="N30" s="18" t="n"/>
      <c r="O30" s="18" t="n"/>
      <c r="P30" s="20" t="n"/>
      <c r="Q30" s="20" t="n"/>
      <c r="R30" s="18" t="n"/>
      <c r="S30" s="18" t="n"/>
      <c r="T30" s="18" t="n"/>
      <c r="U30" s="18" t="n"/>
      <c r="V30" s="18" t="n"/>
      <c r="W30" s="18" t="n"/>
      <c r="X30" s="18" t="n"/>
      <c r="Y30" s="18" t="n"/>
    </row>
    <row r="31">
      <c r="B31" s="18" t="n"/>
      <c r="C31" s="18" t="n"/>
      <c r="D31" s="18" t="n"/>
      <c r="E31" s="18" t="n"/>
      <c r="F31" s="18" t="n"/>
      <c r="G31" s="18" t="n"/>
      <c r="H31" s="18" t="n"/>
      <c r="I31" s="18" t="n"/>
      <c r="J31" s="18" t="n"/>
      <c r="K31" s="18" t="n"/>
      <c r="L31" s="18" t="n"/>
      <c r="M31" s="18" t="n"/>
      <c r="N31" s="18" t="n"/>
      <c r="O31" s="18" t="n"/>
      <c r="P31" s="20" t="n"/>
      <c r="Q31" s="20" t="n"/>
      <c r="R31" s="18" t="n"/>
      <c r="S31" s="18" t="n"/>
      <c r="T31" s="18" t="n"/>
      <c r="U31" s="18" t="n"/>
      <c r="V31" s="18" t="n"/>
      <c r="W31" s="18" t="n"/>
      <c r="X31" s="18" t="n"/>
      <c r="Y31" s="18" t="n"/>
    </row>
    <row r="32">
      <c r="B32" s="18" t="n"/>
      <c r="C32" s="18" t="n"/>
      <c r="D32" s="18" t="n"/>
      <c r="E32" s="18" t="n"/>
      <c r="F32" s="18" t="n"/>
      <c r="G32" s="18" t="n"/>
      <c r="H32" s="18" t="n"/>
      <c r="I32" s="18" t="n"/>
      <c r="J32" s="18" t="n"/>
      <c r="K32" s="18" t="n"/>
      <c r="L32" s="18" t="n"/>
      <c r="M32" s="18" t="n"/>
      <c r="N32" s="18" t="n"/>
      <c r="O32" s="18" t="n"/>
      <c r="P32" s="20" t="n"/>
      <c r="Q32" s="20" t="n"/>
      <c r="R32" s="18" t="n"/>
      <c r="S32" s="18" t="n"/>
      <c r="T32" s="18" t="n"/>
      <c r="U32" s="18" t="n"/>
      <c r="V32" s="18" t="n"/>
      <c r="W32" s="18" t="n"/>
      <c r="X32" s="18" t="n"/>
      <c r="Y32" s="18" t="n"/>
    </row>
    <row r="33">
      <c r="B33" s="18" t="n"/>
      <c r="C33" s="18" t="n"/>
      <c r="D33" s="18" t="n"/>
      <c r="E33" s="18" t="n"/>
      <c r="F33" s="18" t="n"/>
      <c r="G33" s="18" t="n"/>
      <c r="H33" s="18" t="n"/>
      <c r="I33" s="18" t="n"/>
      <c r="J33" s="18" t="n"/>
      <c r="K33" s="18" t="n"/>
      <c r="L33" s="18" t="n"/>
      <c r="M33" s="18" t="n"/>
      <c r="N33" s="18" t="n"/>
      <c r="O33" s="18" t="n"/>
      <c r="P33" s="20" t="n"/>
      <c r="Q33" s="20" t="n"/>
      <c r="R33" s="18" t="n"/>
      <c r="S33" s="18" t="n"/>
      <c r="T33" s="18" t="n"/>
      <c r="U33" s="18" t="n"/>
      <c r="V33" s="18" t="n"/>
      <c r="W33" s="18" t="n"/>
      <c r="X33" s="18" t="n"/>
      <c r="Y33" s="18" t="n"/>
    </row>
    <row r="34">
      <c r="B34" s="18" t="n"/>
      <c r="C34" s="18" t="n"/>
      <c r="D34" s="18" t="n"/>
      <c r="E34" s="18" t="n"/>
      <c r="F34" s="18" t="n"/>
      <c r="G34" s="18" t="n"/>
      <c r="H34" s="18" t="n"/>
      <c r="I34" s="18" t="n"/>
      <c r="J34" s="18" t="n"/>
      <c r="K34" s="18" t="n"/>
      <c r="L34" s="18" t="n"/>
      <c r="M34" s="18" t="n"/>
      <c r="N34" s="18" t="n"/>
      <c r="O34" s="18" t="n"/>
      <c r="P34" s="20" t="n"/>
      <c r="Q34" s="20" t="n"/>
      <c r="R34" s="18" t="n"/>
      <c r="S34" s="18" t="n"/>
      <c r="T34" s="18" t="n"/>
      <c r="U34" s="18" t="n"/>
      <c r="V34" s="18" t="n"/>
      <c r="W34" s="18" t="n"/>
      <c r="X34" s="18" t="n"/>
      <c r="Y34" s="18" t="n"/>
    </row>
    <row r="35">
      <c r="B35" s="18" t="n"/>
      <c r="C35" s="18" t="n"/>
      <c r="D35" s="18" t="n"/>
      <c r="E35" s="18" t="n"/>
      <c r="F35" s="18" t="n"/>
      <c r="G35" s="18" t="n"/>
      <c r="H35" s="18" t="n"/>
      <c r="I35" s="18" t="n"/>
      <c r="J35" s="18" t="n"/>
      <c r="K35" s="18" t="n"/>
      <c r="L35" s="18" t="n"/>
      <c r="M35" s="18" t="n"/>
      <c r="N35" s="18" t="n"/>
      <c r="O35" s="18" t="n"/>
      <c r="P35" s="20" t="n"/>
      <c r="Q35" s="20" t="n"/>
      <c r="R35" s="18" t="n"/>
      <c r="S35" s="18" t="n"/>
      <c r="T35" s="18" t="n"/>
      <c r="U35" s="18" t="n"/>
      <c r="V35" s="18" t="n"/>
      <c r="W35" s="18" t="n"/>
      <c r="X35" s="18" t="n"/>
      <c r="Y35" s="18" t="n"/>
    </row>
    <row r="36">
      <c r="B36" s="18" t="n"/>
      <c r="C36" s="18" t="n"/>
      <c r="D36" s="18" t="n"/>
      <c r="E36" s="18" t="n"/>
      <c r="F36" s="18" t="n"/>
      <c r="G36" s="18" t="n"/>
      <c r="H36" s="18" t="n"/>
      <c r="I36" s="18" t="n"/>
      <c r="J36" s="18" t="n"/>
      <c r="K36" s="18" t="n"/>
      <c r="L36" s="18" t="n"/>
      <c r="M36" s="18" t="n"/>
      <c r="N36" s="18" t="n"/>
      <c r="O36" s="18" t="n"/>
      <c r="P36" s="20" t="n"/>
      <c r="Q36" s="20" t="n"/>
      <c r="R36" s="18" t="n"/>
      <c r="S36" s="18" t="n"/>
      <c r="T36" s="18" t="n"/>
      <c r="U36" s="18" t="n"/>
      <c r="V36" s="18" t="n"/>
      <c r="W36" s="18" t="n"/>
      <c r="X36" s="18" t="n"/>
      <c r="Y36" s="18" t="n"/>
    </row>
    <row r="37">
      <c r="B37" s="18" t="n"/>
      <c r="C37" s="18" t="n"/>
      <c r="D37" s="18" t="n"/>
      <c r="E37" s="18" t="n"/>
      <c r="F37" s="18" t="n"/>
      <c r="G37" s="18" t="n"/>
      <c r="H37" s="18" t="n"/>
      <c r="I37" s="18" t="n"/>
      <c r="J37" s="18" t="n"/>
      <c r="K37" s="18" t="n"/>
      <c r="L37" s="18" t="n"/>
      <c r="M37" s="18" t="n"/>
      <c r="N37" s="18" t="n"/>
      <c r="O37" s="18" t="n"/>
      <c r="P37" s="20" t="n"/>
      <c r="Q37" s="20" t="n"/>
      <c r="R37" s="18" t="n"/>
      <c r="S37" s="18" t="n"/>
      <c r="T37" s="18" t="n"/>
      <c r="U37" s="18" t="n"/>
      <c r="V37" s="18" t="n"/>
      <c r="W37" s="18" t="n"/>
      <c r="X37" s="18" t="n"/>
      <c r="Y37" s="18" t="n"/>
    </row>
    <row r="38">
      <c r="B38" s="18" t="n"/>
      <c r="C38" s="18" t="n"/>
      <c r="D38" s="18" t="n"/>
      <c r="E38" s="18" t="n"/>
      <c r="F38" s="18" t="n"/>
      <c r="G38" s="18" t="n"/>
      <c r="H38" s="18" t="n"/>
      <c r="I38" s="18" t="n"/>
      <c r="J38" s="18" t="n"/>
      <c r="K38" s="18" t="n"/>
      <c r="L38" s="18" t="n"/>
      <c r="M38" s="18" t="n"/>
      <c r="N38" s="18" t="n"/>
      <c r="O38" s="18" t="n"/>
      <c r="P38" s="20" t="n"/>
      <c r="Q38" s="20" t="n"/>
      <c r="R38" s="18" t="n"/>
      <c r="S38" s="18" t="n"/>
      <c r="T38" s="18" t="n"/>
      <c r="U38" s="18" t="n"/>
      <c r="V38" s="18" t="n"/>
      <c r="W38" s="18" t="n"/>
      <c r="X38" s="18" t="n"/>
      <c r="Y38" s="18" t="n"/>
    </row>
    <row r="39">
      <c r="B39" s="18" t="n"/>
      <c r="C39" s="18" t="n"/>
      <c r="D39" s="18" t="n"/>
      <c r="E39" s="18" t="n"/>
      <c r="F39" s="18" t="n"/>
      <c r="G39" s="18" t="n"/>
      <c r="H39" s="18" t="n"/>
      <c r="I39" s="18" t="n"/>
      <c r="J39" s="18" t="n"/>
      <c r="K39" s="18" t="n"/>
      <c r="L39" s="18" t="n"/>
      <c r="M39" s="18" t="n"/>
      <c r="N39" s="18" t="n"/>
      <c r="O39" s="18" t="n"/>
      <c r="P39" s="20" t="n"/>
      <c r="Q39" s="20" t="n"/>
      <c r="R39" s="18" t="n"/>
      <c r="S39" s="18" t="n"/>
      <c r="T39" s="18" t="n"/>
      <c r="U39" s="18" t="n"/>
      <c r="V39" s="18" t="n"/>
      <c r="W39" s="18" t="n"/>
      <c r="X39" s="18" t="n"/>
      <c r="Y39" s="18" t="n"/>
    </row>
    <row r="40">
      <c r="B40" s="18" t="n"/>
      <c r="C40" s="18" t="n"/>
      <c r="D40" s="18" t="n"/>
      <c r="E40" s="18" t="n"/>
      <c r="F40" s="18" t="n"/>
      <c r="G40" s="18" t="n"/>
      <c r="H40" s="18" t="n"/>
      <c r="I40" s="18" t="n"/>
      <c r="J40" s="18" t="n"/>
      <c r="K40" s="18" t="n"/>
      <c r="L40" s="18" t="n"/>
      <c r="M40" s="18" t="n"/>
      <c r="N40" s="18" t="n"/>
      <c r="O40" s="18" t="n"/>
      <c r="P40" s="20" t="n"/>
      <c r="Q40" s="20" t="n"/>
      <c r="R40" s="18" t="n"/>
      <c r="S40" s="18" t="n"/>
      <c r="T40" s="18" t="n"/>
      <c r="U40" s="18" t="n"/>
      <c r="V40" s="18" t="n"/>
      <c r="W40" s="18" t="n"/>
      <c r="X40" s="18" t="n"/>
      <c r="Y40" s="18" t="n"/>
    </row>
    <row r="41">
      <c r="B41" s="18" t="n"/>
      <c r="C41" s="18" t="n"/>
      <c r="D41" s="18" t="n"/>
      <c r="E41" s="18" t="n"/>
      <c r="F41" s="18" t="n"/>
      <c r="G41" s="18" t="n"/>
      <c r="H41" s="18" t="n"/>
      <c r="I41" s="18" t="n"/>
      <c r="J41" s="18" t="n"/>
      <c r="K41" s="18" t="n"/>
      <c r="L41" s="18" t="n"/>
      <c r="M41" s="18" t="n"/>
      <c r="N41" s="18" t="n"/>
      <c r="O41" s="18" t="n"/>
      <c r="P41" s="20" t="n"/>
      <c r="Q41" s="20" t="n"/>
      <c r="R41" s="18" t="n"/>
      <c r="S41" s="18" t="n"/>
      <c r="T41" s="18" t="n"/>
      <c r="U41" s="18" t="n"/>
      <c r="V41" s="18" t="n"/>
      <c r="W41" s="18" t="n"/>
      <c r="X41" s="18" t="n"/>
      <c r="Y41" s="18" t="n"/>
    </row>
    <row r="42">
      <c r="B42" s="18" t="n"/>
      <c r="C42" s="18" t="n"/>
      <c r="D42" s="18" t="n"/>
      <c r="E42" s="18" t="n"/>
      <c r="F42" s="18" t="n"/>
      <c r="G42" s="18" t="n"/>
      <c r="H42" s="18" t="n"/>
      <c r="I42" s="18" t="n"/>
      <c r="J42" s="18" t="n"/>
      <c r="K42" s="18" t="n"/>
      <c r="L42" s="18" t="n"/>
      <c r="M42" s="18" t="n"/>
      <c r="N42" s="18" t="n"/>
      <c r="O42" s="18" t="n"/>
      <c r="P42" s="20" t="n"/>
      <c r="Q42" s="20" t="n"/>
      <c r="R42" s="18" t="n"/>
      <c r="S42" s="18" t="n"/>
      <c r="T42" s="18" t="n"/>
      <c r="U42" s="18" t="n"/>
      <c r="V42" s="18" t="n"/>
      <c r="W42" s="18" t="n"/>
      <c r="X42" s="18" t="n"/>
      <c r="Y42" s="18" t="n"/>
    </row>
    <row r="43">
      <c r="B43" s="18" t="n"/>
      <c r="C43" s="18" t="n"/>
      <c r="D43" s="18" t="n"/>
      <c r="E43" s="18" t="n"/>
      <c r="F43" s="18" t="n"/>
      <c r="G43" s="18" t="n"/>
      <c r="H43" s="18" t="n"/>
      <c r="I43" s="18" t="n"/>
      <c r="J43" s="18" t="n"/>
      <c r="K43" s="18" t="n"/>
      <c r="L43" s="18" t="n"/>
      <c r="M43" s="18" t="n"/>
      <c r="N43" s="18" t="n"/>
      <c r="O43" s="18" t="n"/>
      <c r="P43" s="20" t="n"/>
      <c r="Q43" s="20" t="n"/>
      <c r="R43" s="18" t="n"/>
      <c r="S43" s="18" t="n"/>
      <c r="T43" s="18" t="n"/>
      <c r="U43" s="18" t="n"/>
      <c r="V43" s="18" t="n"/>
      <c r="W43" s="18" t="n"/>
      <c r="X43" s="18" t="n"/>
      <c r="Y43" s="18" t="n"/>
    </row>
  </sheetData>
  <autoFilter ref="A16:X43"/>
  <mergeCells count="1">
    <mergeCell ref="B4:H5"/>
  </mergeCells>
  <dataValidations count="12">
    <dataValidation sqref="C17:C43" showDropDown="0" showInputMessage="0" showErrorMessage="0" allowBlank="1" type="list">
      <formula1>'Lists'!$A$2:$A$30</formula1>
    </dataValidation>
    <dataValidation sqref="E17:E43" showDropDown="0" showInputMessage="0" showErrorMessage="0" allowBlank="1" type="list">
      <formula1>'Lists'!$I$2:$I$30</formula1>
    </dataValidation>
    <dataValidation sqref="G17:G43" showDropDown="0" showInputMessage="0" showErrorMessage="0" allowBlank="1" type="list">
      <formula1>'Lists'!$C$2:$C$30</formula1>
    </dataValidation>
    <dataValidation sqref="H17:H43" showDropDown="0" showInputMessage="0" showErrorMessage="0" allowBlank="1" type="list">
      <formula1>'Lists'!$J$2:$J$30</formula1>
    </dataValidation>
    <dataValidation sqref="I17:I43" showDropDown="0" showInputMessage="0" showErrorMessage="0" allowBlank="1" type="list">
      <formula1>'Lists'!$D$2:$D$30</formula1>
    </dataValidation>
    <dataValidation sqref="J17:J43" showDropDown="0" showInputMessage="0" showErrorMessage="0" allowBlank="1" type="list">
      <formula1>'Lists'!$E$2:$E$30</formula1>
    </dataValidation>
    <dataValidation sqref="L17:L43" showDropDown="0" showInputMessage="0" showErrorMessage="0" allowBlank="1" type="list">
      <formula1>'Lists'!$F$2:$F$30</formula1>
    </dataValidation>
    <dataValidation sqref="M17:M43" showDropDown="0" showInputMessage="0" showErrorMessage="0" allowBlank="1" type="list">
      <formula1>'Lists'!$G$2:$G$30</formula1>
    </dataValidation>
    <dataValidation sqref="U17:U43" showDropDown="0" showInputMessage="0" showErrorMessage="0" allowBlank="1" type="list">
      <formula1>'Lists'!$K$2:$K$30</formula1>
    </dataValidation>
    <dataValidation sqref="V17:V43" showDropDown="0" showInputMessage="0" showErrorMessage="0" allowBlank="1" type="list">
      <formula1>'Lists'!$K$2:$K$30</formula1>
    </dataValidation>
    <dataValidation sqref="W17:W43" showDropDown="0" showInputMessage="0" showErrorMessage="0" allowBlank="1" type="list">
      <formula1>'Lists'!$K$2:$K$30</formula1>
    </dataValidation>
    <dataValidation sqref="X17:X43" showDropDown="0" showInputMessage="0" showErrorMessage="0" allowBlank="1" type="list">
      <formula1>'Lists'!$H$2:$H$30</formula1>
    </dataValidation>
  </dataValidations>
  <hyperlinks>
    <hyperlink xmlns:r="http://schemas.openxmlformats.org/officeDocument/2006/relationships" ref="A1" r:id="rId1"/>
  </hyperlinks>
  <pageMargins left="0.75" right="0.75" top="1" bottom="1" header="0.5" footer="0.5"/>
  <pageSetup orientation="landscape" fitToWidth="1"/>
  <headerFooter>
    <oddHeader>&amp;L&amp;"Calibri,Bold"&amp;9KAMPALA UGANDA TEMPLE&amp;C&amp;"Calibri,Bold"&amp;9&amp;A&amp;R&amp;9KUT-SMB-ZZ-ZZ-SH-Z-0001   Rev P01</oddHeader>
    <oddFooter>&amp;L&amp;9&amp;KC00000DRAFT - not issued (S0, work in progress)&amp;C&amp;8Symbion Consulting Group Studios - Information Manager&amp;R&amp;9&amp;A   Page &amp;P of &amp;N</oddFooter>
    <evenHeader/>
    <evenFooter/>
    <firstHeader/>
    <firstFooter/>
  </headerFooter>
</worksheet>
</file>

<file path=xl/worksheets/sheet6.xml><?xml version="1.0" encoding="utf-8"?>
<worksheet xmlns="http://schemas.openxmlformats.org/spreadsheetml/2006/main">
  <sheetPr>
    <tabColor rgb="00444F5C"/>
    <outlinePr summaryBelow="1" summaryRight="1"/>
    <pageSetUpPr fitToPage="1"/>
  </sheetPr>
  <dimension ref="A1:Y38"/>
  <sheetViews>
    <sheetView showGridLines="0" workbookViewId="0">
      <pane ySplit="16" topLeftCell="A17" activePane="bottomLeft" state="frozen"/>
      <selection pane="bottomLeft" activeCell="A1" sqref="A1"/>
    </sheetView>
  </sheetViews>
  <sheetFormatPr baseColWidth="8" defaultRowHeight="15"/>
  <cols>
    <col width="3" customWidth="1" min="1" max="1"/>
    <col width="10" customWidth="1" min="2" max="2"/>
    <col width="20" customWidth="1" min="3" max="3"/>
    <col width="12" customWidth="1" min="4" max="4"/>
    <col width="8" customWidth="1" min="5" max="5"/>
    <col width="44" customWidth="1" min="6" max="6"/>
    <col width="15" customWidth="1" min="7" max="7"/>
    <col width="10" customWidth="1" min="8" max="8"/>
    <col width="20" customWidth="1" min="9" max="9"/>
    <col width="7" customWidth="1" min="10" max="10"/>
    <col width="15" customWidth="1" min="11" max="11"/>
    <col width="11" customWidth="1" min="12" max="12"/>
    <col width="12" customWidth="1" min="13" max="13"/>
    <col width="11" customWidth="1" min="14" max="14"/>
    <col width="10" customWidth="1" min="15" max="15"/>
    <col width="13" customWidth="1" min="16" max="16"/>
    <col width="13" customWidth="1" min="17" max="17"/>
    <col width="14" customWidth="1" min="18" max="18"/>
    <col width="20" customWidth="1" min="19" max="19"/>
    <col width="10" customWidth="1" min="20" max="20"/>
    <col width="9" customWidth="1" min="21" max="21"/>
    <col width="9" customWidth="1" min="22" max="22"/>
    <col width="7" customWidth="1" min="23" max="23"/>
    <col width="11" customWidth="1" min="24" max="24"/>
    <col width="40" customWidth="1" min="25" max="25"/>
  </cols>
  <sheetData>
    <row r="1">
      <c r="A1" s="13" t="inlineStr">
        <is>
          <t>&lt; Cover</t>
        </is>
      </c>
    </row>
    <row r="2">
      <c r="B2" s="14" t="inlineStr">
        <is>
          <t>Task Information Delivery Plan — Structural</t>
        </is>
      </c>
    </row>
    <row r="4">
      <c r="B4" s="7" t="inlineStr">
        <is>
          <t>The deliverables below are those already assigned to you in the Master Information Delivery Plan. Confirm the planned dates, add any deliverable your scope requires that is not listed, and return this sheet to the Information Manager. Rows are merged back into the register by reference. Use the drop-down lists; if a value you need is not offered, raise it rather than typing a variant.</t>
        </is>
      </c>
    </row>
    <row r="5"/>
    <row r="7">
      <c r="B7" s="4" t="inlineStr">
        <is>
          <t>Task Information Delivery Plan</t>
        </is>
      </c>
      <c r="C7" s="5" t="inlineStr">
        <is>
          <t>TIDP-S</t>
        </is>
      </c>
    </row>
    <row r="8">
      <c r="B8" s="4" t="inlineStr">
        <is>
          <t>Scope</t>
        </is>
      </c>
      <c r="C8" s="5" t="inlineStr">
        <is>
          <t>Structural</t>
        </is>
      </c>
    </row>
    <row r="9">
      <c r="B9" s="4" t="inlineStr">
        <is>
          <t>Appointed party</t>
        </is>
      </c>
      <c r="C9" s="5" t="inlineStr">
        <is>
          <t>[FILL — structural engineer]</t>
        </is>
      </c>
    </row>
    <row r="10">
      <c r="B10" s="4" t="inlineStr">
        <is>
          <t>Originator code</t>
        </is>
      </c>
      <c r="C10" s="5" t="inlineStr">
        <is>
          <t>[FILL — once the register is issued]</t>
        </is>
      </c>
    </row>
    <row r="11">
      <c r="B11" s="4" t="inlineStr">
        <is>
          <t>Task Team Manager</t>
        </is>
      </c>
      <c r="C11" s="5" t="inlineStr">
        <is>
          <t>[FILL]</t>
        </is>
      </c>
    </row>
    <row r="12">
      <c r="B12" s="4" t="inlineStr">
        <is>
          <t>Contact</t>
        </is>
      </c>
      <c r="C12" s="5" t="inlineStr">
        <is>
          <t>[FILL]</t>
        </is>
      </c>
    </row>
    <row r="13">
      <c r="B13" s="4" t="inlineStr">
        <is>
          <t>Revision</t>
        </is>
      </c>
      <c r="C13" s="5" t="inlineStr">
        <is>
          <t>P01</t>
        </is>
      </c>
    </row>
    <row r="14">
      <c r="B14" s="4" t="inlineStr">
        <is>
          <t>Date</t>
        </is>
      </c>
      <c r="C14" s="5" t="inlineStr">
        <is>
          <t>[FILL]</t>
        </is>
      </c>
    </row>
    <row r="16" ht="30" customHeight="1">
      <c r="A16" s="17" t="n"/>
      <c r="B16" s="17" t="inlineStr">
        <is>
          <t>Ref</t>
        </is>
      </c>
      <c r="C16" s="17" t="inlineStr">
        <is>
          <t>Discipline</t>
        </is>
      </c>
      <c r="D16" s="17" t="inlineStr">
        <is>
          <t>Originator</t>
        </is>
      </c>
      <c r="E16" s="17" t="inlineStr">
        <is>
          <t>Volume</t>
        </is>
      </c>
      <c r="F16" s="17" t="inlineStr">
        <is>
          <t>Deliverable</t>
        </is>
      </c>
      <c r="G16" s="17" t="inlineStr">
        <is>
          <t>Type</t>
        </is>
      </c>
      <c r="H16" s="17" t="inlineStr">
        <is>
          <t>Type code</t>
        </is>
      </c>
      <c r="I16" s="17" t="inlineStr">
        <is>
          <t>Stage</t>
        </is>
      </c>
      <c r="J16" s="17" t="inlineStr">
        <is>
          <t>LOD</t>
        </is>
      </c>
      <c r="K16" s="17" t="inlineStr">
        <is>
          <t>Format</t>
        </is>
      </c>
      <c r="L16" s="17" t="inlineStr">
        <is>
          <t>Suitability</t>
        </is>
      </c>
      <c r="M16" s="17" t="inlineStr">
        <is>
          <t>CDE State</t>
        </is>
      </c>
      <c r="N16" s="17" t="inlineStr">
        <is>
          <t>Month from</t>
        </is>
      </c>
      <c r="O16" s="17" t="inlineStr">
        <is>
          <t>Month to</t>
        </is>
      </c>
      <c r="P16" s="17" t="inlineStr">
        <is>
          <t>Planned date</t>
        </is>
      </c>
      <c r="Q16" s="17" t="inlineStr">
        <is>
          <t>Actual date</t>
        </is>
      </c>
      <c r="R16" s="17" t="inlineStr">
        <is>
          <t>Variance (days)</t>
        </is>
      </c>
      <c r="S16" s="17" t="inlineStr">
        <is>
          <t>Responsible</t>
        </is>
      </c>
      <c r="T16" s="17" t="inlineStr">
        <is>
          <t>TIDP ref</t>
        </is>
      </c>
      <c r="U16" s="17" t="inlineStr">
        <is>
          <t>Critical</t>
        </is>
      </c>
      <c r="V16" s="17" t="inlineStr">
        <is>
          <t>As-built</t>
        </is>
      </c>
      <c r="W16" s="17" t="inlineStr">
        <is>
          <t>O&amp;M</t>
        </is>
      </c>
      <c r="X16" s="17" t="inlineStr">
        <is>
          <t>RAG</t>
        </is>
      </c>
      <c r="Y16" s="17" t="inlineStr">
        <is>
          <t>Notes</t>
        </is>
      </c>
    </row>
    <row r="17">
      <c r="B17" s="24" t="inlineStr">
        <is>
          <t>S-100</t>
        </is>
      </c>
      <c r="C17" s="24" t="inlineStr">
        <is>
          <t>Structure</t>
        </is>
      </c>
      <c r="D17" s="24" t="inlineStr"/>
      <c r="E17" s="25" t="inlineStr">
        <is>
          <t>ZZ</t>
        </is>
      </c>
      <c r="F17" s="26" t="inlineStr">
        <is>
          <t>Structural model</t>
        </is>
      </c>
      <c r="G17" s="24" t="inlineStr">
        <is>
          <t>Model</t>
        </is>
      </c>
      <c r="H17" s="25" t="inlineStr">
        <is>
          <t>M3</t>
        </is>
      </c>
      <c r="I17" s="24" t="inlineStr">
        <is>
          <t>2.1 Deliverable A</t>
        </is>
      </c>
      <c r="J17" s="25" t="inlineStr">
        <is>
          <t>200</t>
        </is>
      </c>
      <c r="K17" s="24" t="inlineStr">
        <is>
          <t>RVT/IFC</t>
        </is>
      </c>
      <c r="L17" s="25" t="inlineStr">
        <is>
          <t>S2</t>
        </is>
      </c>
      <c r="M17" s="25" t="inlineStr">
        <is>
          <t>Shared</t>
        </is>
      </c>
      <c r="N17" s="25" t="n">
        <v>1</v>
      </c>
      <c r="O17" s="25" t="n">
        <v>1</v>
      </c>
      <c r="P17" s="27" t="n"/>
      <c r="Q17" s="27" t="n"/>
      <c r="R17" s="24" t="n"/>
      <c r="S17" s="24" t="inlineStr">
        <is>
          <t>Structural lead</t>
        </is>
      </c>
      <c r="T17" s="24" t="inlineStr">
        <is>
          <t>TIDP-S</t>
        </is>
      </c>
      <c r="U17" s="25" t="inlineStr">
        <is>
          <t>Y</t>
        </is>
      </c>
      <c r="V17" s="25" t="inlineStr">
        <is>
          <t>Y</t>
        </is>
      </c>
      <c r="W17" s="25" t="inlineStr">
        <is>
          <t>N</t>
        </is>
      </c>
      <c r="X17" s="25" t="inlineStr"/>
      <c r="Y17" s="26" t="inlineStr">
        <is>
          <t>Indicative frame and foundations</t>
        </is>
      </c>
    </row>
    <row r="18">
      <c r="B18" s="24" t="inlineStr">
        <is>
          <t>S-200</t>
        </is>
      </c>
      <c r="C18" s="24" t="inlineStr">
        <is>
          <t>Structure</t>
        </is>
      </c>
      <c r="D18" s="24" t="inlineStr"/>
      <c r="E18" s="25" t="inlineStr">
        <is>
          <t>ZZ</t>
        </is>
      </c>
      <c r="F18" s="26" t="inlineStr">
        <is>
          <t>Structural model</t>
        </is>
      </c>
      <c r="G18" s="24" t="inlineStr">
        <is>
          <t>Model</t>
        </is>
      </c>
      <c r="H18" s="25" t="inlineStr">
        <is>
          <t>M3</t>
        </is>
      </c>
      <c r="I18" s="24" t="inlineStr">
        <is>
          <t>2.2 Deliverable B</t>
        </is>
      </c>
      <c r="J18" s="25" t="inlineStr">
        <is>
          <t>300</t>
        </is>
      </c>
      <c r="K18" s="24" t="inlineStr">
        <is>
          <t>RVT/IFC</t>
        </is>
      </c>
      <c r="L18" s="25" t="inlineStr">
        <is>
          <t>S2</t>
        </is>
      </c>
      <c r="M18" s="25" t="inlineStr">
        <is>
          <t>Shared</t>
        </is>
      </c>
      <c r="N18" s="25" t="n">
        <v>2</v>
      </c>
      <c r="O18" s="25" t="n">
        <v>4</v>
      </c>
      <c r="P18" s="27" t="n"/>
      <c r="Q18" s="27" t="n"/>
      <c r="R18" s="24" t="n"/>
      <c r="S18" s="24" t="inlineStr">
        <is>
          <t>Structural lead</t>
        </is>
      </c>
      <c r="T18" s="24" t="inlineStr">
        <is>
          <t>TIDP-S</t>
        </is>
      </c>
      <c r="U18" s="25" t="inlineStr">
        <is>
          <t>Y</t>
        </is>
      </c>
      <c r="V18" s="25" t="inlineStr">
        <is>
          <t>Y</t>
        </is>
      </c>
      <c r="W18" s="25" t="inlineStr">
        <is>
          <t>N</t>
        </is>
      </c>
      <c r="X18" s="25" t="inlineStr"/>
      <c r="Y18" s="26" t="inlineStr">
        <is>
          <t>Sized members; penetrations coordinated</t>
        </is>
      </c>
    </row>
    <row r="19">
      <c r="B19" s="24" t="inlineStr">
        <is>
          <t>S-201</t>
        </is>
      </c>
      <c r="C19" s="24" t="inlineStr">
        <is>
          <t>Structure</t>
        </is>
      </c>
      <c r="D19" s="24" t="inlineStr"/>
      <c r="E19" s="25" t="inlineStr">
        <is>
          <t>ZZ</t>
        </is>
      </c>
      <c r="F19" s="26" t="inlineStr">
        <is>
          <t>General arrangement drawings (50%)</t>
        </is>
      </c>
      <c r="G19" s="24" t="inlineStr">
        <is>
          <t>Drawing</t>
        </is>
      </c>
      <c r="H19" s="25" t="inlineStr">
        <is>
          <t>DR</t>
        </is>
      </c>
      <c r="I19" s="24" t="inlineStr">
        <is>
          <t>2.2 Deliverable B</t>
        </is>
      </c>
      <c r="J19" s="25" t="inlineStr">
        <is>
          <t>300</t>
        </is>
      </c>
      <c r="K19" s="24" t="inlineStr">
        <is>
          <t>PDF/DWG</t>
        </is>
      </c>
      <c r="L19" s="25" t="inlineStr">
        <is>
          <t>S2</t>
        </is>
      </c>
      <c r="M19" s="25" t="inlineStr">
        <is>
          <t>Shared</t>
        </is>
      </c>
      <c r="N19" s="25" t="n">
        <v>4</v>
      </c>
      <c r="O19" s="25" t="n">
        <v>4</v>
      </c>
      <c r="P19" s="27" t="n"/>
      <c r="Q19" s="27" t="n"/>
      <c r="R19" s="24" t="n"/>
      <c r="S19" s="24" t="inlineStr">
        <is>
          <t>Structural lead</t>
        </is>
      </c>
      <c r="T19" s="24" t="inlineStr">
        <is>
          <t>TIDP-S</t>
        </is>
      </c>
      <c r="U19" s="25" t="inlineStr">
        <is>
          <t>N</t>
        </is>
      </c>
      <c r="V19" s="25" t="inlineStr">
        <is>
          <t>Y</t>
        </is>
      </c>
      <c r="W19" s="25" t="inlineStr">
        <is>
          <t>N</t>
        </is>
      </c>
      <c r="X19" s="25" t="inlineStr"/>
      <c r="Y19" s="26" t="inlineStr"/>
    </row>
    <row r="20">
      <c r="B20" s="24" t="inlineStr">
        <is>
          <t>S-300</t>
        </is>
      </c>
      <c r="C20" s="24" t="inlineStr">
        <is>
          <t>Structure</t>
        </is>
      </c>
      <c r="D20" s="24" t="inlineStr"/>
      <c r="E20" s="25" t="inlineStr">
        <is>
          <t>ZZ</t>
        </is>
      </c>
      <c r="F20" s="26" t="inlineStr">
        <is>
          <t>Structural model</t>
        </is>
      </c>
      <c r="G20" s="24" t="inlineStr">
        <is>
          <t>Model</t>
        </is>
      </c>
      <c r="H20" s="25" t="inlineStr">
        <is>
          <t>M3</t>
        </is>
      </c>
      <c r="I20" s="24" t="inlineStr">
        <is>
          <t>2.3 Deliverable C</t>
        </is>
      </c>
      <c r="J20" s="25" t="inlineStr">
        <is>
          <t>350</t>
        </is>
      </c>
      <c r="K20" s="24" t="inlineStr">
        <is>
          <t>RVT/IFC</t>
        </is>
      </c>
      <c r="L20" s="25" t="inlineStr">
        <is>
          <t>S4</t>
        </is>
      </c>
      <c r="M20" s="25" t="inlineStr">
        <is>
          <t>Shared</t>
        </is>
      </c>
      <c r="N20" s="25" t="n">
        <v>5</v>
      </c>
      <c r="O20" s="25" t="n">
        <v>8</v>
      </c>
      <c r="P20" s="27" t="n"/>
      <c r="Q20" s="27" t="n"/>
      <c r="R20" s="24" t="n"/>
      <c r="S20" s="24" t="inlineStr">
        <is>
          <t>Structural lead</t>
        </is>
      </c>
      <c r="T20" s="24" t="inlineStr">
        <is>
          <t>TIDP-S</t>
        </is>
      </c>
      <c r="U20" s="25" t="inlineStr">
        <is>
          <t>Y</t>
        </is>
      </c>
      <c r="V20" s="25" t="inlineStr">
        <is>
          <t>Y</t>
        </is>
      </c>
      <c r="W20" s="25" t="inlineStr">
        <is>
          <t>N</t>
        </is>
      </c>
      <c r="X20" s="25" t="inlineStr"/>
      <c r="Y20" s="26" t="inlineStr">
        <is>
          <t>Connections resolved</t>
        </is>
      </c>
    </row>
    <row r="21">
      <c r="B21" s="24" t="inlineStr">
        <is>
          <t>S-301</t>
        </is>
      </c>
      <c r="C21" s="24" t="inlineStr">
        <is>
          <t>Structure</t>
        </is>
      </c>
      <c r="D21" s="24" t="inlineStr"/>
      <c r="E21" s="25" t="inlineStr">
        <is>
          <t>ZZ</t>
        </is>
      </c>
      <c r="F21" s="26" t="inlineStr">
        <is>
          <t>Structural drawing set (100%)</t>
        </is>
      </c>
      <c r="G21" s="24" t="inlineStr">
        <is>
          <t>Drawing</t>
        </is>
      </c>
      <c r="H21" s="25" t="inlineStr">
        <is>
          <t>DR</t>
        </is>
      </c>
      <c r="I21" s="24" t="inlineStr">
        <is>
          <t>2.3 Deliverable C</t>
        </is>
      </c>
      <c r="J21" s="25" t="inlineStr">
        <is>
          <t>350</t>
        </is>
      </c>
      <c r="K21" s="24" t="inlineStr">
        <is>
          <t>PDF/DWG</t>
        </is>
      </c>
      <c r="L21" s="25" t="inlineStr">
        <is>
          <t>S4</t>
        </is>
      </c>
      <c r="M21" s="25" t="inlineStr">
        <is>
          <t>Shared</t>
        </is>
      </c>
      <c r="N21" s="25" t="n">
        <v>8</v>
      </c>
      <c r="O21" s="25" t="n">
        <v>8</v>
      </c>
      <c r="P21" s="27" t="n"/>
      <c r="Q21" s="27" t="n"/>
      <c r="R21" s="24" t="n"/>
      <c r="S21" s="24" t="inlineStr">
        <is>
          <t>Structural lead</t>
        </is>
      </c>
      <c r="T21" s="24" t="inlineStr">
        <is>
          <t>TIDP-S</t>
        </is>
      </c>
      <c r="U21" s="25" t="inlineStr">
        <is>
          <t>Y</t>
        </is>
      </c>
      <c r="V21" s="25" t="inlineStr">
        <is>
          <t>Y</t>
        </is>
      </c>
      <c r="W21" s="25" t="inlineStr">
        <is>
          <t>N</t>
        </is>
      </c>
      <c r="X21" s="25" t="inlineStr"/>
      <c r="Y21" s="26" t="inlineStr"/>
    </row>
    <row r="22">
      <c r="B22" s="24" t="inlineStr">
        <is>
          <t>S-500</t>
        </is>
      </c>
      <c r="C22" s="24" t="inlineStr">
        <is>
          <t>Structure</t>
        </is>
      </c>
      <c r="D22" s="24" t="inlineStr"/>
      <c r="E22" s="25" t="inlineStr">
        <is>
          <t>ZZ</t>
        </is>
      </c>
      <c r="F22" s="26" t="inlineStr">
        <is>
          <t>Construction-stage model (revisions tracked)</t>
        </is>
      </c>
      <c r="G22" s="24" t="inlineStr">
        <is>
          <t>Model</t>
        </is>
      </c>
      <c r="H22" s="25" t="inlineStr">
        <is>
          <t>M3</t>
        </is>
      </c>
      <c r="I22" s="24" t="inlineStr">
        <is>
          <t>3.1 Construction</t>
        </is>
      </c>
      <c r="J22" s="25" t="inlineStr">
        <is>
          <t>400</t>
        </is>
      </c>
      <c r="K22" s="24" t="inlineStr">
        <is>
          <t>RVT/IFC</t>
        </is>
      </c>
      <c r="L22" s="25" t="inlineStr">
        <is>
          <t>A1</t>
        </is>
      </c>
      <c r="M22" s="25" t="inlineStr">
        <is>
          <t>Published</t>
        </is>
      </c>
      <c r="N22" s="25" t="n">
        <v>12</v>
      </c>
      <c r="O22" s="25" t="n">
        <v>43</v>
      </c>
      <c r="P22" s="27" t="n"/>
      <c r="Q22" s="27" t="n"/>
      <c r="R22" s="24" t="n"/>
      <c r="S22" s="24" t="inlineStr">
        <is>
          <t>Structural lead</t>
        </is>
      </c>
      <c r="T22" s="24" t="inlineStr">
        <is>
          <t>TIDP-S</t>
        </is>
      </c>
      <c r="U22" s="25" t="inlineStr">
        <is>
          <t>Y</t>
        </is>
      </c>
      <c r="V22" s="25" t="inlineStr">
        <is>
          <t>Y</t>
        </is>
      </c>
      <c r="W22" s="25" t="inlineStr">
        <is>
          <t>N</t>
        </is>
      </c>
      <c r="X22" s="25" t="inlineStr"/>
      <c r="Y22" s="26" t="inlineStr"/>
    </row>
    <row r="23">
      <c r="B23" s="24" t="inlineStr">
        <is>
          <t>S-700</t>
        </is>
      </c>
      <c r="C23" s="24" t="inlineStr">
        <is>
          <t>Structure</t>
        </is>
      </c>
      <c r="D23" s="24" t="inlineStr"/>
      <c r="E23" s="25" t="inlineStr">
        <is>
          <t>ZZ</t>
        </is>
      </c>
      <c r="F23" s="26" t="inlineStr">
        <is>
          <t>As-built structural model (LOD 500, verified)</t>
        </is>
      </c>
      <c r="G23" s="24" t="inlineStr">
        <is>
          <t>Model</t>
        </is>
      </c>
      <c r="H23" s="25" t="inlineStr">
        <is>
          <t>M3</t>
        </is>
      </c>
      <c r="I23" s="24" t="inlineStr">
        <is>
          <t>3.3 Deliverable D</t>
        </is>
      </c>
      <c r="J23" s="25" t="inlineStr">
        <is>
          <t>500</t>
        </is>
      </c>
      <c r="K23" s="24" t="inlineStr">
        <is>
          <t>RVT/IFC</t>
        </is>
      </c>
      <c r="L23" s="25" t="inlineStr">
        <is>
          <t>A1</t>
        </is>
      </c>
      <c r="M23" s="25" t="inlineStr">
        <is>
          <t>Published</t>
        </is>
      </c>
      <c r="N23" s="25" t="n">
        <v>48</v>
      </c>
      <c r="O23" s="25" t="n">
        <v>49</v>
      </c>
      <c r="P23" s="27" t="n"/>
      <c r="Q23" s="27" t="n"/>
      <c r="R23" s="24" t="n"/>
      <c r="S23" s="24" t="inlineStr">
        <is>
          <t>Structural lead</t>
        </is>
      </c>
      <c r="T23" s="24" t="inlineStr">
        <is>
          <t>TIDP-S</t>
        </is>
      </c>
      <c r="U23" s="25" t="inlineStr">
        <is>
          <t>Y</t>
        </is>
      </c>
      <c r="V23" s="25" t="inlineStr">
        <is>
          <t>Y</t>
        </is>
      </c>
      <c r="W23" s="25" t="inlineStr">
        <is>
          <t>Y</t>
        </is>
      </c>
      <c r="X23" s="25" t="inlineStr"/>
      <c r="Y23" s="26" t="inlineStr">
        <is>
          <t>Authored by the design consultant from the Contractor as-built documentation; verified by the Information Manager</t>
        </is>
      </c>
    </row>
    <row r="24">
      <c r="B24" s="18" t="n"/>
      <c r="C24" s="18" t="n"/>
      <c r="D24" s="18" t="n"/>
      <c r="E24" s="18" t="n"/>
      <c r="F24" s="18" t="n"/>
      <c r="G24" s="18" t="n"/>
      <c r="H24" s="18" t="n"/>
      <c r="I24" s="18" t="n"/>
      <c r="J24" s="18" t="n"/>
      <c r="K24" s="18" t="n"/>
      <c r="L24" s="18" t="n"/>
      <c r="M24" s="18" t="n"/>
      <c r="N24" s="18" t="n"/>
      <c r="O24" s="18" t="n"/>
      <c r="P24" s="20" t="n"/>
      <c r="Q24" s="20" t="n"/>
      <c r="R24" s="18" t="n"/>
      <c r="S24" s="18" t="n"/>
      <c r="T24" s="18" t="n"/>
      <c r="U24" s="18" t="n"/>
      <c r="V24" s="18" t="n"/>
      <c r="W24" s="18" t="n"/>
      <c r="X24" s="18" t="n"/>
      <c r="Y24" s="18" t="n"/>
    </row>
    <row r="25">
      <c r="B25" s="18" t="n"/>
      <c r="C25" s="18" t="n"/>
      <c r="D25" s="18" t="n"/>
      <c r="E25" s="18" t="n"/>
      <c r="F25" s="18" t="n"/>
      <c r="G25" s="18" t="n"/>
      <c r="H25" s="18" t="n"/>
      <c r="I25" s="18" t="n"/>
      <c r="J25" s="18" t="n"/>
      <c r="K25" s="18" t="n"/>
      <c r="L25" s="18" t="n"/>
      <c r="M25" s="18" t="n"/>
      <c r="N25" s="18" t="n"/>
      <c r="O25" s="18" t="n"/>
      <c r="P25" s="20" t="n"/>
      <c r="Q25" s="20" t="n"/>
      <c r="R25" s="18" t="n"/>
      <c r="S25" s="18" t="n"/>
      <c r="T25" s="18" t="n"/>
      <c r="U25" s="18" t="n"/>
      <c r="V25" s="18" t="n"/>
      <c r="W25" s="18" t="n"/>
      <c r="X25" s="18" t="n"/>
      <c r="Y25" s="18" t="n"/>
    </row>
    <row r="26">
      <c r="B26" s="18" t="n"/>
      <c r="C26" s="18" t="n"/>
      <c r="D26" s="18" t="n"/>
      <c r="E26" s="18" t="n"/>
      <c r="F26" s="18" t="n"/>
      <c r="G26" s="18" t="n"/>
      <c r="H26" s="18" t="n"/>
      <c r="I26" s="18" t="n"/>
      <c r="J26" s="18" t="n"/>
      <c r="K26" s="18" t="n"/>
      <c r="L26" s="18" t="n"/>
      <c r="M26" s="18" t="n"/>
      <c r="N26" s="18" t="n"/>
      <c r="O26" s="18" t="n"/>
      <c r="P26" s="20" t="n"/>
      <c r="Q26" s="20" t="n"/>
      <c r="R26" s="18" t="n"/>
      <c r="S26" s="18" t="n"/>
      <c r="T26" s="18" t="n"/>
      <c r="U26" s="18" t="n"/>
      <c r="V26" s="18" t="n"/>
      <c r="W26" s="18" t="n"/>
      <c r="X26" s="18" t="n"/>
      <c r="Y26" s="18" t="n"/>
    </row>
    <row r="27">
      <c r="B27" s="18" t="n"/>
      <c r="C27" s="18" t="n"/>
      <c r="D27" s="18" t="n"/>
      <c r="E27" s="18" t="n"/>
      <c r="F27" s="18" t="n"/>
      <c r="G27" s="18" t="n"/>
      <c r="H27" s="18" t="n"/>
      <c r="I27" s="18" t="n"/>
      <c r="J27" s="18" t="n"/>
      <c r="K27" s="18" t="n"/>
      <c r="L27" s="18" t="n"/>
      <c r="M27" s="18" t="n"/>
      <c r="N27" s="18" t="n"/>
      <c r="O27" s="18" t="n"/>
      <c r="P27" s="20" t="n"/>
      <c r="Q27" s="20" t="n"/>
      <c r="R27" s="18" t="n"/>
      <c r="S27" s="18" t="n"/>
      <c r="T27" s="18" t="n"/>
      <c r="U27" s="18" t="n"/>
      <c r="V27" s="18" t="n"/>
      <c r="W27" s="18" t="n"/>
      <c r="X27" s="18" t="n"/>
      <c r="Y27" s="18" t="n"/>
    </row>
    <row r="28">
      <c r="B28" s="18" t="n"/>
      <c r="C28" s="18" t="n"/>
      <c r="D28" s="18" t="n"/>
      <c r="E28" s="18" t="n"/>
      <c r="F28" s="18" t="n"/>
      <c r="G28" s="18" t="n"/>
      <c r="H28" s="18" t="n"/>
      <c r="I28" s="18" t="n"/>
      <c r="J28" s="18" t="n"/>
      <c r="K28" s="18" t="n"/>
      <c r="L28" s="18" t="n"/>
      <c r="M28" s="18" t="n"/>
      <c r="N28" s="18" t="n"/>
      <c r="O28" s="18" t="n"/>
      <c r="P28" s="20" t="n"/>
      <c r="Q28" s="20" t="n"/>
      <c r="R28" s="18" t="n"/>
      <c r="S28" s="18" t="n"/>
      <c r="T28" s="18" t="n"/>
      <c r="U28" s="18" t="n"/>
      <c r="V28" s="18" t="n"/>
      <c r="W28" s="18" t="n"/>
      <c r="X28" s="18" t="n"/>
      <c r="Y28" s="18" t="n"/>
    </row>
    <row r="29">
      <c r="B29" s="18" t="n"/>
      <c r="C29" s="18" t="n"/>
      <c r="D29" s="18" t="n"/>
      <c r="E29" s="18" t="n"/>
      <c r="F29" s="18" t="n"/>
      <c r="G29" s="18" t="n"/>
      <c r="H29" s="18" t="n"/>
      <c r="I29" s="18" t="n"/>
      <c r="J29" s="18" t="n"/>
      <c r="K29" s="18" t="n"/>
      <c r="L29" s="18" t="n"/>
      <c r="M29" s="18" t="n"/>
      <c r="N29" s="18" t="n"/>
      <c r="O29" s="18" t="n"/>
      <c r="P29" s="20" t="n"/>
      <c r="Q29" s="20" t="n"/>
      <c r="R29" s="18" t="n"/>
      <c r="S29" s="18" t="n"/>
      <c r="T29" s="18" t="n"/>
      <c r="U29" s="18" t="n"/>
      <c r="V29" s="18" t="n"/>
      <c r="W29" s="18" t="n"/>
      <c r="X29" s="18" t="n"/>
      <c r="Y29" s="18" t="n"/>
    </row>
    <row r="30">
      <c r="B30" s="18" t="n"/>
      <c r="C30" s="18" t="n"/>
      <c r="D30" s="18" t="n"/>
      <c r="E30" s="18" t="n"/>
      <c r="F30" s="18" t="n"/>
      <c r="G30" s="18" t="n"/>
      <c r="H30" s="18" t="n"/>
      <c r="I30" s="18" t="n"/>
      <c r="J30" s="18" t="n"/>
      <c r="K30" s="18" t="n"/>
      <c r="L30" s="18" t="n"/>
      <c r="M30" s="18" t="n"/>
      <c r="N30" s="18" t="n"/>
      <c r="O30" s="18" t="n"/>
      <c r="P30" s="20" t="n"/>
      <c r="Q30" s="20" t="n"/>
      <c r="R30" s="18" t="n"/>
      <c r="S30" s="18" t="n"/>
      <c r="T30" s="18" t="n"/>
      <c r="U30" s="18" t="n"/>
      <c r="V30" s="18" t="n"/>
      <c r="W30" s="18" t="n"/>
      <c r="X30" s="18" t="n"/>
      <c r="Y30" s="18" t="n"/>
    </row>
    <row r="31">
      <c r="B31" s="18" t="n"/>
      <c r="C31" s="18" t="n"/>
      <c r="D31" s="18" t="n"/>
      <c r="E31" s="18" t="n"/>
      <c r="F31" s="18" t="n"/>
      <c r="G31" s="18" t="n"/>
      <c r="H31" s="18" t="n"/>
      <c r="I31" s="18" t="n"/>
      <c r="J31" s="18" t="n"/>
      <c r="K31" s="18" t="n"/>
      <c r="L31" s="18" t="n"/>
      <c r="M31" s="18" t="n"/>
      <c r="N31" s="18" t="n"/>
      <c r="O31" s="18" t="n"/>
      <c r="P31" s="20" t="n"/>
      <c r="Q31" s="20" t="n"/>
      <c r="R31" s="18" t="n"/>
      <c r="S31" s="18" t="n"/>
      <c r="T31" s="18" t="n"/>
      <c r="U31" s="18" t="n"/>
      <c r="V31" s="18" t="n"/>
      <c r="W31" s="18" t="n"/>
      <c r="X31" s="18" t="n"/>
      <c r="Y31" s="18" t="n"/>
    </row>
    <row r="32">
      <c r="B32" s="18" t="n"/>
      <c r="C32" s="18" t="n"/>
      <c r="D32" s="18" t="n"/>
      <c r="E32" s="18" t="n"/>
      <c r="F32" s="18" t="n"/>
      <c r="G32" s="18" t="n"/>
      <c r="H32" s="18" t="n"/>
      <c r="I32" s="18" t="n"/>
      <c r="J32" s="18" t="n"/>
      <c r="K32" s="18" t="n"/>
      <c r="L32" s="18" t="n"/>
      <c r="M32" s="18" t="n"/>
      <c r="N32" s="18" t="n"/>
      <c r="O32" s="18" t="n"/>
      <c r="P32" s="20" t="n"/>
      <c r="Q32" s="20" t="n"/>
      <c r="R32" s="18" t="n"/>
      <c r="S32" s="18" t="n"/>
      <c r="T32" s="18" t="n"/>
      <c r="U32" s="18" t="n"/>
      <c r="V32" s="18" t="n"/>
      <c r="W32" s="18" t="n"/>
      <c r="X32" s="18" t="n"/>
      <c r="Y32" s="18" t="n"/>
    </row>
    <row r="33">
      <c r="B33" s="18" t="n"/>
      <c r="C33" s="18" t="n"/>
      <c r="D33" s="18" t="n"/>
      <c r="E33" s="18" t="n"/>
      <c r="F33" s="18" t="n"/>
      <c r="G33" s="18" t="n"/>
      <c r="H33" s="18" t="n"/>
      <c r="I33" s="18" t="n"/>
      <c r="J33" s="18" t="n"/>
      <c r="K33" s="18" t="n"/>
      <c r="L33" s="18" t="n"/>
      <c r="M33" s="18" t="n"/>
      <c r="N33" s="18" t="n"/>
      <c r="O33" s="18" t="n"/>
      <c r="P33" s="20" t="n"/>
      <c r="Q33" s="20" t="n"/>
      <c r="R33" s="18" t="n"/>
      <c r="S33" s="18" t="n"/>
      <c r="T33" s="18" t="n"/>
      <c r="U33" s="18" t="n"/>
      <c r="V33" s="18" t="n"/>
      <c r="W33" s="18" t="n"/>
      <c r="X33" s="18" t="n"/>
      <c r="Y33" s="18" t="n"/>
    </row>
    <row r="34">
      <c r="B34" s="18" t="n"/>
      <c r="C34" s="18" t="n"/>
      <c r="D34" s="18" t="n"/>
      <c r="E34" s="18" t="n"/>
      <c r="F34" s="18" t="n"/>
      <c r="G34" s="18" t="n"/>
      <c r="H34" s="18" t="n"/>
      <c r="I34" s="18" t="n"/>
      <c r="J34" s="18" t="n"/>
      <c r="K34" s="18" t="n"/>
      <c r="L34" s="18" t="n"/>
      <c r="M34" s="18" t="n"/>
      <c r="N34" s="18" t="n"/>
      <c r="O34" s="18" t="n"/>
      <c r="P34" s="20" t="n"/>
      <c r="Q34" s="20" t="n"/>
      <c r="R34" s="18" t="n"/>
      <c r="S34" s="18" t="n"/>
      <c r="T34" s="18" t="n"/>
      <c r="U34" s="18" t="n"/>
      <c r="V34" s="18" t="n"/>
      <c r="W34" s="18" t="n"/>
      <c r="X34" s="18" t="n"/>
      <c r="Y34" s="18" t="n"/>
    </row>
    <row r="35">
      <c r="B35" s="18" t="n"/>
      <c r="C35" s="18" t="n"/>
      <c r="D35" s="18" t="n"/>
      <c r="E35" s="18" t="n"/>
      <c r="F35" s="18" t="n"/>
      <c r="G35" s="18" t="n"/>
      <c r="H35" s="18" t="n"/>
      <c r="I35" s="18" t="n"/>
      <c r="J35" s="18" t="n"/>
      <c r="K35" s="18" t="n"/>
      <c r="L35" s="18" t="n"/>
      <c r="M35" s="18" t="n"/>
      <c r="N35" s="18" t="n"/>
      <c r="O35" s="18" t="n"/>
      <c r="P35" s="20" t="n"/>
      <c r="Q35" s="20" t="n"/>
      <c r="R35" s="18" t="n"/>
      <c r="S35" s="18" t="n"/>
      <c r="T35" s="18" t="n"/>
      <c r="U35" s="18" t="n"/>
      <c r="V35" s="18" t="n"/>
      <c r="W35" s="18" t="n"/>
      <c r="X35" s="18" t="n"/>
      <c r="Y35" s="18" t="n"/>
    </row>
    <row r="36">
      <c r="B36" s="18" t="n"/>
      <c r="C36" s="18" t="n"/>
      <c r="D36" s="18" t="n"/>
      <c r="E36" s="18" t="n"/>
      <c r="F36" s="18" t="n"/>
      <c r="G36" s="18" t="n"/>
      <c r="H36" s="18" t="n"/>
      <c r="I36" s="18" t="n"/>
      <c r="J36" s="18" t="n"/>
      <c r="K36" s="18" t="n"/>
      <c r="L36" s="18" t="n"/>
      <c r="M36" s="18" t="n"/>
      <c r="N36" s="18" t="n"/>
      <c r="O36" s="18" t="n"/>
      <c r="P36" s="20" t="n"/>
      <c r="Q36" s="20" t="n"/>
      <c r="R36" s="18" t="n"/>
      <c r="S36" s="18" t="n"/>
      <c r="T36" s="18" t="n"/>
      <c r="U36" s="18" t="n"/>
      <c r="V36" s="18" t="n"/>
      <c r="W36" s="18" t="n"/>
      <c r="X36" s="18" t="n"/>
      <c r="Y36" s="18" t="n"/>
    </row>
    <row r="37">
      <c r="B37" s="18" t="n"/>
      <c r="C37" s="18" t="n"/>
      <c r="D37" s="18" t="n"/>
      <c r="E37" s="18" t="n"/>
      <c r="F37" s="18" t="n"/>
      <c r="G37" s="18" t="n"/>
      <c r="H37" s="18" t="n"/>
      <c r="I37" s="18" t="n"/>
      <c r="J37" s="18" t="n"/>
      <c r="K37" s="18" t="n"/>
      <c r="L37" s="18" t="n"/>
      <c r="M37" s="18" t="n"/>
      <c r="N37" s="18" t="n"/>
      <c r="O37" s="18" t="n"/>
      <c r="P37" s="20" t="n"/>
      <c r="Q37" s="20" t="n"/>
      <c r="R37" s="18" t="n"/>
      <c r="S37" s="18" t="n"/>
      <c r="T37" s="18" t="n"/>
      <c r="U37" s="18" t="n"/>
      <c r="V37" s="18" t="n"/>
      <c r="W37" s="18" t="n"/>
      <c r="X37" s="18" t="n"/>
      <c r="Y37" s="18" t="n"/>
    </row>
    <row r="38">
      <c r="B38" s="18" t="n"/>
      <c r="C38" s="18" t="n"/>
      <c r="D38" s="18" t="n"/>
      <c r="E38" s="18" t="n"/>
      <c r="F38" s="18" t="n"/>
      <c r="G38" s="18" t="n"/>
      <c r="H38" s="18" t="n"/>
      <c r="I38" s="18" t="n"/>
      <c r="J38" s="18" t="n"/>
      <c r="K38" s="18" t="n"/>
      <c r="L38" s="18" t="n"/>
      <c r="M38" s="18" t="n"/>
      <c r="N38" s="18" t="n"/>
      <c r="O38" s="18" t="n"/>
      <c r="P38" s="20" t="n"/>
      <c r="Q38" s="20" t="n"/>
      <c r="R38" s="18" t="n"/>
      <c r="S38" s="18" t="n"/>
      <c r="T38" s="18" t="n"/>
      <c r="U38" s="18" t="n"/>
      <c r="V38" s="18" t="n"/>
      <c r="W38" s="18" t="n"/>
      <c r="X38" s="18" t="n"/>
      <c r="Y38" s="18" t="n"/>
    </row>
  </sheetData>
  <autoFilter ref="A16:X38"/>
  <mergeCells count="1">
    <mergeCell ref="B4:H5"/>
  </mergeCells>
  <dataValidations count="12">
    <dataValidation sqref="C17:C38" showDropDown="0" showInputMessage="0" showErrorMessage="0" allowBlank="1" type="list">
      <formula1>'Lists'!$A$2:$A$30</formula1>
    </dataValidation>
    <dataValidation sqref="E17:E38" showDropDown="0" showInputMessage="0" showErrorMessage="0" allowBlank="1" type="list">
      <formula1>'Lists'!$I$2:$I$30</formula1>
    </dataValidation>
    <dataValidation sqref="G17:G38" showDropDown="0" showInputMessage="0" showErrorMessage="0" allowBlank="1" type="list">
      <formula1>'Lists'!$C$2:$C$30</formula1>
    </dataValidation>
    <dataValidation sqref="H17:H38" showDropDown="0" showInputMessage="0" showErrorMessage="0" allowBlank="1" type="list">
      <formula1>'Lists'!$J$2:$J$30</formula1>
    </dataValidation>
    <dataValidation sqref="I17:I38" showDropDown="0" showInputMessage="0" showErrorMessage="0" allowBlank="1" type="list">
      <formula1>'Lists'!$D$2:$D$30</formula1>
    </dataValidation>
    <dataValidation sqref="J17:J38" showDropDown="0" showInputMessage="0" showErrorMessage="0" allowBlank="1" type="list">
      <formula1>'Lists'!$E$2:$E$30</formula1>
    </dataValidation>
    <dataValidation sqref="L17:L38" showDropDown="0" showInputMessage="0" showErrorMessage="0" allowBlank="1" type="list">
      <formula1>'Lists'!$F$2:$F$30</formula1>
    </dataValidation>
    <dataValidation sqref="M17:M38" showDropDown="0" showInputMessage="0" showErrorMessage="0" allowBlank="1" type="list">
      <formula1>'Lists'!$G$2:$G$30</formula1>
    </dataValidation>
    <dataValidation sqref="U17:U38" showDropDown="0" showInputMessage="0" showErrorMessage="0" allowBlank="1" type="list">
      <formula1>'Lists'!$K$2:$K$30</formula1>
    </dataValidation>
    <dataValidation sqref="V17:V38" showDropDown="0" showInputMessage="0" showErrorMessage="0" allowBlank="1" type="list">
      <formula1>'Lists'!$K$2:$K$30</formula1>
    </dataValidation>
    <dataValidation sqref="W17:W38" showDropDown="0" showInputMessage="0" showErrorMessage="0" allowBlank="1" type="list">
      <formula1>'Lists'!$K$2:$K$30</formula1>
    </dataValidation>
    <dataValidation sqref="X17:X38" showDropDown="0" showInputMessage="0" showErrorMessage="0" allowBlank="1" type="list">
      <formula1>'Lists'!$H$2:$H$30</formula1>
    </dataValidation>
  </dataValidations>
  <hyperlinks>
    <hyperlink xmlns:r="http://schemas.openxmlformats.org/officeDocument/2006/relationships" ref="A1" r:id="rId1"/>
  </hyperlinks>
  <pageMargins left="0.75" right="0.75" top="1" bottom="1" header="0.5" footer="0.5"/>
  <pageSetup orientation="landscape" fitToWidth="1"/>
  <headerFooter>
    <oddHeader>&amp;L&amp;"Calibri,Bold"&amp;9KAMPALA UGANDA TEMPLE&amp;C&amp;"Calibri,Bold"&amp;9&amp;A&amp;R&amp;9KUT-SMB-ZZ-ZZ-SH-Z-0001   Rev P01</oddHeader>
    <oddFooter>&amp;L&amp;9&amp;KC00000DRAFT - not issued (S0, work in progress)&amp;C&amp;8Symbion Consulting Group Studios - Information Manager&amp;R&amp;9&amp;A   Page &amp;P of &amp;N</oddFooter>
    <evenHeader/>
    <evenFooter/>
    <firstHeader/>
    <firstFooter/>
  </headerFooter>
</worksheet>
</file>

<file path=xl/worksheets/sheet7.xml><?xml version="1.0" encoding="utf-8"?>
<worksheet xmlns="http://schemas.openxmlformats.org/spreadsheetml/2006/main">
  <sheetPr>
    <tabColor rgb="00444F5C"/>
    <outlinePr summaryBelow="1" summaryRight="1"/>
    <pageSetUpPr fitToPage="1"/>
  </sheetPr>
  <dimension ref="A1:Y41"/>
  <sheetViews>
    <sheetView showGridLines="0" workbookViewId="0">
      <pane ySplit="16" topLeftCell="A17" activePane="bottomLeft" state="frozen"/>
      <selection pane="bottomLeft" activeCell="A1" sqref="A1"/>
    </sheetView>
  </sheetViews>
  <sheetFormatPr baseColWidth="8" defaultRowHeight="15"/>
  <cols>
    <col width="3" customWidth="1" min="1" max="1"/>
    <col width="10" customWidth="1" min="2" max="2"/>
    <col width="20" customWidth="1" min="3" max="3"/>
    <col width="12" customWidth="1" min="4" max="4"/>
    <col width="8" customWidth="1" min="5" max="5"/>
    <col width="44" customWidth="1" min="6" max="6"/>
    <col width="15" customWidth="1" min="7" max="7"/>
    <col width="10" customWidth="1" min="8" max="8"/>
    <col width="20" customWidth="1" min="9" max="9"/>
    <col width="7" customWidth="1" min="10" max="10"/>
    <col width="15" customWidth="1" min="11" max="11"/>
    <col width="11" customWidth="1" min="12" max="12"/>
    <col width="12" customWidth="1" min="13" max="13"/>
    <col width="11" customWidth="1" min="14" max="14"/>
    <col width="10" customWidth="1" min="15" max="15"/>
    <col width="13" customWidth="1" min="16" max="16"/>
    <col width="13" customWidth="1" min="17" max="17"/>
    <col width="14" customWidth="1" min="18" max="18"/>
    <col width="20" customWidth="1" min="19" max="19"/>
    <col width="10" customWidth="1" min="20" max="20"/>
    <col width="9" customWidth="1" min="21" max="21"/>
    <col width="9" customWidth="1" min="22" max="22"/>
    <col width="7" customWidth="1" min="23" max="23"/>
    <col width="11" customWidth="1" min="24" max="24"/>
    <col width="40" customWidth="1" min="25" max="25"/>
  </cols>
  <sheetData>
    <row r="1">
      <c r="A1" s="13" t="inlineStr">
        <is>
          <t>&lt; Cover</t>
        </is>
      </c>
    </row>
    <row r="2">
      <c r="B2" s="14" t="inlineStr">
        <is>
          <t>Task Information Delivery Plan — Mechanical</t>
        </is>
      </c>
    </row>
    <row r="4">
      <c r="B4" s="7" t="inlineStr">
        <is>
          <t>The deliverables below are those already assigned to you in the Master Information Delivery Plan. Confirm the planned dates, add any deliverable your scope requires that is not listed, and return this sheet to the Information Manager. Rows are merged back into the register by reference. Use the drop-down lists; if a value you need is not offered, raise it rather than typing a variant.</t>
        </is>
      </c>
    </row>
    <row r="5"/>
    <row r="7">
      <c r="B7" s="4" t="inlineStr">
        <is>
          <t>Task Information Delivery Plan</t>
        </is>
      </c>
      <c r="C7" s="5" t="inlineStr">
        <is>
          <t>TIDP-M</t>
        </is>
      </c>
    </row>
    <row r="8">
      <c r="B8" s="4" t="inlineStr">
        <is>
          <t>Scope</t>
        </is>
      </c>
      <c r="C8" s="5" t="inlineStr">
        <is>
          <t>Mechanical</t>
        </is>
      </c>
    </row>
    <row r="9">
      <c r="B9" s="4" t="inlineStr">
        <is>
          <t>Appointed party</t>
        </is>
      </c>
      <c r="C9" s="5" t="inlineStr">
        <is>
          <t>[FILL — MEP engineer]</t>
        </is>
      </c>
    </row>
    <row r="10">
      <c r="B10" s="4" t="inlineStr">
        <is>
          <t>Originator code</t>
        </is>
      </c>
      <c r="C10" s="5" t="inlineStr">
        <is>
          <t>[FILL — once the register is issued]</t>
        </is>
      </c>
    </row>
    <row r="11">
      <c r="B11" s="4" t="inlineStr">
        <is>
          <t>Task Team Manager</t>
        </is>
      </c>
      <c r="C11" s="5" t="inlineStr">
        <is>
          <t>[FILL]</t>
        </is>
      </c>
    </row>
    <row r="12">
      <c r="B12" s="4" t="inlineStr">
        <is>
          <t>Contact</t>
        </is>
      </c>
      <c r="C12" s="5" t="inlineStr">
        <is>
          <t>[FILL]</t>
        </is>
      </c>
    </row>
    <row r="13">
      <c r="B13" s="4" t="inlineStr">
        <is>
          <t>Revision</t>
        </is>
      </c>
      <c r="C13" s="5" t="inlineStr">
        <is>
          <t>P01</t>
        </is>
      </c>
    </row>
    <row r="14">
      <c r="B14" s="4" t="inlineStr">
        <is>
          <t>Date</t>
        </is>
      </c>
      <c r="C14" s="5" t="inlineStr">
        <is>
          <t>[FILL]</t>
        </is>
      </c>
    </row>
    <row r="16" ht="30" customHeight="1">
      <c r="A16" s="17" t="n"/>
      <c r="B16" s="17" t="inlineStr">
        <is>
          <t>Ref</t>
        </is>
      </c>
      <c r="C16" s="17" t="inlineStr">
        <is>
          <t>Discipline</t>
        </is>
      </c>
      <c r="D16" s="17" t="inlineStr">
        <is>
          <t>Originator</t>
        </is>
      </c>
      <c r="E16" s="17" t="inlineStr">
        <is>
          <t>Volume</t>
        </is>
      </c>
      <c r="F16" s="17" t="inlineStr">
        <is>
          <t>Deliverable</t>
        </is>
      </c>
      <c r="G16" s="17" t="inlineStr">
        <is>
          <t>Type</t>
        </is>
      </c>
      <c r="H16" s="17" t="inlineStr">
        <is>
          <t>Type code</t>
        </is>
      </c>
      <c r="I16" s="17" t="inlineStr">
        <is>
          <t>Stage</t>
        </is>
      </c>
      <c r="J16" s="17" t="inlineStr">
        <is>
          <t>LOD</t>
        </is>
      </c>
      <c r="K16" s="17" t="inlineStr">
        <is>
          <t>Format</t>
        </is>
      </c>
      <c r="L16" s="17" t="inlineStr">
        <is>
          <t>Suitability</t>
        </is>
      </c>
      <c r="M16" s="17" t="inlineStr">
        <is>
          <t>CDE State</t>
        </is>
      </c>
      <c r="N16" s="17" t="inlineStr">
        <is>
          <t>Month from</t>
        </is>
      </c>
      <c r="O16" s="17" t="inlineStr">
        <is>
          <t>Month to</t>
        </is>
      </c>
      <c r="P16" s="17" t="inlineStr">
        <is>
          <t>Planned date</t>
        </is>
      </c>
      <c r="Q16" s="17" t="inlineStr">
        <is>
          <t>Actual date</t>
        </is>
      </c>
      <c r="R16" s="17" t="inlineStr">
        <is>
          <t>Variance (days)</t>
        </is>
      </c>
      <c r="S16" s="17" t="inlineStr">
        <is>
          <t>Responsible</t>
        </is>
      </c>
      <c r="T16" s="17" t="inlineStr">
        <is>
          <t>TIDP ref</t>
        </is>
      </c>
      <c r="U16" s="17" t="inlineStr">
        <is>
          <t>Critical</t>
        </is>
      </c>
      <c r="V16" s="17" t="inlineStr">
        <is>
          <t>As-built</t>
        </is>
      </c>
      <c r="W16" s="17" t="inlineStr">
        <is>
          <t>O&amp;M</t>
        </is>
      </c>
      <c r="X16" s="17" t="inlineStr">
        <is>
          <t>RAG</t>
        </is>
      </c>
      <c r="Y16" s="17" t="inlineStr">
        <is>
          <t>Notes</t>
        </is>
      </c>
    </row>
    <row r="17">
      <c r="B17" s="24" t="inlineStr">
        <is>
          <t>M-100</t>
        </is>
      </c>
      <c r="C17" s="24" t="inlineStr">
        <is>
          <t>Mechanical</t>
        </is>
      </c>
      <c r="D17" s="24" t="inlineStr"/>
      <c r="E17" s="25" t="inlineStr">
        <is>
          <t>ZZ</t>
        </is>
      </c>
      <c r="F17" s="26" t="inlineStr">
        <is>
          <t>Mechanical model</t>
        </is>
      </c>
      <c r="G17" s="24" t="inlineStr">
        <is>
          <t>Model</t>
        </is>
      </c>
      <c r="H17" s="25" t="inlineStr">
        <is>
          <t>M3</t>
        </is>
      </c>
      <c r="I17" s="24" t="inlineStr">
        <is>
          <t>2.1 Deliverable A</t>
        </is>
      </c>
      <c r="J17" s="25" t="inlineStr">
        <is>
          <t>200</t>
        </is>
      </c>
      <c r="K17" s="24" t="inlineStr">
        <is>
          <t>RVT/IFC</t>
        </is>
      </c>
      <c r="L17" s="25" t="inlineStr">
        <is>
          <t>S2</t>
        </is>
      </c>
      <c r="M17" s="25" t="inlineStr">
        <is>
          <t>Shared</t>
        </is>
      </c>
      <c r="N17" s="25" t="n">
        <v>1</v>
      </c>
      <c r="O17" s="25" t="n">
        <v>1</v>
      </c>
      <c r="P17" s="27" t="n"/>
      <c r="Q17" s="27" t="n"/>
      <c r="R17" s="24" t="n"/>
      <c r="S17" s="24" t="inlineStr">
        <is>
          <t>MEP lead</t>
        </is>
      </c>
      <c r="T17" s="24" t="inlineStr">
        <is>
          <t>TIDP-M</t>
        </is>
      </c>
      <c r="U17" s="25" t="inlineStr">
        <is>
          <t>Y</t>
        </is>
      </c>
      <c r="V17" s="25" t="inlineStr">
        <is>
          <t>Y</t>
        </is>
      </c>
      <c r="W17" s="25" t="inlineStr">
        <is>
          <t>N</t>
        </is>
      </c>
      <c r="X17" s="25" t="inlineStr"/>
      <c r="Y17" s="26" t="inlineStr">
        <is>
          <t>Plant space allocation, primary routes</t>
        </is>
      </c>
    </row>
    <row r="18">
      <c r="B18" s="24" t="inlineStr">
        <is>
          <t>M-200</t>
        </is>
      </c>
      <c r="C18" s="24" t="inlineStr">
        <is>
          <t>Mechanical</t>
        </is>
      </c>
      <c r="D18" s="24" t="inlineStr"/>
      <c r="E18" s="25" t="inlineStr">
        <is>
          <t>ZZ</t>
        </is>
      </c>
      <c r="F18" s="26" t="inlineStr">
        <is>
          <t>Mechanical model</t>
        </is>
      </c>
      <c r="G18" s="24" t="inlineStr">
        <is>
          <t>Model</t>
        </is>
      </c>
      <c r="H18" s="25" t="inlineStr">
        <is>
          <t>M3</t>
        </is>
      </c>
      <c r="I18" s="24" t="inlineStr">
        <is>
          <t>2.2 Deliverable B</t>
        </is>
      </c>
      <c r="J18" s="25" t="inlineStr">
        <is>
          <t>300</t>
        </is>
      </c>
      <c r="K18" s="24" t="inlineStr">
        <is>
          <t>RVT/IFC</t>
        </is>
      </c>
      <c r="L18" s="25" t="inlineStr">
        <is>
          <t>S2</t>
        </is>
      </c>
      <c r="M18" s="25" t="inlineStr">
        <is>
          <t>Shared</t>
        </is>
      </c>
      <c r="N18" s="25" t="n">
        <v>2</v>
      </c>
      <c r="O18" s="25" t="n">
        <v>4</v>
      </c>
      <c r="P18" s="27" t="n"/>
      <c r="Q18" s="27" t="n"/>
      <c r="R18" s="24" t="n"/>
      <c r="S18" s="24" t="inlineStr">
        <is>
          <t>MEP lead</t>
        </is>
      </c>
      <c r="T18" s="24" t="inlineStr">
        <is>
          <t>TIDP-M</t>
        </is>
      </c>
      <c r="U18" s="25" t="inlineStr">
        <is>
          <t>Y</t>
        </is>
      </c>
      <c r="V18" s="25" t="inlineStr">
        <is>
          <t>Y</t>
        </is>
      </c>
      <c r="W18" s="25" t="inlineStr">
        <is>
          <t>N</t>
        </is>
      </c>
      <c r="X18" s="25" t="inlineStr"/>
      <c r="Y18" s="26" t="inlineStr">
        <is>
          <t>Real equipment; risers fixed</t>
        </is>
      </c>
    </row>
    <row r="19">
      <c r="B19" s="24" t="inlineStr">
        <is>
          <t>M-201</t>
        </is>
      </c>
      <c r="C19" s="24" t="inlineStr">
        <is>
          <t>Mechanical</t>
        </is>
      </c>
      <c r="D19" s="24" t="inlineStr"/>
      <c r="E19" s="25" t="inlineStr">
        <is>
          <t>ZZ</t>
        </is>
      </c>
      <c r="F19" s="26" t="inlineStr">
        <is>
          <t>HVAC layouts (50%)</t>
        </is>
      </c>
      <c r="G19" s="24" t="inlineStr">
        <is>
          <t>Drawing</t>
        </is>
      </c>
      <c r="H19" s="25" t="inlineStr">
        <is>
          <t>DR</t>
        </is>
      </c>
      <c r="I19" s="24" t="inlineStr">
        <is>
          <t>2.2 Deliverable B</t>
        </is>
      </c>
      <c r="J19" s="25" t="inlineStr">
        <is>
          <t>300</t>
        </is>
      </c>
      <c r="K19" s="24" t="inlineStr">
        <is>
          <t>PDF/DWG</t>
        </is>
      </c>
      <c r="L19" s="25" t="inlineStr">
        <is>
          <t>S2</t>
        </is>
      </c>
      <c r="M19" s="25" t="inlineStr">
        <is>
          <t>Shared</t>
        </is>
      </c>
      <c r="N19" s="25" t="n">
        <v>4</v>
      </c>
      <c r="O19" s="25" t="n">
        <v>4</v>
      </c>
      <c r="P19" s="27" t="n"/>
      <c r="Q19" s="27" t="n"/>
      <c r="R19" s="24" t="n"/>
      <c r="S19" s="24" t="inlineStr">
        <is>
          <t>MEP lead</t>
        </is>
      </c>
      <c r="T19" s="24" t="inlineStr">
        <is>
          <t>TIDP-M</t>
        </is>
      </c>
      <c r="U19" s="25" t="inlineStr">
        <is>
          <t>N</t>
        </is>
      </c>
      <c r="V19" s="25" t="inlineStr">
        <is>
          <t>Y</t>
        </is>
      </c>
      <c r="W19" s="25" t="inlineStr">
        <is>
          <t>N</t>
        </is>
      </c>
      <c r="X19" s="25" t="inlineStr"/>
      <c r="Y19" s="26" t="inlineStr"/>
    </row>
    <row r="20">
      <c r="B20" s="24" t="inlineStr">
        <is>
          <t>M-300</t>
        </is>
      </c>
      <c r="C20" s="24" t="inlineStr">
        <is>
          <t>Mechanical</t>
        </is>
      </c>
      <c r="D20" s="24" t="inlineStr"/>
      <c r="E20" s="25" t="inlineStr">
        <is>
          <t>ZZ</t>
        </is>
      </c>
      <c r="F20" s="26" t="inlineStr">
        <is>
          <t>Mechanical model</t>
        </is>
      </c>
      <c r="G20" s="24" t="inlineStr">
        <is>
          <t>Model</t>
        </is>
      </c>
      <c r="H20" s="25" t="inlineStr">
        <is>
          <t>M3</t>
        </is>
      </c>
      <c r="I20" s="24" t="inlineStr">
        <is>
          <t>2.3 Deliverable C</t>
        </is>
      </c>
      <c r="J20" s="25" t="inlineStr">
        <is>
          <t>350</t>
        </is>
      </c>
      <c r="K20" s="24" t="inlineStr">
        <is>
          <t>RVT/IFC</t>
        </is>
      </c>
      <c r="L20" s="25" t="inlineStr">
        <is>
          <t>S4</t>
        </is>
      </c>
      <c r="M20" s="25" t="inlineStr">
        <is>
          <t>Shared</t>
        </is>
      </c>
      <c r="N20" s="25" t="n">
        <v>5</v>
      </c>
      <c r="O20" s="25" t="n">
        <v>8</v>
      </c>
      <c r="P20" s="27" t="n"/>
      <c r="Q20" s="27" t="n"/>
      <c r="R20" s="24" t="n"/>
      <c r="S20" s="24" t="inlineStr">
        <is>
          <t>MEP lead</t>
        </is>
      </c>
      <c r="T20" s="24" t="inlineStr">
        <is>
          <t>TIDP-M</t>
        </is>
      </c>
      <c r="U20" s="25" t="inlineStr">
        <is>
          <t>Y</t>
        </is>
      </c>
      <c r="V20" s="25" t="inlineStr">
        <is>
          <t>Y</t>
        </is>
      </c>
      <c r="W20" s="25" t="inlineStr">
        <is>
          <t>N</t>
        </is>
      </c>
      <c r="X20" s="25" t="inlineStr"/>
      <c r="Y20" s="26" t="inlineStr">
        <is>
          <t>Systems complete and connected; equipment data</t>
        </is>
      </c>
    </row>
    <row r="21">
      <c r="B21" s="24" t="inlineStr">
        <is>
          <t>M-301</t>
        </is>
      </c>
      <c r="C21" s="24" t="inlineStr">
        <is>
          <t>Mechanical</t>
        </is>
      </c>
      <c r="D21" s="24" t="inlineStr"/>
      <c r="E21" s="25" t="inlineStr">
        <is>
          <t>ZZ</t>
        </is>
      </c>
      <c r="F21" s="26" t="inlineStr">
        <is>
          <t>HVAC drawing set (100%)</t>
        </is>
      </c>
      <c r="G21" s="24" t="inlineStr">
        <is>
          <t>Drawing</t>
        </is>
      </c>
      <c r="H21" s="25" t="inlineStr">
        <is>
          <t>DR</t>
        </is>
      </c>
      <c r="I21" s="24" t="inlineStr">
        <is>
          <t>2.3 Deliverable C</t>
        </is>
      </c>
      <c r="J21" s="25" t="inlineStr">
        <is>
          <t>350</t>
        </is>
      </c>
      <c r="K21" s="24" t="inlineStr">
        <is>
          <t>PDF/DWG</t>
        </is>
      </c>
      <c r="L21" s="25" t="inlineStr">
        <is>
          <t>S4</t>
        </is>
      </c>
      <c r="M21" s="25" t="inlineStr">
        <is>
          <t>Shared</t>
        </is>
      </c>
      <c r="N21" s="25" t="n">
        <v>8</v>
      </c>
      <c r="O21" s="25" t="n">
        <v>8</v>
      </c>
      <c r="P21" s="27" t="n"/>
      <c r="Q21" s="27" t="n"/>
      <c r="R21" s="24" t="n"/>
      <c r="S21" s="24" t="inlineStr">
        <is>
          <t>MEP lead</t>
        </is>
      </c>
      <c r="T21" s="24" t="inlineStr">
        <is>
          <t>TIDP-M</t>
        </is>
      </c>
      <c r="U21" s="25" t="inlineStr">
        <is>
          <t>Y</t>
        </is>
      </c>
      <c r="V21" s="25" t="inlineStr">
        <is>
          <t>Y</t>
        </is>
      </c>
      <c r="W21" s="25" t="inlineStr">
        <is>
          <t>N</t>
        </is>
      </c>
      <c r="X21" s="25" t="inlineStr"/>
      <c r="Y21" s="26" t="inlineStr"/>
    </row>
    <row r="22">
      <c r="B22" s="24" t="inlineStr">
        <is>
          <t>M-302</t>
        </is>
      </c>
      <c r="C22" s="24" t="inlineStr">
        <is>
          <t>Mechanical</t>
        </is>
      </c>
      <c r="D22" s="24" t="inlineStr"/>
      <c r="E22" s="25" t="inlineStr">
        <is>
          <t>ZZ</t>
        </is>
      </c>
      <c r="F22" s="26" t="inlineStr">
        <is>
          <t>HVAC load and sizing schedules</t>
        </is>
      </c>
      <c r="G22" s="24" t="inlineStr">
        <is>
          <t>Schedule</t>
        </is>
      </c>
      <c r="H22" s="25" t="inlineStr">
        <is>
          <t>SH</t>
        </is>
      </c>
      <c r="I22" s="24" t="inlineStr">
        <is>
          <t>2.3 Deliverable C</t>
        </is>
      </c>
      <c r="J22" s="25" t="inlineStr">
        <is>
          <t>350</t>
        </is>
      </c>
      <c r="K22" s="24" t="inlineStr">
        <is>
          <t>PDF/XLSX</t>
        </is>
      </c>
      <c r="L22" s="25" t="inlineStr">
        <is>
          <t>S4</t>
        </is>
      </c>
      <c r="M22" s="25" t="inlineStr">
        <is>
          <t>Shared</t>
        </is>
      </c>
      <c r="N22" s="25" t="n">
        <v>8</v>
      </c>
      <c r="O22" s="25" t="n">
        <v>8</v>
      </c>
      <c r="P22" s="27" t="n"/>
      <c r="Q22" s="27" t="n"/>
      <c r="R22" s="24" t="n"/>
      <c r="S22" s="24" t="inlineStr">
        <is>
          <t>MEP lead</t>
        </is>
      </c>
      <c r="T22" s="24" t="inlineStr">
        <is>
          <t>TIDP-M</t>
        </is>
      </c>
      <c r="U22" s="25" t="inlineStr">
        <is>
          <t>Y</t>
        </is>
      </c>
      <c r="V22" s="25" t="inlineStr">
        <is>
          <t>N</t>
        </is>
      </c>
      <c r="W22" s="25" t="inlineStr">
        <is>
          <t>N</t>
        </is>
      </c>
      <c r="X22" s="25" t="inlineStr"/>
      <c r="Y22" s="26" t="inlineStr"/>
    </row>
    <row r="23">
      <c r="B23" s="24" t="inlineStr">
        <is>
          <t>M-303</t>
        </is>
      </c>
      <c r="C23" s="24" t="inlineStr">
        <is>
          <t>Mechanical</t>
        </is>
      </c>
      <c r="D23" s="24" t="inlineStr"/>
      <c r="E23" s="25" t="inlineStr">
        <is>
          <t>ZZ</t>
        </is>
      </c>
      <c r="F23" s="26" t="inlineStr">
        <is>
          <t>BMS point-naming convention and point data on serviceable elements</t>
        </is>
      </c>
      <c r="G23" s="24" t="inlineStr">
        <is>
          <t>Schedule</t>
        </is>
      </c>
      <c r="H23" s="25" t="inlineStr">
        <is>
          <t>SH</t>
        </is>
      </c>
      <c r="I23" s="24" t="inlineStr">
        <is>
          <t>2.3 Deliverable C</t>
        </is>
      </c>
      <c r="J23" s="25" t="inlineStr">
        <is>
          <t>350</t>
        </is>
      </c>
      <c r="K23" s="24" t="inlineStr">
        <is>
          <t>XLSX</t>
        </is>
      </c>
      <c r="L23" s="25" t="inlineStr">
        <is>
          <t>S3</t>
        </is>
      </c>
      <c r="M23" s="25" t="inlineStr">
        <is>
          <t>Shared</t>
        </is>
      </c>
      <c r="N23" s="25" t="n">
        <v>8</v>
      </c>
      <c r="O23" s="25" t="n">
        <v>8</v>
      </c>
      <c r="P23" s="27" t="n"/>
      <c r="Q23" s="27" t="n"/>
      <c r="R23" s="24" t="n"/>
      <c r="S23" s="24" t="inlineStr">
        <is>
          <t>MEP lead</t>
        </is>
      </c>
      <c r="T23" s="24" t="inlineStr">
        <is>
          <t>TIDP-M</t>
        </is>
      </c>
      <c r="U23" s="25" t="inlineStr">
        <is>
          <t>N</t>
        </is>
      </c>
      <c r="V23" s="25" t="inlineStr">
        <is>
          <t>N</t>
        </is>
      </c>
      <c r="W23" s="25" t="inlineStr">
        <is>
          <t>N</t>
        </is>
      </c>
      <c r="X23" s="25" t="inlineStr"/>
      <c r="Y23" s="26" t="inlineStr">
        <is>
          <t>Agreed with the controls contractor</t>
        </is>
      </c>
    </row>
    <row r="24">
      <c r="B24" s="24" t="inlineStr">
        <is>
          <t>M-500</t>
        </is>
      </c>
      <c r="C24" s="24" t="inlineStr">
        <is>
          <t>Mechanical</t>
        </is>
      </c>
      <c r="D24" s="24" t="inlineStr"/>
      <c r="E24" s="25" t="inlineStr">
        <is>
          <t>ZZ</t>
        </is>
      </c>
      <c r="F24" s="26" t="inlineStr">
        <is>
          <t>Construction-stage model (revisions tracked)</t>
        </is>
      </c>
      <c r="G24" s="24" t="inlineStr">
        <is>
          <t>Model</t>
        </is>
      </c>
      <c r="H24" s="25" t="inlineStr">
        <is>
          <t>M3</t>
        </is>
      </c>
      <c r="I24" s="24" t="inlineStr">
        <is>
          <t>3.1 Construction</t>
        </is>
      </c>
      <c r="J24" s="25" t="inlineStr">
        <is>
          <t>400</t>
        </is>
      </c>
      <c r="K24" s="24" t="inlineStr">
        <is>
          <t>RVT/IFC</t>
        </is>
      </c>
      <c r="L24" s="25" t="inlineStr">
        <is>
          <t>A1</t>
        </is>
      </c>
      <c r="M24" s="25" t="inlineStr">
        <is>
          <t>Published</t>
        </is>
      </c>
      <c r="N24" s="25" t="n">
        <v>12</v>
      </c>
      <c r="O24" s="25" t="n">
        <v>43</v>
      </c>
      <c r="P24" s="27" t="n"/>
      <c r="Q24" s="27" t="n"/>
      <c r="R24" s="24" t="n"/>
      <c r="S24" s="24" t="inlineStr">
        <is>
          <t>MEP lead</t>
        </is>
      </c>
      <c r="T24" s="24" t="inlineStr">
        <is>
          <t>TIDP-M</t>
        </is>
      </c>
      <c r="U24" s="25" t="inlineStr">
        <is>
          <t>Y</t>
        </is>
      </c>
      <c r="V24" s="25" t="inlineStr">
        <is>
          <t>Y</t>
        </is>
      </c>
      <c r="W24" s="25" t="inlineStr">
        <is>
          <t>N</t>
        </is>
      </c>
      <c r="X24" s="25" t="inlineStr"/>
      <c r="Y24" s="26" t="inlineStr">
        <is>
          <t>Maintenance type on plumbing fixtures from LOD 400</t>
        </is>
      </c>
    </row>
    <row r="25">
      <c r="B25" s="24" t="inlineStr">
        <is>
          <t>M-520</t>
        </is>
      </c>
      <c r="C25" s="24" t="inlineStr">
        <is>
          <t>Mechanical</t>
        </is>
      </c>
      <c r="D25" s="24" t="inlineStr"/>
      <c r="E25" s="25" t="inlineStr">
        <is>
          <t>ZZ</t>
        </is>
      </c>
      <c r="F25" s="26" t="inlineStr">
        <is>
          <t>Commissioning point list (Niagara)</t>
        </is>
      </c>
      <c r="G25" s="24" t="inlineStr">
        <is>
          <t>Schedule</t>
        </is>
      </c>
      <c r="H25" s="25" t="inlineStr">
        <is>
          <t>SH</t>
        </is>
      </c>
      <c r="I25" s="24" t="inlineStr">
        <is>
          <t>3.1 Construction</t>
        </is>
      </c>
      <c r="J25" s="25" t="inlineStr">
        <is>
          <t>400</t>
        </is>
      </c>
      <c r="K25" s="24" t="inlineStr">
        <is>
          <t>CSV</t>
        </is>
      </c>
      <c r="L25" s="25" t="inlineStr">
        <is>
          <t>S2</t>
        </is>
      </c>
      <c r="M25" s="25" t="inlineStr">
        <is>
          <t>Shared</t>
        </is>
      </c>
      <c r="N25" s="25" t="n">
        <v>40</v>
      </c>
      <c r="O25" s="25" t="n">
        <v>40</v>
      </c>
      <c r="P25" s="27" t="n"/>
      <c r="Q25" s="27" t="n"/>
      <c r="R25" s="24" t="n"/>
      <c r="S25" s="24" t="inlineStr">
        <is>
          <t>MEP lead</t>
        </is>
      </c>
      <c r="T25" s="24" t="inlineStr">
        <is>
          <t>TIDP-M</t>
        </is>
      </c>
      <c r="U25" s="25" t="inlineStr">
        <is>
          <t>Y</t>
        </is>
      </c>
      <c r="V25" s="25" t="inlineStr">
        <is>
          <t>N</t>
        </is>
      </c>
      <c r="W25" s="25" t="inlineStr">
        <is>
          <t>Y</t>
        </is>
      </c>
      <c r="X25" s="25" t="inlineStr"/>
      <c r="Y25" s="26" t="inlineStr">
        <is>
          <t>Produced from the model for the controls contractor</t>
        </is>
      </c>
    </row>
    <row r="26">
      <c r="B26" s="24" t="inlineStr">
        <is>
          <t>M-700</t>
        </is>
      </c>
      <c r="C26" s="24" t="inlineStr">
        <is>
          <t>Mechanical</t>
        </is>
      </c>
      <c r="D26" s="24" t="inlineStr"/>
      <c r="E26" s="25" t="inlineStr">
        <is>
          <t>ZZ</t>
        </is>
      </c>
      <c r="F26" s="26" t="inlineStr">
        <is>
          <t>As-built mechanical model (LOD 500, verified)</t>
        </is>
      </c>
      <c r="G26" s="24" t="inlineStr">
        <is>
          <t>Model</t>
        </is>
      </c>
      <c r="H26" s="25" t="inlineStr">
        <is>
          <t>M3</t>
        </is>
      </c>
      <c r="I26" s="24" t="inlineStr">
        <is>
          <t>3.3 Deliverable D</t>
        </is>
      </c>
      <c r="J26" s="25" t="inlineStr">
        <is>
          <t>500</t>
        </is>
      </c>
      <c r="K26" s="24" t="inlineStr">
        <is>
          <t>RVT/IFC</t>
        </is>
      </c>
      <c r="L26" s="25" t="inlineStr">
        <is>
          <t>A1</t>
        </is>
      </c>
      <c r="M26" s="25" t="inlineStr">
        <is>
          <t>Published</t>
        </is>
      </c>
      <c r="N26" s="25" t="n">
        <v>48</v>
      </c>
      <c r="O26" s="25" t="n">
        <v>49</v>
      </c>
      <c r="P26" s="27" t="n"/>
      <c r="Q26" s="27" t="n"/>
      <c r="R26" s="24" t="n"/>
      <c r="S26" s="24" t="inlineStr">
        <is>
          <t>MEP lead</t>
        </is>
      </c>
      <c r="T26" s="24" t="inlineStr">
        <is>
          <t>TIDP-M</t>
        </is>
      </c>
      <c r="U26" s="25" t="inlineStr">
        <is>
          <t>Y</t>
        </is>
      </c>
      <c r="V26" s="25" t="inlineStr">
        <is>
          <t>Y</t>
        </is>
      </c>
      <c r="W26" s="25" t="inlineStr">
        <is>
          <t>Y</t>
        </is>
      </c>
      <c r="X26" s="25" t="inlineStr"/>
      <c r="Y26" s="26" t="inlineStr">
        <is>
          <t>Authored by the design consultant from the Contractor as-built documentation; verified by the Information Manager</t>
        </is>
      </c>
    </row>
    <row r="27">
      <c r="B27" s="18" t="n"/>
      <c r="C27" s="18" t="n"/>
      <c r="D27" s="18" t="n"/>
      <c r="E27" s="18" t="n"/>
      <c r="F27" s="18" t="n"/>
      <c r="G27" s="18" t="n"/>
      <c r="H27" s="18" t="n"/>
      <c r="I27" s="18" t="n"/>
      <c r="J27" s="18" t="n"/>
      <c r="K27" s="18" t="n"/>
      <c r="L27" s="18" t="n"/>
      <c r="M27" s="18" t="n"/>
      <c r="N27" s="18" t="n"/>
      <c r="O27" s="18" t="n"/>
      <c r="P27" s="20" t="n"/>
      <c r="Q27" s="20" t="n"/>
      <c r="R27" s="18" t="n"/>
      <c r="S27" s="18" t="n"/>
      <c r="T27" s="18" t="n"/>
      <c r="U27" s="18" t="n"/>
      <c r="V27" s="18" t="n"/>
      <c r="W27" s="18" t="n"/>
      <c r="X27" s="18" t="n"/>
      <c r="Y27" s="18" t="n"/>
    </row>
    <row r="28">
      <c r="B28" s="18" t="n"/>
      <c r="C28" s="18" t="n"/>
      <c r="D28" s="18" t="n"/>
      <c r="E28" s="18" t="n"/>
      <c r="F28" s="18" t="n"/>
      <c r="G28" s="18" t="n"/>
      <c r="H28" s="18" t="n"/>
      <c r="I28" s="18" t="n"/>
      <c r="J28" s="18" t="n"/>
      <c r="K28" s="18" t="n"/>
      <c r="L28" s="18" t="n"/>
      <c r="M28" s="18" t="n"/>
      <c r="N28" s="18" t="n"/>
      <c r="O28" s="18" t="n"/>
      <c r="P28" s="20" t="n"/>
      <c r="Q28" s="20" t="n"/>
      <c r="R28" s="18" t="n"/>
      <c r="S28" s="18" t="n"/>
      <c r="T28" s="18" t="n"/>
      <c r="U28" s="18" t="n"/>
      <c r="V28" s="18" t="n"/>
      <c r="W28" s="18" t="n"/>
      <c r="X28" s="18" t="n"/>
      <c r="Y28" s="18" t="n"/>
    </row>
    <row r="29">
      <c r="B29" s="18" t="n"/>
      <c r="C29" s="18" t="n"/>
      <c r="D29" s="18" t="n"/>
      <c r="E29" s="18" t="n"/>
      <c r="F29" s="18" t="n"/>
      <c r="G29" s="18" t="n"/>
      <c r="H29" s="18" t="n"/>
      <c r="I29" s="18" t="n"/>
      <c r="J29" s="18" t="n"/>
      <c r="K29" s="18" t="n"/>
      <c r="L29" s="18" t="n"/>
      <c r="M29" s="18" t="n"/>
      <c r="N29" s="18" t="n"/>
      <c r="O29" s="18" t="n"/>
      <c r="P29" s="20" t="n"/>
      <c r="Q29" s="20" t="n"/>
      <c r="R29" s="18" t="n"/>
      <c r="S29" s="18" t="n"/>
      <c r="T29" s="18" t="n"/>
      <c r="U29" s="18" t="n"/>
      <c r="V29" s="18" t="n"/>
      <c r="W29" s="18" t="n"/>
      <c r="X29" s="18" t="n"/>
      <c r="Y29" s="18" t="n"/>
    </row>
    <row r="30">
      <c r="B30" s="18" t="n"/>
      <c r="C30" s="18" t="n"/>
      <c r="D30" s="18" t="n"/>
      <c r="E30" s="18" t="n"/>
      <c r="F30" s="18" t="n"/>
      <c r="G30" s="18" t="n"/>
      <c r="H30" s="18" t="n"/>
      <c r="I30" s="18" t="n"/>
      <c r="J30" s="18" t="n"/>
      <c r="K30" s="18" t="n"/>
      <c r="L30" s="18" t="n"/>
      <c r="M30" s="18" t="n"/>
      <c r="N30" s="18" t="n"/>
      <c r="O30" s="18" t="n"/>
      <c r="P30" s="20" t="n"/>
      <c r="Q30" s="20" t="n"/>
      <c r="R30" s="18" t="n"/>
      <c r="S30" s="18" t="n"/>
      <c r="T30" s="18" t="n"/>
      <c r="U30" s="18" t="n"/>
      <c r="V30" s="18" t="n"/>
      <c r="W30" s="18" t="n"/>
      <c r="X30" s="18" t="n"/>
      <c r="Y30" s="18" t="n"/>
    </row>
    <row r="31">
      <c r="B31" s="18" t="n"/>
      <c r="C31" s="18" t="n"/>
      <c r="D31" s="18" t="n"/>
      <c r="E31" s="18" t="n"/>
      <c r="F31" s="18" t="n"/>
      <c r="G31" s="18" t="n"/>
      <c r="H31" s="18" t="n"/>
      <c r="I31" s="18" t="n"/>
      <c r="J31" s="18" t="n"/>
      <c r="K31" s="18" t="n"/>
      <c r="L31" s="18" t="n"/>
      <c r="M31" s="18" t="n"/>
      <c r="N31" s="18" t="n"/>
      <c r="O31" s="18" t="n"/>
      <c r="P31" s="20" t="n"/>
      <c r="Q31" s="20" t="n"/>
      <c r="R31" s="18" t="n"/>
      <c r="S31" s="18" t="n"/>
      <c r="T31" s="18" t="n"/>
      <c r="U31" s="18" t="n"/>
      <c r="V31" s="18" t="n"/>
      <c r="W31" s="18" t="n"/>
      <c r="X31" s="18" t="n"/>
      <c r="Y31" s="18" t="n"/>
    </row>
    <row r="32">
      <c r="B32" s="18" t="n"/>
      <c r="C32" s="18" t="n"/>
      <c r="D32" s="18" t="n"/>
      <c r="E32" s="18" t="n"/>
      <c r="F32" s="18" t="n"/>
      <c r="G32" s="18" t="n"/>
      <c r="H32" s="18" t="n"/>
      <c r="I32" s="18" t="n"/>
      <c r="J32" s="18" t="n"/>
      <c r="K32" s="18" t="n"/>
      <c r="L32" s="18" t="n"/>
      <c r="M32" s="18" t="n"/>
      <c r="N32" s="18" t="n"/>
      <c r="O32" s="18" t="n"/>
      <c r="P32" s="20" t="n"/>
      <c r="Q32" s="20" t="n"/>
      <c r="R32" s="18" t="n"/>
      <c r="S32" s="18" t="n"/>
      <c r="T32" s="18" t="n"/>
      <c r="U32" s="18" t="n"/>
      <c r="V32" s="18" t="n"/>
      <c r="W32" s="18" t="n"/>
      <c r="X32" s="18" t="n"/>
      <c r="Y32" s="18" t="n"/>
    </row>
    <row r="33">
      <c r="B33" s="18" t="n"/>
      <c r="C33" s="18" t="n"/>
      <c r="D33" s="18" t="n"/>
      <c r="E33" s="18" t="n"/>
      <c r="F33" s="18" t="n"/>
      <c r="G33" s="18" t="n"/>
      <c r="H33" s="18" t="n"/>
      <c r="I33" s="18" t="n"/>
      <c r="J33" s="18" t="n"/>
      <c r="K33" s="18" t="n"/>
      <c r="L33" s="18" t="n"/>
      <c r="M33" s="18" t="n"/>
      <c r="N33" s="18" t="n"/>
      <c r="O33" s="18" t="n"/>
      <c r="P33" s="20" t="n"/>
      <c r="Q33" s="20" t="n"/>
      <c r="R33" s="18" t="n"/>
      <c r="S33" s="18" t="n"/>
      <c r="T33" s="18" t="n"/>
      <c r="U33" s="18" t="n"/>
      <c r="V33" s="18" t="n"/>
      <c r="W33" s="18" t="n"/>
      <c r="X33" s="18" t="n"/>
      <c r="Y33" s="18" t="n"/>
    </row>
    <row r="34">
      <c r="B34" s="18" t="n"/>
      <c r="C34" s="18" t="n"/>
      <c r="D34" s="18" t="n"/>
      <c r="E34" s="18" t="n"/>
      <c r="F34" s="18" t="n"/>
      <c r="G34" s="18" t="n"/>
      <c r="H34" s="18" t="n"/>
      <c r="I34" s="18" t="n"/>
      <c r="J34" s="18" t="n"/>
      <c r="K34" s="18" t="n"/>
      <c r="L34" s="18" t="n"/>
      <c r="M34" s="18" t="n"/>
      <c r="N34" s="18" t="n"/>
      <c r="O34" s="18" t="n"/>
      <c r="P34" s="20" t="n"/>
      <c r="Q34" s="20" t="n"/>
      <c r="R34" s="18" t="n"/>
      <c r="S34" s="18" t="n"/>
      <c r="T34" s="18" t="n"/>
      <c r="U34" s="18" t="n"/>
      <c r="V34" s="18" t="n"/>
      <c r="W34" s="18" t="n"/>
      <c r="X34" s="18" t="n"/>
      <c r="Y34" s="18" t="n"/>
    </row>
    <row r="35">
      <c r="B35" s="18" t="n"/>
      <c r="C35" s="18" t="n"/>
      <c r="D35" s="18" t="n"/>
      <c r="E35" s="18" t="n"/>
      <c r="F35" s="18" t="n"/>
      <c r="G35" s="18" t="n"/>
      <c r="H35" s="18" t="n"/>
      <c r="I35" s="18" t="n"/>
      <c r="J35" s="18" t="n"/>
      <c r="K35" s="18" t="n"/>
      <c r="L35" s="18" t="n"/>
      <c r="M35" s="18" t="n"/>
      <c r="N35" s="18" t="n"/>
      <c r="O35" s="18" t="n"/>
      <c r="P35" s="20" t="n"/>
      <c r="Q35" s="20" t="n"/>
      <c r="R35" s="18" t="n"/>
      <c r="S35" s="18" t="n"/>
      <c r="T35" s="18" t="n"/>
      <c r="U35" s="18" t="n"/>
      <c r="V35" s="18" t="n"/>
      <c r="W35" s="18" t="n"/>
      <c r="X35" s="18" t="n"/>
      <c r="Y35" s="18" t="n"/>
    </row>
    <row r="36">
      <c r="B36" s="18" t="n"/>
      <c r="C36" s="18" t="n"/>
      <c r="D36" s="18" t="n"/>
      <c r="E36" s="18" t="n"/>
      <c r="F36" s="18" t="n"/>
      <c r="G36" s="18" t="n"/>
      <c r="H36" s="18" t="n"/>
      <c r="I36" s="18" t="n"/>
      <c r="J36" s="18" t="n"/>
      <c r="K36" s="18" t="n"/>
      <c r="L36" s="18" t="n"/>
      <c r="M36" s="18" t="n"/>
      <c r="N36" s="18" t="n"/>
      <c r="O36" s="18" t="n"/>
      <c r="P36" s="20" t="n"/>
      <c r="Q36" s="20" t="n"/>
      <c r="R36" s="18" t="n"/>
      <c r="S36" s="18" t="n"/>
      <c r="T36" s="18" t="n"/>
      <c r="U36" s="18" t="n"/>
      <c r="V36" s="18" t="n"/>
      <c r="W36" s="18" t="n"/>
      <c r="X36" s="18" t="n"/>
      <c r="Y36" s="18" t="n"/>
    </row>
    <row r="37">
      <c r="B37" s="18" t="n"/>
      <c r="C37" s="18" t="n"/>
      <c r="D37" s="18" t="n"/>
      <c r="E37" s="18" t="n"/>
      <c r="F37" s="18" t="n"/>
      <c r="G37" s="18" t="n"/>
      <c r="H37" s="18" t="n"/>
      <c r="I37" s="18" t="n"/>
      <c r="J37" s="18" t="n"/>
      <c r="K37" s="18" t="n"/>
      <c r="L37" s="18" t="n"/>
      <c r="M37" s="18" t="n"/>
      <c r="N37" s="18" t="n"/>
      <c r="O37" s="18" t="n"/>
      <c r="P37" s="20" t="n"/>
      <c r="Q37" s="20" t="n"/>
      <c r="R37" s="18" t="n"/>
      <c r="S37" s="18" t="n"/>
      <c r="T37" s="18" t="n"/>
      <c r="U37" s="18" t="n"/>
      <c r="V37" s="18" t="n"/>
      <c r="W37" s="18" t="n"/>
      <c r="X37" s="18" t="n"/>
      <c r="Y37" s="18" t="n"/>
    </row>
    <row r="38">
      <c r="B38" s="18" t="n"/>
      <c r="C38" s="18" t="n"/>
      <c r="D38" s="18" t="n"/>
      <c r="E38" s="18" t="n"/>
      <c r="F38" s="18" t="n"/>
      <c r="G38" s="18" t="n"/>
      <c r="H38" s="18" t="n"/>
      <c r="I38" s="18" t="n"/>
      <c r="J38" s="18" t="n"/>
      <c r="K38" s="18" t="n"/>
      <c r="L38" s="18" t="n"/>
      <c r="M38" s="18" t="n"/>
      <c r="N38" s="18" t="n"/>
      <c r="O38" s="18" t="n"/>
      <c r="P38" s="20" t="n"/>
      <c r="Q38" s="20" t="n"/>
      <c r="R38" s="18" t="n"/>
      <c r="S38" s="18" t="n"/>
      <c r="T38" s="18" t="n"/>
      <c r="U38" s="18" t="n"/>
      <c r="V38" s="18" t="n"/>
      <c r="W38" s="18" t="n"/>
      <c r="X38" s="18" t="n"/>
      <c r="Y38" s="18" t="n"/>
    </row>
    <row r="39">
      <c r="B39" s="18" t="n"/>
      <c r="C39" s="18" t="n"/>
      <c r="D39" s="18" t="n"/>
      <c r="E39" s="18" t="n"/>
      <c r="F39" s="18" t="n"/>
      <c r="G39" s="18" t="n"/>
      <c r="H39" s="18" t="n"/>
      <c r="I39" s="18" t="n"/>
      <c r="J39" s="18" t="n"/>
      <c r="K39" s="18" t="n"/>
      <c r="L39" s="18" t="n"/>
      <c r="M39" s="18" t="n"/>
      <c r="N39" s="18" t="n"/>
      <c r="O39" s="18" t="n"/>
      <c r="P39" s="20" t="n"/>
      <c r="Q39" s="20" t="n"/>
      <c r="R39" s="18" t="n"/>
      <c r="S39" s="18" t="n"/>
      <c r="T39" s="18" t="n"/>
      <c r="U39" s="18" t="n"/>
      <c r="V39" s="18" t="n"/>
      <c r="W39" s="18" t="n"/>
      <c r="X39" s="18" t="n"/>
      <c r="Y39" s="18" t="n"/>
    </row>
    <row r="40">
      <c r="B40" s="18" t="n"/>
      <c r="C40" s="18" t="n"/>
      <c r="D40" s="18" t="n"/>
      <c r="E40" s="18" t="n"/>
      <c r="F40" s="18" t="n"/>
      <c r="G40" s="18" t="n"/>
      <c r="H40" s="18" t="n"/>
      <c r="I40" s="18" t="n"/>
      <c r="J40" s="18" t="n"/>
      <c r="K40" s="18" t="n"/>
      <c r="L40" s="18" t="n"/>
      <c r="M40" s="18" t="n"/>
      <c r="N40" s="18" t="n"/>
      <c r="O40" s="18" t="n"/>
      <c r="P40" s="20" t="n"/>
      <c r="Q40" s="20" t="n"/>
      <c r="R40" s="18" t="n"/>
      <c r="S40" s="18" t="n"/>
      <c r="T40" s="18" t="n"/>
      <c r="U40" s="18" t="n"/>
      <c r="V40" s="18" t="n"/>
      <c r="W40" s="18" t="n"/>
      <c r="X40" s="18" t="n"/>
      <c r="Y40" s="18" t="n"/>
    </row>
    <row r="41">
      <c r="B41" s="18" t="n"/>
      <c r="C41" s="18" t="n"/>
      <c r="D41" s="18" t="n"/>
      <c r="E41" s="18" t="n"/>
      <c r="F41" s="18" t="n"/>
      <c r="G41" s="18" t="n"/>
      <c r="H41" s="18" t="n"/>
      <c r="I41" s="18" t="n"/>
      <c r="J41" s="18" t="n"/>
      <c r="K41" s="18" t="n"/>
      <c r="L41" s="18" t="n"/>
      <c r="M41" s="18" t="n"/>
      <c r="N41" s="18" t="n"/>
      <c r="O41" s="18" t="n"/>
      <c r="P41" s="20" t="n"/>
      <c r="Q41" s="20" t="n"/>
      <c r="R41" s="18" t="n"/>
      <c r="S41" s="18" t="n"/>
      <c r="T41" s="18" t="n"/>
      <c r="U41" s="18" t="n"/>
      <c r="V41" s="18" t="n"/>
      <c r="W41" s="18" t="n"/>
      <c r="X41" s="18" t="n"/>
      <c r="Y41" s="18" t="n"/>
    </row>
  </sheetData>
  <autoFilter ref="A16:X41"/>
  <mergeCells count="1">
    <mergeCell ref="B4:H5"/>
  </mergeCells>
  <dataValidations count="12">
    <dataValidation sqref="C17:C41" showDropDown="0" showInputMessage="0" showErrorMessage="0" allowBlank="1" type="list">
      <formula1>'Lists'!$A$2:$A$30</formula1>
    </dataValidation>
    <dataValidation sqref="E17:E41" showDropDown="0" showInputMessage="0" showErrorMessage="0" allowBlank="1" type="list">
      <formula1>'Lists'!$I$2:$I$30</formula1>
    </dataValidation>
    <dataValidation sqref="G17:G41" showDropDown="0" showInputMessage="0" showErrorMessage="0" allowBlank="1" type="list">
      <formula1>'Lists'!$C$2:$C$30</formula1>
    </dataValidation>
    <dataValidation sqref="H17:H41" showDropDown="0" showInputMessage="0" showErrorMessage="0" allowBlank="1" type="list">
      <formula1>'Lists'!$J$2:$J$30</formula1>
    </dataValidation>
    <dataValidation sqref="I17:I41" showDropDown="0" showInputMessage="0" showErrorMessage="0" allowBlank="1" type="list">
      <formula1>'Lists'!$D$2:$D$30</formula1>
    </dataValidation>
    <dataValidation sqref="J17:J41" showDropDown="0" showInputMessage="0" showErrorMessage="0" allowBlank="1" type="list">
      <formula1>'Lists'!$E$2:$E$30</formula1>
    </dataValidation>
    <dataValidation sqref="L17:L41" showDropDown="0" showInputMessage="0" showErrorMessage="0" allowBlank="1" type="list">
      <formula1>'Lists'!$F$2:$F$30</formula1>
    </dataValidation>
    <dataValidation sqref="M17:M41" showDropDown="0" showInputMessage="0" showErrorMessage="0" allowBlank="1" type="list">
      <formula1>'Lists'!$G$2:$G$30</formula1>
    </dataValidation>
    <dataValidation sqref="U17:U41" showDropDown="0" showInputMessage="0" showErrorMessage="0" allowBlank="1" type="list">
      <formula1>'Lists'!$K$2:$K$30</formula1>
    </dataValidation>
    <dataValidation sqref="V17:V41" showDropDown="0" showInputMessage="0" showErrorMessage="0" allowBlank="1" type="list">
      <formula1>'Lists'!$K$2:$K$30</formula1>
    </dataValidation>
    <dataValidation sqref="W17:W41" showDropDown="0" showInputMessage="0" showErrorMessage="0" allowBlank="1" type="list">
      <formula1>'Lists'!$K$2:$K$30</formula1>
    </dataValidation>
    <dataValidation sqref="X17:X41" showDropDown="0" showInputMessage="0" showErrorMessage="0" allowBlank="1" type="list">
      <formula1>'Lists'!$H$2:$H$30</formula1>
    </dataValidation>
  </dataValidations>
  <hyperlinks>
    <hyperlink xmlns:r="http://schemas.openxmlformats.org/officeDocument/2006/relationships" ref="A1" r:id="rId1"/>
  </hyperlinks>
  <pageMargins left="0.75" right="0.75" top="1" bottom="1" header="0.5" footer="0.5"/>
  <pageSetup orientation="landscape" fitToWidth="1"/>
  <headerFooter>
    <oddHeader>&amp;L&amp;"Calibri,Bold"&amp;9KAMPALA UGANDA TEMPLE&amp;C&amp;"Calibri,Bold"&amp;9&amp;A&amp;R&amp;9KUT-SMB-ZZ-ZZ-SH-Z-0001   Rev P01</oddHeader>
    <oddFooter>&amp;L&amp;9&amp;KC00000DRAFT - not issued (S0, work in progress)&amp;C&amp;8Symbion Consulting Group Studios - Information Manager&amp;R&amp;9&amp;A   Page &amp;P of &amp;N</oddFooter>
    <evenHeader/>
    <evenFooter/>
    <firstHeader/>
    <firstFooter/>
  </headerFooter>
</worksheet>
</file>

<file path=xl/worksheets/sheet8.xml><?xml version="1.0" encoding="utf-8"?>
<worksheet xmlns="http://schemas.openxmlformats.org/spreadsheetml/2006/main">
  <sheetPr>
    <tabColor rgb="00444F5C"/>
    <outlinePr summaryBelow="1" summaryRight="1"/>
    <pageSetUpPr fitToPage="1"/>
  </sheetPr>
  <dimension ref="A1:Y38"/>
  <sheetViews>
    <sheetView showGridLines="0" workbookViewId="0">
      <pane ySplit="16" topLeftCell="A17" activePane="bottomLeft" state="frozen"/>
      <selection pane="bottomLeft" activeCell="A1" sqref="A1"/>
    </sheetView>
  </sheetViews>
  <sheetFormatPr baseColWidth="8" defaultRowHeight="15"/>
  <cols>
    <col width="3" customWidth="1" min="1" max="1"/>
    <col width="10" customWidth="1" min="2" max="2"/>
    <col width="20" customWidth="1" min="3" max="3"/>
    <col width="12" customWidth="1" min="4" max="4"/>
    <col width="8" customWidth="1" min="5" max="5"/>
    <col width="44" customWidth="1" min="6" max="6"/>
    <col width="15" customWidth="1" min="7" max="7"/>
    <col width="10" customWidth="1" min="8" max="8"/>
    <col width="20" customWidth="1" min="9" max="9"/>
    <col width="7" customWidth="1" min="10" max="10"/>
    <col width="15" customWidth="1" min="11" max="11"/>
    <col width="11" customWidth="1" min="12" max="12"/>
    <col width="12" customWidth="1" min="13" max="13"/>
    <col width="11" customWidth="1" min="14" max="14"/>
    <col width="10" customWidth="1" min="15" max="15"/>
    <col width="13" customWidth="1" min="16" max="16"/>
    <col width="13" customWidth="1" min="17" max="17"/>
    <col width="14" customWidth="1" min="18" max="18"/>
    <col width="20" customWidth="1" min="19" max="19"/>
    <col width="10" customWidth="1" min="20" max="20"/>
    <col width="9" customWidth="1" min="21" max="21"/>
    <col width="9" customWidth="1" min="22" max="22"/>
    <col width="7" customWidth="1" min="23" max="23"/>
    <col width="11" customWidth="1" min="24" max="24"/>
    <col width="40" customWidth="1" min="25" max="25"/>
  </cols>
  <sheetData>
    <row r="1">
      <c r="A1" s="13" t="inlineStr">
        <is>
          <t>&lt; Cover</t>
        </is>
      </c>
    </row>
    <row r="2">
      <c r="B2" s="14" t="inlineStr">
        <is>
          <t>Task Information Delivery Plan — Electrical</t>
        </is>
      </c>
    </row>
    <row r="4">
      <c r="B4" s="7" t="inlineStr">
        <is>
          <t>The deliverables below are those already assigned to you in the Master Information Delivery Plan. Confirm the planned dates, add any deliverable your scope requires that is not listed, and return this sheet to the Information Manager. Rows are merged back into the register by reference. Use the drop-down lists; if a value you need is not offered, raise it rather than typing a variant.</t>
        </is>
      </c>
    </row>
    <row r="5"/>
    <row r="7">
      <c r="B7" s="4" t="inlineStr">
        <is>
          <t>Task Information Delivery Plan</t>
        </is>
      </c>
      <c r="C7" s="5" t="inlineStr">
        <is>
          <t>TIDP-E</t>
        </is>
      </c>
    </row>
    <row r="8">
      <c r="B8" s="4" t="inlineStr">
        <is>
          <t>Scope</t>
        </is>
      </c>
      <c r="C8" s="5" t="inlineStr">
        <is>
          <t>Electrical</t>
        </is>
      </c>
    </row>
    <row r="9">
      <c r="B9" s="4" t="inlineStr">
        <is>
          <t>Appointed party</t>
        </is>
      </c>
      <c r="C9" s="5" t="inlineStr">
        <is>
          <t>[FILL — MEP engineer]</t>
        </is>
      </c>
    </row>
    <row r="10">
      <c r="B10" s="4" t="inlineStr">
        <is>
          <t>Originator code</t>
        </is>
      </c>
      <c r="C10" s="5" t="inlineStr">
        <is>
          <t>[FILL — once the register is issued]</t>
        </is>
      </c>
    </row>
    <row r="11">
      <c r="B11" s="4" t="inlineStr">
        <is>
          <t>Task Team Manager</t>
        </is>
      </c>
      <c r="C11" s="5" t="inlineStr">
        <is>
          <t>[FILL]</t>
        </is>
      </c>
    </row>
    <row r="12">
      <c r="B12" s="4" t="inlineStr">
        <is>
          <t>Contact</t>
        </is>
      </c>
      <c r="C12" s="5" t="inlineStr">
        <is>
          <t>[FILL]</t>
        </is>
      </c>
    </row>
    <row r="13">
      <c r="B13" s="4" t="inlineStr">
        <is>
          <t>Revision</t>
        </is>
      </c>
      <c r="C13" s="5" t="inlineStr">
        <is>
          <t>P01</t>
        </is>
      </c>
    </row>
    <row r="14">
      <c r="B14" s="4" t="inlineStr">
        <is>
          <t>Date</t>
        </is>
      </c>
      <c r="C14" s="5" t="inlineStr">
        <is>
          <t>[FILL]</t>
        </is>
      </c>
    </row>
    <row r="16" ht="30" customHeight="1">
      <c r="A16" s="17" t="n"/>
      <c r="B16" s="17" t="inlineStr">
        <is>
          <t>Ref</t>
        </is>
      </c>
      <c r="C16" s="17" t="inlineStr">
        <is>
          <t>Discipline</t>
        </is>
      </c>
      <c r="D16" s="17" t="inlineStr">
        <is>
          <t>Originator</t>
        </is>
      </c>
      <c r="E16" s="17" t="inlineStr">
        <is>
          <t>Volume</t>
        </is>
      </c>
      <c r="F16" s="17" t="inlineStr">
        <is>
          <t>Deliverable</t>
        </is>
      </c>
      <c r="G16" s="17" t="inlineStr">
        <is>
          <t>Type</t>
        </is>
      </c>
      <c r="H16" s="17" t="inlineStr">
        <is>
          <t>Type code</t>
        </is>
      </c>
      <c r="I16" s="17" t="inlineStr">
        <is>
          <t>Stage</t>
        </is>
      </c>
      <c r="J16" s="17" t="inlineStr">
        <is>
          <t>LOD</t>
        </is>
      </c>
      <c r="K16" s="17" t="inlineStr">
        <is>
          <t>Format</t>
        </is>
      </c>
      <c r="L16" s="17" t="inlineStr">
        <is>
          <t>Suitability</t>
        </is>
      </c>
      <c r="M16" s="17" t="inlineStr">
        <is>
          <t>CDE State</t>
        </is>
      </c>
      <c r="N16" s="17" t="inlineStr">
        <is>
          <t>Month from</t>
        </is>
      </c>
      <c r="O16" s="17" t="inlineStr">
        <is>
          <t>Month to</t>
        </is>
      </c>
      <c r="P16" s="17" t="inlineStr">
        <is>
          <t>Planned date</t>
        </is>
      </c>
      <c r="Q16" s="17" t="inlineStr">
        <is>
          <t>Actual date</t>
        </is>
      </c>
      <c r="R16" s="17" t="inlineStr">
        <is>
          <t>Variance (days)</t>
        </is>
      </c>
      <c r="S16" s="17" t="inlineStr">
        <is>
          <t>Responsible</t>
        </is>
      </c>
      <c r="T16" s="17" t="inlineStr">
        <is>
          <t>TIDP ref</t>
        </is>
      </c>
      <c r="U16" s="17" t="inlineStr">
        <is>
          <t>Critical</t>
        </is>
      </c>
      <c r="V16" s="17" t="inlineStr">
        <is>
          <t>As-built</t>
        </is>
      </c>
      <c r="W16" s="17" t="inlineStr">
        <is>
          <t>O&amp;M</t>
        </is>
      </c>
      <c r="X16" s="17" t="inlineStr">
        <is>
          <t>RAG</t>
        </is>
      </c>
      <c r="Y16" s="17" t="inlineStr">
        <is>
          <t>Notes</t>
        </is>
      </c>
    </row>
    <row r="17">
      <c r="B17" s="24" t="inlineStr">
        <is>
          <t>E-100</t>
        </is>
      </c>
      <c r="C17" s="24" t="inlineStr">
        <is>
          <t>Electrical</t>
        </is>
      </c>
      <c r="D17" s="24" t="inlineStr"/>
      <c r="E17" s="25" t="inlineStr">
        <is>
          <t>ZZ</t>
        </is>
      </c>
      <c r="F17" s="26" t="inlineStr">
        <is>
          <t>Electrical model</t>
        </is>
      </c>
      <c r="G17" s="24" t="inlineStr">
        <is>
          <t>Model</t>
        </is>
      </c>
      <c r="H17" s="25" t="inlineStr">
        <is>
          <t>M3</t>
        </is>
      </c>
      <c r="I17" s="24" t="inlineStr">
        <is>
          <t>2.1 Deliverable A</t>
        </is>
      </c>
      <c r="J17" s="25" t="inlineStr">
        <is>
          <t>200</t>
        </is>
      </c>
      <c r="K17" s="24" t="inlineStr">
        <is>
          <t>RVT/IFC</t>
        </is>
      </c>
      <c r="L17" s="25" t="inlineStr">
        <is>
          <t>S2</t>
        </is>
      </c>
      <c r="M17" s="25" t="inlineStr">
        <is>
          <t>Shared</t>
        </is>
      </c>
      <c r="N17" s="25" t="n">
        <v>1</v>
      </c>
      <c r="O17" s="25" t="n">
        <v>1</v>
      </c>
      <c r="P17" s="27" t="n"/>
      <c r="Q17" s="27" t="n"/>
      <c r="R17" s="24" t="n"/>
      <c r="S17" s="24" t="inlineStr">
        <is>
          <t>MEP lead</t>
        </is>
      </c>
      <c r="T17" s="24" t="inlineStr">
        <is>
          <t>TIDP-E</t>
        </is>
      </c>
      <c r="U17" s="25" t="inlineStr">
        <is>
          <t>Y</t>
        </is>
      </c>
      <c r="V17" s="25" t="inlineStr">
        <is>
          <t>Y</t>
        </is>
      </c>
      <c r="W17" s="25" t="inlineStr">
        <is>
          <t>N</t>
        </is>
      </c>
      <c r="X17" s="25" t="inlineStr"/>
      <c r="Y17" s="26" t="inlineStr">
        <is>
          <t>Generic equipment and main containment</t>
        </is>
      </c>
    </row>
    <row r="18">
      <c r="B18" s="24" t="inlineStr">
        <is>
          <t>E-200</t>
        </is>
      </c>
      <c r="C18" s="24" t="inlineStr">
        <is>
          <t>Electrical</t>
        </is>
      </c>
      <c r="D18" s="24" t="inlineStr"/>
      <c r="E18" s="25" t="inlineStr">
        <is>
          <t>ZZ</t>
        </is>
      </c>
      <c r="F18" s="26" t="inlineStr">
        <is>
          <t>Electrical model</t>
        </is>
      </c>
      <c r="G18" s="24" t="inlineStr">
        <is>
          <t>Model</t>
        </is>
      </c>
      <c r="H18" s="25" t="inlineStr">
        <is>
          <t>M3</t>
        </is>
      </c>
      <c r="I18" s="24" t="inlineStr">
        <is>
          <t>2.2 Deliverable B</t>
        </is>
      </c>
      <c r="J18" s="25" t="inlineStr">
        <is>
          <t>300</t>
        </is>
      </c>
      <c r="K18" s="24" t="inlineStr">
        <is>
          <t>RVT/IFC</t>
        </is>
      </c>
      <c r="L18" s="25" t="inlineStr">
        <is>
          <t>S2</t>
        </is>
      </c>
      <c r="M18" s="25" t="inlineStr">
        <is>
          <t>Shared</t>
        </is>
      </c>
      <c r="N18" s="25" t="n">
        <v>2</v>
      </c>
      <c r="O18" s="25" t="n">
        <v>4</v>
      </c>
      <c r="P18" s="27" t="n"/>
      <c r="Q18" s="27" t="n"/>
      <c r="R18" s="24" t="n"/>
      <c r="S18" s="24" t="inlineStr">
        <is>
          <t>MEP lead</t>
        </is>
      </c>
      <c r="T18" s="24" t="inlineStr">
        <is>
          <t>TIDP-E</t>
        </is>
      </c>
      <c r="U18" s="25" t="inlineStr">
        <is>
          <t>Y</t>
        </is>
      </c>
      <c r="V18" s="25" t="inlineStr">
        <is>
          <t>Y</t>
        </is>
      </c>
      <c r="W18" s="25" t="inlineStr">
        <is>
          <t>N</t>
        </is>
      </c>
      <c r="X18" s="25" t="inlineStr"/>
      <c r="Y18" s="26" t="inlineStr">
        <is>
          <t>Power, lighting and containment routed; boards placed</t>
        </is>
      </c>
    </row>
    <row r="19">
      <c r="B19" s="24" t="inlineStr">
        <is>
          <t>E-201</t>
        </is>
      </c>
      <c r="C19" s="24" t="inlineStr">
        <is>
          <t>Electrical</t>
        </is>
      </c>
      <c r="D19" s="24" t="inlineStr"/>
      <c r="E19" s="25" t="inlineStr">
        <is>
          <t>ZZ</t>
        </is>
      </c>
      <c r="F19" s="26" t="inlineStr">
        <is>
          <t>Power and lighting layouts (50%)</t>
        </is>
      </c>
      <c r="G19" s="24" t="inlineStr">
        <is>
          <t>Drawing</t>
        </is>
      </c>
      <c r="H19" s="25" t="inlineStr">
        <is>
          <t>DR</t>
        </is>
      </c>
      <c r="I19" s="24" t="inlineStr">
        <is>
          <t>2.2 Deliverable B</t>
        </is>
      </c>
      <c r="J19" s="25" t="inlineStr">
        <is>
          <t>300</t>
        </is>
      </c>
      <c r="K19" s="24" t="inlineStr">
        <is>
          <t>PDF/DWG</t>
        </is>
      </c>
      <c r="L19" s="25" t="inlineStr">
        <is>
          <t>S2</t>
        </is>
      </c>
      <c r="M19" s="25" t="inlineStr">
        <is>
          <t>Shared</t>
        </is>
      </c>
      <c r="N19" s="25" t="n">
        <v>4</v>
      </c>
      <c r="O19" s="25" t="n">
        <v>4</v>
      </c>
      <c r="P19" s="27" t="n"/>
      <c r="Q19" s="27" t="n"/>
      <c r="R19" s="24" t="n"/>
      <c r="S19" s="24" t="inlineStr">
        <is>
          <t>MEP lead</t>
        </is>
      </c>
      <c r="T19" s="24" t="inlineStr">
        <is>
          <t>TIDP-E</t>
        </is>
      </c>
      <c r="U19" s="25" t="inlineStr">
        <is>
          <t>N</t>
        </is>
      </c>
      <c r="V19" s="25" t="inlineStr">
        <is>
          <t>Y</t>
        </is>
      </c>
      <c r="W19" s="25" t="inlineStr">
        <is>
          <t>N</t>
        </is>
      </c>
      <c r="X19" s="25" t="inlineStr"/>
      <c r="Y19" s="26" t="inlineStr">
        <is>
          <t>Lighting layouts under role E (G-03)</t>
        </is>
      </c>
    </row>
    <row r="20">
      <c r="B20" s="24" t="inlineStr">
        <is>
          <t>E-300</t>
        </is>
      </c>
      <c r="C20" s="24" t="inlineStr">
        <is>
          <t>Electrical</t>
        </is>
      </c>
      <c r="D20" s="24" t="inlineStr"/>
      <c r="E20" s="25" t="inlineStr">
        <is>
          <t>ZZ</t>
        </is>
      </c>
      <c r="F20" s="26" t="inlineStr">
        <is>
          <t>Electrical model and drawing set (100%)</t>
        </is>
      </c>
      <c r="G20" s="24" t="inlineStr">
        <is>
          <t>Model/Drawing</t>
        </is>
      </c>
      <c r="H20" s="25" t="inlineStr">
        <is>
          <t>M3</t>
        </is>
      </c>
      <c r="I20" s="24" t="inlineStr">
        <is>
          <t>2.3 Deliverable C</t>
        </is>
      </c>
      <c r="J20" s="25" t="inlineStr">
        <is>
          <t>350</t>
        </is>
      </c>
      <c r="K20" s="24" t="inlineStr">
        <is>
          <t>RVT/PDF</t>
        </is>
      </c>
      <c r="L20" s="25" t="inlineStr">
        <is>
          <t>S4</t>
        </is>
      </c>
      <c r="M20" s="25" t="inlineStr">
        <is>
          <t>Shared</t>
        </is>
      </c>
      <c r="N20" s="25" t="n">
        <v>5</v>
      </c>
      <c r="O20" s="25" t="n">
        <v>8</v>
      </c>
      <c r="P20" s="27" t="n"/>
      <c r="Q20" s="27" t="n"/>
      <c r="R20" s="24" t="n"/>
      <c r="S20" s="24" t="inlineStr">
        <is>
          <t>MEP lead</t>
        </is>
      </c>
      <c r="T20" s="24" t="inlineStr">
        <is>
          <t>TIDP-E</t>
        </is>
      </c>
      <c r="U20" s="25" t="inlineStr">
        <is>
          <t>Y</t>
        </is>
      </c>
      <c r="V20" s="25" t="inlineStr">
        <is>
          <t>Y</t>
        </is>
      </c>
      <c r="W20" s="25" t="inlineStr">
        <is>
          <t>N</t>
        </is>
      </c>
      <c r="X20" s="25" t="inlineStr"/>
      <c r="Y20" s="26" t="inlineStr"/>
    </row>
    <row r="21">
      <c r="B21" s="24" t="inlineStr">
        <is>
          <t>E-301</t>
        </is>
      </c>
      <c r="C21" s="24" t="inlineStr">
        <is>
          <t>Electrical</t>
        </is>
      </c>
      <c r="D21" s="24" t="inlineStr"/>
      <c r="E21" s="25" t="inlineStr">
        <is>
          <t>ZZ</t>
        </is>
      </c>
      <c r="F21" s="26" t="inlineStr">
        <is>
          <t>Panel schedules and single-line diagrams</t>
        </is>
      </c>
      <c r="G21" s="24" t="inlineStr">
        <is>
          <t>Schedule/Drawing</t>
        </is>
      </c>
      <c r="H21" s="25" t="inlineStr">
        <is>
          <t>DR</t>
        </is>
      </c>
      <c r="I21" s="24" t="inlineStr">
        <is>
          <t>2.3 Deliverable C</t>
        </is>
      </c>
      <c r="J21" s="25" t="inlineStr">
        <is>
          <t>350</t>
        </is>
      </c>
      <c r="K21" s="24" t="inlineStr">
        <is>
          <t>PDF/XLSX</t>
        </is>
      </c>
      <c r="L21" s="25" t="inlineStr">
        <is>
          <t>S4</t>
        </is>
      </c>
      <c r="M21" s="25" t="inlineStr">
        <is>
          <t>Shared</t>
        </is>
      </c>
      <c r="N21" s="25" t="n">
        <v>8</v>
      </c>
      <c r="O21" s="25" t="n">
        <v>8</v>
      </c>
      <c r="P21" s="27" t="n"/>
      <c r="Q21" s="27" t="n"/>
      <c r="R21" s="24" t="n"/>
      <c r="S21" s="24" t="inlineStr">
        <is>
          <t>MEP lead</t>
        </is>
      </c>
      <c r="T21" s="24" t="inlineStr">
        <is>
          <t>TIDP-E</t>
        </is>
      </c>
      <c r="U21" s="25" t="inlineStr">
        <is>
          <t>Y</t>
        </is>
      </c>
      <c r="V21" s="25" t="inlineStr">
        <is>
          <t>Y</t>
        </is>
      </c>
      <c r="W21" s="25" t="inlineStr">
        <is>
          <t>N</t>
        </is>
      </c>
      <c r="X21" s="25" t="inlineStr"/>
      <c r="Y21" s="26" t="inlineStr">
        <is>
          <t>Sheets in the 6xxx and 7xxx bands</t>
        </is>
      </c>
    </row>
    <row r="22">
      <c r="B22" s="24" t="inlineStr">
        <is>
          <t>E-500</t>
        </is>
      </c>
      <c r="C22" s="24" t="inlineStr">
        <is>
          <t>Electrical</t>
        </is>
      </c>
      <c r="D22" s="24" t="inlineStr"/>
      <c r="E22" s="25" t="inlineStr">
        <is>
          <t>ZZ</t>
        </is>
      </c>
      <c r="F22" s="26" t="inlineStr">
        <is>
          <t>Construction-stage model (revisions tracked)</t>
        </is>
      </c>
      <c r="G22" s="24" t="inlineStr">
        <is>
          <t>Model</t>
        </is>
      </c>
      <c r="H22" s="25" t="inlineStr">
        <is>
          <t>M3</t>
        </is>
      </c>
      <c r="I22" s="24" t="inlineStr">
        <is>
          <t>3.1 Construction</t>
        </is>
      </c>
      <c r="J22" s="25" t="inlineStr">
        <is>
          <t>400</t>
        </is>
      </c>
      <c r="K22" s="24" t="inlineStr">
        <is>
          <t>RVT/IFC</t>
        </is>
      </c>
      <c r="L22" s="25" t="inlineStr">
        <is>
          <t>A1</t>
        </is>
      </c>
      <c r="M22" s="25" t="inlineStr">
        <is>
          <t>Published</t>
        </is>
      </c>
      <c r="N22" s="25" t="n">
        <v>12</v>
      </c>
      <c r="O22" s="25" t="n">
        <v>43</v>
      </c>
      <c r="P22" s="27" t="n"/>
      <c r="Q22" s="27" t="n"/>
      <c r="R22" s="24" t="n"/>
      <c r="S22" s="24" t="inlineStr">
        <is>
          <t>MEP lead</t>
        </is>
      </c>
      <c r="T22" s="24" t="inlineStr">
        <is>
          <t>TIDP-E</t>
        </is>
      </c>
      <c r="U22" s="25" t="inlineStr">
        <is>
          <t>Y</t>
        </is>
      </c>
      <c r="V22" s="25" t="inlineStr">
        <is>
          <t>Y</t>
        </is>
      </c>
      <c r="W22" s="25" t="inlineStr">
        <is>
          <t>N</t>
        </is>
      </c>
      <c r="X22" s="25" t="inlineStr"/>
      <c r="Y22" s="26" t="inlineStr"/>
    </row>
    <row r="23">
      <c r="B23" s="24" t="inlineStr">
        <is>
          <t>E-700</t>
        </is>
      </c>
      <c r="C23" s="24" t="inlineStr">
        <is>
          <t>Electrical</t>
        </is>
      </c>
      <c r="D23" s="24" t="inlineStr"/>
      <c r="E23" s="25" t="inlineStr">
        <is>
          <t>ZZ</t>
        </is>
      </c>
      <c r="F23" s="26" t="inlineStr">
        <is>
          <t>As-built electrical model (LOD 500, verified)</t>
        </is>
      </c>
      <c r="G23" s="24" t="inlineStr">
        <is>
          <t>Model</t>
        </is>
      </c>
      <c r="H23" s="25" t="inlineStr">
        <is>
          <t>M3</t>
        </is>
      </c>
      <c r="I23" s="24" t="inlineStr">
        <is>
          <t>3.3 Deliverable D</t>
        </is>
      </c>
      <c r="J23" s="25" t="inlineStr">
        <is>
          <t>500</t>
        </is>
      </c>
      <c r="K23" s="24" t="inlineStr">
        <is>
          <t>RVT/IFC</t>
        </is>
      </c>
      <c r="L23" s="25" t="inlineStr">
        <is>
          <t>A1</t>
        </is>
      </c>
      <c r="M23" s="25" t="inlineStr">
        <is>
          <t>Published</t>
        </is>
      </c>
      <c r="N23" s="25" t="n">
        <v>48</v>
      </c>
      <c r="O23" s="25" t="n">
        <v>49</v>
      </c>
      <c r="P23" s="27" t="n"/>
      <c r="Q23" s="27" t="n"/>
      <c r="R23" s="24" t="n"/>
      <c r="S23" s="24" t="inlineStr">
        <is>
          <t>MEP lead</t>
        </is>
      </c>
      <c r="T23" s="24" t="inlineStr">
        <is>
          <t>TIDP-E</t>
        </is>
      </c>
      <c r="U23" s="25" t="inlineStr">
        <is>
          <t>Y</t>
        </is>
      </c>
      <c r="V23" s="25" t="inlineStr">
        <is>
          <t>Y</t>
        </is>
      </c>
      <c r="W23" s="25" t="inlineStr">
        <is>
          <t>Y</t>
        </is>
      </c>
      <c r="X23" s="25" t="inlineStr"/>
      <c r="Y23" s="26" t="inlineStr">
        <is>
          <t>Authored by the design consultant from the Contractor as-built documentation; verified by the Information Manager</t>
        </is>
      </c>
    </row>
    <row r="24">
      <c r="B24" s="18" t="n"/>
      <c r="C24" s="18" t="n"/>
      <c r="D24" s="18" t="n"/>
      <c r="E24" s="18" t="n"/>
      <c r="F24" s="18" t="n"/>
      <c r="G24" s="18" t="n"/>
      <c r="H24" s="18" t="n"/>
      <c r="I24" s="18" t="n"/>
      <c r="J24" s="18" t="n"/>
      <c r="K24" s="18" t="n"/>
      <c r="L24" s="18" t="n"/>
      <c r="M24" s="18" t="n"/>
      <c r="N24" s="18" t="n"/>
      <c r="O24" s="18" t="n"/>
      <c r="P24" s="20" t="n"/>
      <c r="Q24" s="20" t="n"/>
      <c r="R24" s="18" t="n"/>
      <c r="S24" s="18" t="n"/>
      <c r="T24" s="18" t="n"/>
      <c r="U24" s="18" t="n"/>
      <c r="V24" s="18" t="n"/>
      <c r="W24" s="18" t="n"/>
      <c r="X24" s="18" t="n"/>
      <c r="Y24" s="18" t="n"/>
    </row>
    <row r="25">
      <c r="B25" s="18" t="n"/>
      <c r="C25" s="18" t="n"/>
      <c r="D25" s="18" t="n"/>
      <c r="E25" s="18" t="n"/>
      <c r="F25" s="18" t="n"/>
      <c r="G25" s="18" t="n"/>
      <c r="H25" s="18" t="n"/>
      <c r="I25" s="18" t="n"/>
      <c r="J25" s="18" t="n"/>
      <c r="K25" s="18" t="n"/>
      <c r="L25" s="18" t="n"/>
      <c r="M25" s="18" t="n"/>
      <c r="N25" s="18" t="n"/>
      <c r="O25" s="18" t="n"/>
      <c r="P25" s="20" t="n"/>
      <c r="Q25" s="20" t="n"/>
      <c r="R25" s="18" t="n"/>
      <c r="S25" s="18" t="n"/>
      <c r="T25" s="18" t="n"/>
      <c r="U25" s="18" t="n"/>
      <c r="V25" s="18" t="n"/>
      <c r="W25" s="18" t="n"/>
      <c r="X25" s="18" t="n"/>
      <c r="Y25" s="18" t="n"/>
    </row>
    <row r="26">
      <c r="B26" s="18" t="n"/>
      <c r="C26" s="18" t="n"/>
      <c r="D26" s="18" t="n"/>
      <c r="E26" s="18" t="n"/>
      <c r="F26" s="18" t="n"/>
      <c r="G26" s="18" t="n"/>
      <c r="H26" s="18" t="n"/>
      <c r="I26" s="18" t="n"/>
      <c r="J26" s="18" t="n"/>
      <c r="K26" s="18" t="n"/>
      <c r="L26" s="18" t="n"/>
      <c r="M26" s="18" t="n"/>
      <c r="N26" s="18" t="n"/>
      <c r="O26" s="18" t="n"/>
      <c r="P26" s="20" t="n"/>
      <c r="Q26" s="20" t="n"/>
      <c r="R26" s="18" t="n"/>
      <c r="S26" s="18" t="n"/>
      <c r="T26" s="18" t="n"/>
      <c r="U26" s="18" t="n"/>
      <c r="V26" s="18" t="n"/>
      <c r="W26" s="18" t="n"/>
      <c r="X26" s="18" t="n"/>
      <c r="Y26" s="18" t="n"/>
    </row>
    <row r="27">
      <c r="B27" s="18" t="n"/>
      <c r="C27" s="18" t="n"/>
      <c r="D27" s="18" t="n"/>
      <c r="E27" s="18" t="n"/>
      <c r="F27" s="18" t="n"/>
      <c r="G27" s="18" t="n"/>
      <c r="H27" s="18" t="n"/>
      <c r="I27" s="18" t="n"/>
      <c r="J27" s="18" t="n"/>
      <c r="K27" s="18" t="n"/>
      <c r="L27" s="18" t="n"/>
      <c r="M27" s="18" t="n"/>
      <c r="N27" s="18" t="n"/>
      <c r="O27" s="18" t="n"/>
      <c r="P27" s="20" t="n"/>
      <c r="Q27" s="20" t="n"/>
      <c r="R27" s="18" t="n"/>
      <c r="S27" s="18" t="n"/>
      <c r="T27" s="18" t="n"/>
      <c r="U27" s="18" t="n"/>
      <c r="V27" s="18" t="n"/>
      <c r="W27" s="18" t="n"/>
      <c r="X27" s="18" t="n"/>
      <c r="Y27" s="18" t="n"/>
    </row>
    <row r="28">
      <c r="B28" s="18" t="n"/>
      <c r="C28" s="18" t="n"/>
      <c r="D28" s="18" t="n"/>
      <c r="E28" s="18" t="n"/>
      <c r="F28" s="18" t="n"/>
      <c r="G28" s="18" t="n"/>
      <c r="H28" s="18" t="n"/>
      <c r="I28" s="18" t="n"/>
      <c r="J28" s="18" t="n"/>
      <c r="K28" s="18" t="n"/>
      <c r="L28" s="18" t="n"/>
      <c r="M28" s="18" t="n"/>
      <c r="N28" s="18" t="n"/>
      <c r="O28" s="18" t="n"/>
      <c r="P28" s="20" t="n"/>
      <c r="Q28" s="20" t="n"/>
      <c r="R28" s="18" t="n"/>
      <c r="S28" s="18" t="n"/>
      <c r="T28" s="18" t="n"/>
      <c r="U28" s="18" t="n"/>
      <c r="V28" s="18" t="n"/>
      <c r="W28" s="18" t="n"/>
      <c r="X28" s="18" t="n"/>
      <c r="Y28" s="18" t="n"/>
    </row>
    <row r="29">
      <c r="B29" s="18" t="n"/>
      <c r="C29" s="18" t="n"/>
      <c r="D29" s="18" t="n"/>
      <c r="E29" s="18" t="n"/>
      <c r="F29" s="18" t="n"/>
      <c r="G29" s="18" t="n"/>
      <c r="H29" s="18" t="n"/>
      <c r="I29" s="18" t="n"/>
      <c r="J29" s="18" t="n"/>
      <c r="K29" s="18" t="n"/>
      <c r="L29" s="18" t="n"/>
      <c r="M29" s="18" t="n"/>
      <c r="N29" s="18" t="n"/>
      <c r="O29" s="18" t="n"/>
      <c r="P29" s="20" t="n"/>
      <c r="Q29" s="20" t="n"/>
      <c r="R29" s="18" t="n"/>
      <c r="S29" s="18" t="n"/>
      <c r="T29" s="18" t="n"/>
      <c r="U29" s="18" t="n"/>
      <c r="V29" s="18" t="n"/>
      <c r="W29" s="18" t="n"/>
      <c r="X29" s="18" t="n"/>
      <c r="Y29" s="18" t="n"/>
    </row>
    <row r="30">
      <c r="B30" s="18" t="n"/>
      <c r="C30" s="18" t="n"/>
      <c r="D30" s="18" t="n"/>
      <c r="E30" s="18" t="n"/>
      <c r="F30" s="18" t="n"/>
      <c r="G30" s="18" t="n"/>
      <c r="H30" s="18" t="n"/>
      <c r="I30" s="18" t="n"/>
      <c r="J30" s="18" t="n"/>
      <c r="K30" s="18" t="n"/>
      <c r="L30" s="18" t="n"/>
      <c r="M30" s="18" t="n"/>
      <c r="N30" s="18" t="n"/>
      <c r="O30" s="18" t="n"/>
      <c r="P30" s="20" t="n"/>
      <c r="Q30" s="20" t="n"/>
      <c r="R30" s="18" t="n"/>
      <c r="S30" s="18" t="n"/>
      <c r="T30" s="18" t="n"/>
      <c r="U30" s="18" t="n"/>
      <c r="V30" s="18" t="n"/>
      <c r="W30" s="18" t="n"/>
      <c r="X30" s="18" t="n"/>
      <c r="Y30" s="18" t="n"/>
    </row>
    <row r="31">
      <c r="B31" s="18" t="n"/>
      <c r="C31" s="18" t="n"/>
      <c r="D31" s="18" t="n"/>
      <c r="E31" s="18" t="n"/>
      <c r="F31" s="18" t="n"/>
      <c r="G31" s="18" t="n"/>
      <c r="H31" s="18" t="n"/>
      <c r="I31" s="18" t="n"/>
      <c r="J31" s="18" t="n"/>
      <c r="K31" s="18" t="n"/>
      <c r="L31" s="18" t="n"/>
      <c r="M31" s="18" t="n"/>
      <c r="N31" s="18" t="n"/>
      <c r="O31" s="18" t="n"/>
      <c r="P31" s="20" t="n"/>
      <c r="Q31" s="20" t="n"/>
      <c r="R31" s="18" t="n"/>
      <c r="S31" s="18" t="n"/>
      <c r="T31" s="18" t="n"/>
      <c r="U31" s="18" t="n"/>
      <c r="V31" s="18" t="n"/>
      <c r="W31" s="18" t="n"/>
      <c r="X31" s="18" t="n"/>
      <c r="Y31" s="18" t="n"/>
    </row>
    <row r="32">
      <c r="B32" s="18" t="n"/>
      <c r="C32" s="18" t="n"/>
      <c r="D32" s="18" t="n"/>
      <c r="E32" s="18" t="n"/>
      <c r="F32" s="18" t="n"/>
      <c r="G32" s="18" t="n"/>
      <c r="H32" s="18" t="n"/>
      <c r="I32" s="18" t="n"/>
      <c r="J32" s="18" t="n"/>
      <c r="K32" s="18" t="n"/>
      <c r="L32" s="18" t="n"/>
      <c r="M32" s="18" t="n"/>
      <c r="N32" s="18" t="n"/>
      <c r="O32" s="18" t="n"/>
      <c r="P32" s="20" t="n"/>
      <c r="Q32" s="20" t="n"/>
      <c r="R32" s="18" t="n"/>
      <c r="S32" s="18" t="n"/>
      <c r="T32" s="18" t="n"/>
      <c r="U32" s="18" t="n"/>
      <c r="V32" s="18" t="n"/>
      <c r="W32" s="18" t="n"/>
      <c r="X32" s="18" t="n"/>
      <c r="Y32" s="18" t="n"/>
    </row>
    <row r="33">
      <c r="B33" s="18" t="n"/>
      <c r="C33" s="18" t="n"/>
      <c r="D33" s="18" t="n"/>
      <c r="E33" s="18" t="n"/>
      <c r="F33" s="18" t="n"/>
      <c r="G33" s="18" t="n"/>
      <c r="H33" s="18" t="n"/>
      <c r="I33" s="18" t="n"/>
      <c r="J33" s="18" t="n"/>
      <c r="K33" s="18" t="n"/>
      <c r="L33" s="18" t="n"/>
      <c r="M33" s="18" t="n"/>
      <c r="N33" s="18" t="n"/>
      <c r="O33" s="18" t="n"/>
      <c r="P33" s="20" t="n"/>
      <c r="Q33" s="20" t="n"/>
      <c r="R33" s="18" t="n"/>
      <c r="S33" s="18" t="n"/>
      <c r="T33" s="18" t="n"/>
      <c r="U33" s="18" t="n"/>
      <c r="V33" s="18" t="n"/>
      <c r="W33" s="18" t="n"/>
      <c r="X33" s="18" t="n"/>
      <c r="Y33" s="18" t="n"/>
    </row>
    <row r="34">
      <c r="B34" s="18" t="n"/>
      <c r="C34" s="18" t="n"/>
      <c r="D34" s="18" t="n"/>
      <c r="E34" s="18" t="n"/>
      <c r="F34" s="18" t="n"/>
      <c r="G34" s="18" t="n"/>
      <c r="H34" s="18" t="n"/>
      <c r="I34" s="18" t="n"/>
      <c r="J34" s="18" t="n"/>
      <c r="K34" s="18" t="n"/>
      <c r="L34" s="18" t="n"/>
      <c r="M34" s="18" t="n"/>
      <c r="N34" s="18" t="n"/>
      <c r="O34" s="18" t="n"/>
      <c r="P34" s="20" t="n"/>
      <c r="Q34" s="20" t="n"/>
      <c r="R34" s="18" t="n"/>
      <c r="S34" s="18" t="n"/>
      <c r="T34" s="18" t="n"/>
      <c r="U34" s="18" t="n"/>
      <c r="V34" s="18" t="n"/>
      <c r="W34" s="18" t="n"/>
      <c r="X34" s="18" t="n"/>
      <c r="Y34" s="18" t="n"/>
    </row>
    <row r="35">
      <c r="B35" s="18" t="n"/>
      <c r="C35" s="18" t="n"/>
      <c r="D35" s="18" t="n"/>
      <c r="E35" s="18" t="n"/>
      <c r="F35" s="18" t="n"/>
      <c r="G35" s="18" t="n"/>
      <c r="H35" s="18" t="n"/>
      <c r="I35" s="18" t="n"/>
      <c r="J35" s="18" t="n"/>
      <c r="K35" s="18" t="n"/>
      <c r="L35" s="18" t="n"/>
      <c r="M35" s="18" t="n"/>
      <c r="N35" s="18" t="n"/>
      <c r="O35" s="18" t="n"/>
      <c r="P35" s="20" t="n"/>
      <c r="Q35" s="20" t="n"/>
      <c r="R35" s="18" t="n"/>
      <c r="S35" s="18" t="n"/>
      <c r="T35" s="18" t="n"/>
      <c r="U35" s="18" t="n"/>
      <c r="V35" s="18" t="n"/>
      <c r="W35" s="18" t="n"/>
      <c r="X35" s="18" t="n"/>
      <c r="Y35" s="18" t="n"/>
    </row>
    <row r="36">
      <c r="B36" s="18" t="n"/>
      <c r="C36" s="18" t="n"/>
      <c r="D36" s="18" t="n"/>
      <c r="E36" s="18" t="n"/>
      <c r="F36" s="18" t="n"/>
      <c r="G36" s="18" t="n"/>
      <c r="H36" s="18" t="n"/>
      <c r="I36" s="18" t="n"/>
      <c r="J36" s="18" t="n"/>
      <c r="K36" s="18" t="n"/>
      <c r="L36" s="18" t="n"/>
      <c r="M36" s="18" t="n"/>
      <c r="N36" s="18" t="n"/>
      <c r="O36" s="18" t="n"/>
      <c r="P36" s="20" t="n"/>
      <c r="Q36" s="20" t="n"/>
      <c r="R36" s="18" t="n"/>
      <c r="S36" s="18" t="n"/>
      <c r="T36" s="18" t="n"/>
      <c r="U36" s="18" t="n"/>
      <c r="V36" s="18" t="n"/>
      <c r="W36" s="18" t="n"/>
      <c r="X36" s="18" t="n"/>
      <c r="Y36" s="18" t="n"/>
    </row>
    <row r="37">
      <c r="B37" s="18" t="n"/>
      <c r="C37" s="18" t="n"/>
      <c r="D37" s="18" t="n"/>
      <c r="E37" s="18" t="n"/>
      <c r="F37" s="18" t="n"/>
      <c r="G37" s="18" t="n"/>
      <c r="H37" s="18" t="n"/>
      <c r="I37" s="18" t="n"/>
      <c r="J37" s="18" t="n"/>
      <c r="K37" s="18" t="n"/>
      <c r="L37" s="18" t="n"/>
      <c r="M37" s="18" t="n"/>
      <c r="N37" s="18" t="n"/>
      <c r="O37" s="18" t="n"/>
      <c r="P37" s="20" t="n"/>
      <c r="Q37" s="20" t="n"/>
      <c r="R37" s="18" t="n"/>
      <c r="S37" s="18" t="n"/>
      <c r="T37" s="18" t="n"/>
      <c r="U37" s="18" t="n"/>
      <c r="V37" s="18" t="n"/>
      <c r="W37" s="18" t="n"/>
      <c r="X37" s="18" t="n"/>
      <c r="Y37" s="18" t="n"/>
    </row>
    <row r="38">
      <c r="B38" s="18" t="n"/>
      <c r="C38" s="18" t="n"/>
      <c r="D38" s="18" t="n"/>
      <c r="E38" s="18" t="n"/>
      <c r="F38" s="18" t="n"/>
      <c r="G38" s="18" t="n"/>
      <c r="H38" s="18" t="n"/>
      <c r="I38" s="18" t="n"/>
      <c r="J38" s="18" t="n"/>
      <c r="K38" s="18" t="n"/>
      <c r="L38" s="18" t="n"/>
      <c r="M38" s="18" t="n"/>
      <c r="N38" s="18" t="n"/>
      <c r="O38" s="18" t="n"/>
      <c r="P38" s="20" t="n"/>
      <c r="Q38" s="20" t="n"/>
      <c r="R38" s="18" t="n"/>
      <c r="S38" s="18" t="n"/>
      <c r="T38" s="18" t="n"/>
      <c r="U38" s="18" t="n"/>
      <c r="V38" s="18" t="n"/>
      <c r="W38" s="18" t="n"/>
      <c r="X38" s="18" t="n"/>
      <c r="Y38" s="18" t="n"/>
    </row>
  </sheetData>
  <autoFilter ref="A16:X38"/>
  <mergeCells count="1">
    <mergeCell ref="B4:H5"/>
  </mergeCells>
  <dataValidations count="12">
    <dataValidation sqref="C17:C38" showDropDown="0" showInputMessage="0" showErrorMessage="0" allowBlank="1" type="list">
      <formula1>'Lists'!$A$2:$A$30</formula1>
    </dataValidation>
    <dataValidation sqref="E17:E38" showDropDown="0" showInputMessage="0" showErrorMessage="0" allowBlank="1" type="list">
      <formula1>'Lists'!$I$2:$I$30</formula1>
    </dataValidation>
    <dataValidation sqref="G17:G38" showDropDown="0" showInputMessage="0" showErrorMessage="0" allowBlank="1" type="list">
      <formula1>'Lists'!$C$2:$C$30</formula1>
    </dataValidation>
    <dataValidation sqref="H17:H38" showDropDown="0" showInputMessage="0" showErrorMessage="0" allowBlank="1" type="list">
      <formula1>'Lists'!$J$2:$J$30</formula1>
    </dataValidation>
    <dataValidation sqref="I17:I38" showDropDown="0" showInputMessage="0" showErrorMessage="0" allowBlank="1" type="list">
      <formula1>'Lists'!$D$2:$D$30</formula1>
    </dataValidation>
    <dataValidation sqref="J17:J38" showDropDown="0" showInputMessage="0" showErrorMessage="0" allowBlank="1" type="list">
      <formula1>'Lists'!$E$2:$E$30</formula1>
    </dataValidation>
    <dataValidation sqref="L17:L38" showDropDown="0" showInputMessage="0" showErrorMessage="0" allowBlank="1" type="list">
      <formula1>'Lists'!$F$2:$F$30</formula1>
    </dataValidation>
    <dataValidation sqref="M17:M38" showDropDown="0" showInputMessage="0" showErrorMessage="0" allowBlank="1" type="list">
      <formula1>'Lists'!$G$2:$G$30</formula1>
    </dataValidation>
    <dataValidation sqref="U17:U38" showDropDown="0" showInputMessage="0" showErrorMessage="0" allowBlank="1" type="list">
      <formula1>'Lists'!$K$2:$K$30</formula1>
    </dataValidation>
    <dataValidation sqref="V17:V38" showDropDown="0" showInputMessage="0" showErrorMessage="0" allowBlank="1" type="list">
      <formula1>'Lists'!$K$2:$K$30</formula1>
    </dataValidation>
    <dataValidation sqref="W17:W38" showDropDown="0" showInputMessage="0" showErrorMessage="0" allowBlank="1" type="list">
      <formula1>'Lists'!$K$2:$K$30</formula1>
    </dataValidation>
    <dataValidation sqref="X17:X38" showDropDown="0" showInputMessage="0" showErrorMessage="0" allowBlank="1" type="list">
      <formula1>'Lists'!$H$2:$H$30</formula1>
    </dataValidation>
  </dataValidations>
  <hyperlinks>
    <hyperlink xmlns:r="http://schemas.openxmlformats.org/officeDocument/2006/relationships" ref="A1" r:id="rId1"/>
  </hyperlinks>
  <pageMargins left="0.75" right="0.75" top="1" bottom="1" header="0.5" footer="0.5"/>
  <pageSetup orientation="landscape" fitToWidth="1"/>
  <headerFooter>
    <oddHeader>&amp;L&amp;"Calibri,Bold"&amp;9KAMPALA UGANDA TEMPLE&amp;C&amp;"Calibri,Bold"&amp;9&amp;A&amp;R&amp;9KUT-SMB-ZZ-ZZ-SH-Z-0001   Rev P01</oddHeader>
    <oddFooter>&amp;L&amp;9&amp;KC00000DRAFT - not issued (S0, work in progress)&amp;C&amp;8Symbion Consulting Group Studios - Information Manager&amp;R&amp;9&amp;A   Page &amp;P of &amp;N</oddFooter>
    <evenHeader/>
    <evenFooter/>
    <firstHeader/>
    <firstFooter/>
  </headerFooter>
</worksheet>
</file>

<file path=xl/worksheets/sheet9.xml><?xml version="1.0" encoding="utf-8"?>
<worksheet xmlns="http://schemas.openxmlformats.org/spreadsheetml/2006/main">
  <sheetPr>
    <tabColor rgb="00444F5C"/>
    <outlinePr summaryBelow="1" summaryRight="1"/>
    <pageSetUpPr fitToPage="1"/>
  </sheetPr>
  <dimension ref="A1:Y37"/>
  <sheetViews>
    <sheetView showGridLines="0" workbookViewId="0">
      <pane ySplit="16" topLeftCell="A17" activePane="bottomLeft" state="frozen"/>
      <selection pane="bottomLeft" activeCell="A1" sqref="A1"/>
    </sheetView>
  </sheetViews>
  <sheetFormatPr baseColWidth="8" defaultRowHeight="15"/>
  <cols>
    <col width="3" customWidth="1" min="1" max="1"/>
    <col width="10" customWidth="1" min="2" max="2"/>
    <col width="20" customWidth="1" min="3" max="3"/>
    <col width="12" customWidth="1" min="4" max="4"/>
    <col width="8" customWidth="1" min="5" max="5"/>
    <col width="44" customWidth="1" min="6" max="6"/>
    <col width="15" customWidth="1" min="7" max="7"/>
    <col width="10" customWidth="1" min="8" max="8"/>
    <col width="20" customWidth="1" min="9" max="9"/>
    <col width="7" customWidth="1" min="10" max="10"/>
    <col width="15" customWidth="1" min="11" max="11"/>
    <col width="11" customWidth="1" min="12" max="12"/>
    <col width="12" customWidth="1" min="13" max="13"/>
    <col width="11" customWidth="1" min="14" max="14"/>
    <col width="10" customWidth="1" min="15" max="15"/>
    <col width="13" customWidth="1" min="16" max="16"/>
    <col width="13" customWidth="1" min="17" max="17"/>
    <col width="14" customWidth="1" min="18" max="18"/>
    <col width="20" customWidth="1" min="19" max="19"/>
    <col width="10" customWidth="1" min="20" max="20"/>
    <col width="9" customWidth="1" min="21" max="21"/>
    <col width="9" customWidth="1" min="22" max="22"/>
    <col width="7" customWidth="1" min="23" max="23"/>
    <col width="11" customWidth="1" min="24" max="24"/>
    <col width="40" customWidth="1" min="25" max="25"/>
  </cols>
  <sheetData>
    <row r="1">
      <c r="A1" s="13" t="inlineStr">
        <is>
          <t>&lt; Cover</t>
        </is>
      </c>
    </row>
    <row r="2">
      <c r="B2" s="14" t="inlineStr">
        <is>
          <t>Task Information Delivery Plan — Public health (plumbing and drainage)</t>
        </is>
      </c>
    </row>
    <row r="4">
      <c r="B4" s="7" t="inlineStr">
        <is>
          <t>The deliverables below are those already assigned to you in the Master Information Delivery Plan. Confirm the planned dates, add any deliverable your scope requires that is not listed, and return this sheet to the Information Manager. Rows are merged back into the register by reference. Use the drop-down lists; if a value you need is not offered, raise it rather than typing a variant.</t>
        </is>
      </c>
    </row>
    <row r="5"/>
    <row r="7">
      <c r="B7" s="4" t="inlineStr">
        <is>
          <t>Task Information Delivery Plan</t>
        </is>
      </c>
      <c r="C7" s="5" t="inlineStr">
        <is>
          <t>TIDP-P</t>
        </is>
      </c>
    </row>
    <row r="8">
      <c r="B8" s="4" t="inlineStr">
        <is>
          <t>Scope</t>
        </is>
      </c>
      <c r="C8" s="5" t="inlineStr">
        <is>
          <t>Public health (plumbing and drainage)</t>
        </is>
      </c>
    </row>
    <row r="9">
      <c r="B9" s="4" t="inlineStr">
        <is>
          <t>Appointed party</t>
        </is>
      </c>
      <c r="C9" s="5" t="inlineStr">
        <is>
          <t>[FILL — MEP engineer]</t>
        </is>
      </c>
    </row>
    <row r="10">
      <c r="B10" s="4" t="inlineStr">
        <is>
          <t>Originator code</t>
        </is>
      </c>
      <c r="C10" s="5" t="inlineStr">
        <is>
          <t>[FILL — once the register is issued]</t>
        </is>
      </c>
    </row>
    <row r="11">
      <c r="B11" s="4" t="inlineStr">
        <is>
          <t>Task Team Manager</t>
        </is>
      </c>
      <c r="C11" s="5" t="inlineStr">
        <is>
          <t>[FILL]</t>
        </is>
      </c>
    </row>
    <row r="12">
      <c r="B12" s="4" t="inlineStr">
        <is>
          <t>Contact</t>
        </is>
      </c>
      <c r="C12" s="5" t="inlineStr">
        <is>
          <t>[FILL]</t>
        </is>
      </c>
    </row>
    <row r="13">
      <c r="B13" s="4" t="inlineStr">
        <is>
          <t>Revision</t>
        </is>
      </c>
      <c r="C13" s="5" t="inlineStr">
        <is>
          <t>P01</t>
        </is>
      </c>
    </row>
    <row r="14">
      <c r="B14" s="4" t="inlineStr">
        <is>
          <t>Date</t>
        </is>
      </c>
      <c r="C14" s="5" t="inlineStr">
        <is>
          <t>[FILL]</t>
        </is>
      </c>
    </row>
    <row r="16" ht="30" customHeight="1">
      <c r="A16" s="17" t="n"/>
      <c r="B16" s="17" t="inlineStr">
        <is>
          <t>Ref</t>
        </is>
      </c>
      <c r="C16" s="17" t="inlineStr">
        <is>
          <t>Discipline</t>
        </is>
      </c>
      <c r="D16" s="17" t="inlineStr">
        <is>
          <t>Originator</t>
        </is>
      </c>
      <c r="E16" s="17" t="inlineStr">
        <is>
          <t>Volume</t>
        </is>
      </c>
      <c r="F16" s="17" t="inlineStr">
        <is>
          <t>Deliverable</t>
        </is>
      </c>
      <c r="G16" s="17" t="inlineStr">
        <is>
          <t>Type</t>
        </is>
      </c>
      <c r="H16" s="17" t="inlineStr">
        <is>
          <t>Type code</t>
        </is>
      </c>
      <c r="I16" s="17" t="inlineStr">
        <is>
          <t>Stage</t>
        </is>
      </c>
      <c r="J16" s="17" t="inlineStr">
        <is>
          <t>LOD</t>
        </is>
      </c>
      <c r="K16" s="17" t="inlineStr">
        <is>
          <t>Format</t>
        </is>
      </c>
      <c r="L16" s="17" t="inlineStr">
        <is>
          <t>Suitability</t>
        </is>
      </c>
      <c r="M16" s="17" t="inlineStr">
        <is>
          <t>CDE State</t>
        </is>
      </c>
      <c r="N16" s="17" t="inlineStr">
        <is>
          <t>Month from</t>
        </is>
      </c>
      <c r="O16" s="17" t="inlineStr">
        <is>
          <t>Month to</t>
        </is>
      </c>
      <c r="P16" s="17" t="inlineStr">
        <is>
          <t>Planned date</t>
        </is>
      </c>
      <c r="Q16" s="17" t="inlineStr">
        <is>
          <t>Actual date</t>
        </is>
      </c>
      <c r="R16" s="17" t="inlineStr">
        <is>
          <t>Variance (days)</t>
        </is>
      </c>
      <c r="S16" s="17" t="inlineStr">
        <is>
          <t>Responsible</t>
        </is>
      </c>
      <c r="T16" s="17" t="inlineStr">
        <is>
          <t>TIDP ref</t>
        </is>
      </c>
      <c r="U16" s="17" t="inlineStr">
        <is>
          <t>Critical</t>
        </is>
      </c>
      <c r="V16" s="17" t="inlineStr">
        <is>
          <t>As-built</t>
        </is>
      </c>
      <c r="W16" s="17" t="inlineStr">
        <is>
          <t>O&amp;M</t>
        </is>
      </c>
      <c r="X16" s="17" t="inlineStr">
        <is>
          <t>RAG</t>
        </is>
      </c>
      <c r="Y16" s="17" t="inlineStr">
        <is>
          <t>Notes</t>
        </is>
      </c>
    </row>
    <row r="17">
      <c r="B17" s="24" t="inlineStr">
        <is>
          <t>P-100</t>
        </is>
      </c>
      <c r="C17" s="24" t="inlineStr">
        <is>
          <t>Public Health</t>
        </is>
      </c>
      <c r="D17" s="24" t="inlineStr"/>
      <c r="E17" s="25" t="inlineStr">
        <is>
          <t>ZZ</t>
        </is>
      </c>
      <c r="F17" s="26" t="inlineStr">
        <is>
          <t>Plumbing and drainage model</t>
        </is>
      </c>
      <c r="G17" s="24" t="inlineStr">
        <is>
          <t>Model</t>
        </is>
      </c>
      <c r="H17" s="25" t="inlineStr">
        <is>
          <t>M3</t>
        </is>
      </c>
      <c r="I17" s="24" t="inlineStr">
        <is>
          <t>2.1 Deliverable A</t>
        </is>
      </c>
      <c r="J17" s="25" t="inlineStr">
        <is>
          <t>200</t>
        </is>
      </c>
      <c r="K17" s="24" t="inlineStr">
        <is>
          <t>RVT/IFC</t>
        </is>
      </c>
      <c r="L17" s="25" t="inlineStr">
        <is>
          <t>S2</t>
        </is>
      </c>
      <c r="M17" s="25" t="inlineStr">
        <is>
          <t>Shared</t>
        </is>
      </c>
      <c r="N17" s="25" t="n">
        <v>1</v>
      </c>
      <c r="O17" s="25" t="n">
        <v>1</v>
      </c>
      <c r="P17" s="27" t="n"/>
      <c r="Q17" s="27" t="n"/>
      <c r="R17" s="24" t="n"/>
      <c r="S17" s="24" t="inlineStr">
        <is>
          <t>MEP lead</t>
        </is>
      </c>
      <c r="T17" s="24" t="inlineStr">
        <is>
          <t>TIDP-P</t>
        </is>
      </c>
      <c r="U17" s="25" t="inlineStr">
        <is>
          <t>Y</t>
        </is>
      </c>
      <c r="V17" s="25" t="inlineStr">
        <is>
          <t>Y</t>
        </is>
      </c>
      <c r="W17" s="25" t="inlineStr">
        <is>
          <t>N</t>
        </is>
      </c>
      <c r="X17" s="25" t="inlineStr"/>
      <c r="Y17" s="26" t="inlineStr">
        <is>
          <t>Primary routes; font systems indicated</t>
        </is>
      </c>
    </row>
    <row r="18">
      <c r="B18" s="24" t="inlineStr">
        <is>
          <t>P-200</t>
        </is>
      </c>
      <c r="C18" s="24" t="inlineStr">
        <is>
          <t>Public Health</t>
        </is>
      </c>
      <c r="D18" s="24" t="inlineStr"/>
      <c r="E18" s="25" t="inlineStr">
        <is>
          <t>ZZ</t>
        </is>
      </c>
      <c r="F18" s="26" t="inlineStr">
        <is>
          <t>Plumbing and drainage model</t>
        </is>
      </c>
      <c r="G18" s="24" t="inlineStr">
        <is>
          <t>Model</t>
        </is>
      </c>
      <c r="H18" s="25" t="inlineStr">
        <is>
          <t>M3</t>
        </is>
      </c>
      <c r="I18" s="24" t="inlineStr">
        <is>
          <t>2.2 Deliverable B</t>
        </is>
      </c>
      <c r="J18" s="25" t="inlineStr">
        <is>
          <t>300</t>
        </is>
      </c>
      <c r="K18" s="24" t="inlineStr">
        <is>
          <t>RVT/IFC</t>
        </is>
      </c>
      <c r="L18" s="25" t="inlineStr">
        <is>
          <t>S2</t>
        </is>
      </c>
      <c r="M18" s="25" t="inlineStr">
        <is>
          <t>Shared</t>
        </is>
      </c>
      <c r="N18" s="25" t="n">
        <v>2</v>
      </c>
      <c r="O18" s="25" t="n">
        <v>4</v>
      </c>
      <c r="P18" s="27" t="n"/>
      <c r="Q18" s="27" t="n"/>
      <c r="R18" s="24" t="n"/>
      <c r="S18" s="24" t="inlineStr">
        <is>
          <t>MEP lead</t>
        </is>
      </c>
      <c r="T18" s="24" t="inlineStr">
        <is>
          <t>TIDP-P</t>
        </is>
      </c>
      <c r="U18" s="25" t="inlineStr">
        <is>
          <t>Y</t>
        </is>
      </c>
      <c r="V18" s="25" t="inlineStr">
        <is>
          <t>Y</t>
        </is>
      </c>
      <c r="W18" s="25" t="inlineStr">
        <is>
          <t>N</t>
        </is>
      </c>
      <c r="X18" s="25" t="inlineStr"/>
      <c r="Y18" s="26" t="inlineStr">
        <is>
          <t>Real pipework with code falls; fixtures placed</t>
        </is>
      </c>
    </row>
    <row r="19">
      <c r="B19" s="24" t="inlineStr">
        <is>
          <t>P-201</t>
        </is>
      </c>
      <c r="C19" s="24" t="inlineStr">
        <is>
          <t>Public Health</t>
        </is>
      </c>
      <c r="D19" s="24" t="inlineStr"/>
      <c r="E19" s="25" t="inlineStr">
        <is>
          <t>ZZ</t>
        </is>
      </c>
      <c r="F19" s="26" t="inlineStr">
        <is>
          <t>Plumbing and drainage layouts (50%)</t>
        </is>
      </c>
      <c r="G19" s="24" t="inlineStr">
        <is>
          <t>Drawing</t>
        </is>
      </c>
      <c r="H19" s="25" t="inlineStr">
        <is>
          <t>DR</t>
        </is>
      </c>
      <c r="I19" s="24" t="inlineStr">
        <is>
          <t>2.2 Deliverable B</t>
        </is>
      </c>
      <c r="J19" s="25" t="inlineStr">
        <is>
          <t>300</t>
        </is>
      </c>
      <c r="K19" s="24" t="inlineStr">
        <is>
          <t>PDF/DWG</t>
        </is>
      </c>
      <c r="L19" s="25" t="inlineStr">
        <is>
          <t>S2</t>
        </is>
      </c>
      <c r="M19" s="25" t="inlineStr">
        <is>
          <t>Shared</t>
        </is>
      </c>
      <c r="N19" s="25" t="n">
        <v>4</v>
      </c>
      <c r="O19" s="25" t="n">
        <v>4</v>
      </c>
      <c r="P19" s="27" t="n"/>
      <c r="Q19" s="27" t="n"/>
      <c r="R19" s="24" t="n"/>
      <c r="S19" s="24" t="inlineStr">
        <is>
          <t>MEP lead</t>
        </is>
      </c>
      <c r="T19" s="24" t="inlineStr">
        <is>
          <t>TIDP-P</t>
        </is>
      </c>
      <c r="U19" s="25" t="inlineStr">
        <is>
          <t>N</t>
        </is>
      </c>
      <c r="V19" s="25" t="inlineStr">
        <is>
          <t>Y</t>
        </is>
      </c>
      <c r="W19" s="25" t="inlineStr">
        <is>
          <t>N</t>
        </is>
      </c>
      <c r="X19" s="25" t="inlineStr"/>
      <c r="Y19" s="26" t="inlineStr"/>
    </row>
    <row r="20">
      <c r="B20" s="24" t="inlineStr">
        <is>
          <t>P-300</t>
        </is>
      </c>
      <c r="C20" s="24" t="inlineStr">
        <is>
          <t>Public Health</t>
        </is>
      </c>
      <c r="D20" s="24" t="inlineStr"/>
      <c r="E20" s="25" t="inlineStr">
        <is>
          <t>ZZ</t>
        </is>
      </c>
      <c r="F20" s="26" t="inlineStr">
        <is>
          <t>Plumbing model and drawing set (100%)</t>
        </is>
      </c>
      <c r="G20" s="24" t="inlineStr">
        <is>
          <t>Model/Drawing</t>
        </is>
      </c>
      <c r="H20" s="25" t="inlineStr">
        <is>
          <t>M3</t>
        </is>
      </c>
      <c r="I20" s="24" t="inlineStr">
        <is>
          <t>2.3 Deliverable C</t>
        </is>
      </c>
      <c r="J20" s="25" t="inlineStr">
        <is>
          <t>350</t>
        </is>
      </c>
      <c r="K20" s="24" t="inlineStr">
        <is>
          <t>RVT/PDF</t>
        </is>
      </c>
      <c r="L20" s="25" t="inlineStr">
        <is>
          <t>S4</t>
        </is>
      </c>
      <c r="M20" s="25" t="inlineStr">
        <is>
          <t>Shared</t>
        </is>
      </c>
      <c r="N20" s="25" t="n">
        <v>5</v>
      </c>
      <c r="O20" s="25" t="n">
        <v>8</v>
      </c>
      <c r="P20" s="27" t="n"/>
      <c r="Q20" s="27" t="n"/>
      <c r="R20" s="24" t="n"/>
      <c r="S20" s="24" t="inlineStr">
        <is>
          <t>MEP lead</t>
        </is>
      </c>
      <c r="T20" s="24" t="inlineStr">
        <is>
          <t>TIDP-P</t>
        </is>
      </c>
      <c r="U20" s="25" t="inlineStr">
        <is>
          <t>Y</t>
        </is>
      </c>
      <c r="V20" s="25" t="inlineStr">
        <is>
          <t>Y</t>
        </is>
      </c>
      <c r="W20" s="25" t="inlineStr">
        <is>
          <t>N</t>
        </is>
      </c>
      <c r="X20" s="25" t="inlineStr"/>
      <c r="Y20" s="26" t="inlineStr"/>
    </row>
    <row r="21">
      <c r="B21" s="24" t="inlineStr">
        <is>
          <t>P-500</t>
        </is>
      </c>
      <c r="C21" s="24" t="inlineStr">
        <is>
          <t>Public Health</t>
        </is>
      </c>
      <c r="D21" s="24" t="inlineStr"/>
      <c r="E21" s="25" t="inlineStr">
        <is>
          <t>ZZ</t>
        </is>
      </c>
      <c r="F21" s="26" t="inlineStr">
        <is>
          <t>Construction-stage model (revisions tracked)</t>
        </is>
      </c>
      <c r="G21" s="24" t="inlineStr">
        <is>
          <t>Model</t>
        </is>
      </c>
      <c r="H21" s="25" t="inlineStr">
        <is>
          <t>M3</t>
        </is>
      </c>
      <c r="I21" s="24" t="inlineStr">
        <is>
          <t>3.1 Construction</t>
        </is>
      </c>
      <c r="J21" s="25" t="inlineStr">
        <is>
          <t>400</t>
        </is>
      </c>
      <c r="K21" s="24" t="inlineStr">
        <is>
          <t>RVT/IFC</t>
        </is>
      </c>
      <c r="L21" s="25" t="inlineStr">
        <is>
          <t>A1</t>
        </is>
      </c>
      <c r="M21" s="25" t="inlineStr">
        <is>
          <t>Published</t>
        </is>
      </c>
      <c r="N21" s="25" t="n">
        <v>12</v>
      </c>
      <c r="O21" s="25" t="n">
        <v>43</v>
      </c>
      <c r="P21" s="27" t="n"/>
      <c r="Q21" s="27" t="n"/>
      <c r="R21" s="24" t="n"/>
      <c r="S21" s="24" t="inlineStr">
        <is>
          <t>MEP lead</t>
        </is>
      </c>
      <c r="T21" s="24" t="inlineStr">
        <is>
          <t>TIDP-P</t>
        </is>
      </c>
      <c r="U21" s="25" t="inlineStr">
        <is>
          <t>Y</t>
        </is>
      </c>
      <c r="V21" s="25" t="inlineStr">
        <is>
          <t>Y</t>
        </is>
      </c>
      <c r="W21" s="25" t="inlineStr">
        <is>
          <t>N</t>
        </is>
      </c>
      <c r="X21" s="25" t="inlineStr"/>
      <c r="Y21" s="26" t="inlineStr"/>
    </row>
    <row r="22">
      <c r="B22" s="24" t="inlineStr">
        <is>
          <t>P-700</t>
        </is>
      </c>
      <c r="C22" s="24" t="inlineStr">
        <is>
          <t>Public Health</t>
        </is>
      </c>
      <c r="D22" s="24" t="inlineStr"/>
      <c r="E22" s="25" t="inlineStr">
        <is>
          <t>ZZ</t>
        </is>
      </c>
      <c r="F22" s="26" t="inlineStr">
        <is>
          <t>As-built plumbing and drainage model (LOD 500, verified)</t>
        </is>
      </c>
      <c r="G22" s="24" t="inlineStr">
        <is>
          <t>Model</t>
        </is>
      </c>
      <c r="H22" s="25" t="inlineStr">
        <is>
          <t>M3</t>
        </is>
      </c>
      <c r="I22" s="24" t="inlineStr">
        <is>
          <t>3.3 Deliverable D</t>
        </is>
      </c>
      <c r="J22" s="25" t="inlineStr">
        <is>
          <t>500</t>
        </is>
      </c>
      <c r="K22" s="24" t="inlineStr">
        <is>
          <t>RVT/IFC</t>
        </is>
      </c>
      <c r="L22" s="25" t="inlineStr">
        <is>
          <t>A1</t>
        </is>
      </c>
      <c r="M22" s="25" t="inlineStr">
        <is>
          <t>Published</t>
        </is>
      </c>
      <c r="N22" s="25" t="n">
        <v>48</v>
      </c>
      <c r="O22" s="25" t="n">
        <v>49</v>
      </c>
      <c r="P22" s="27" t="n"/>
      <c r="Q22" s="27" t="n"/>
      <c r="R22" s="24" t="n"/>
      <c r="S22" s="24" t="inlineStr">
        <is>
          <t>MEP lead</t>
        </is>
      </c>
      <c r="T22" s="24" t="inlineStr">
        <is>
          <t>TIDP-P</t>
        </is>
      </c>
      <c r="U22" s="25" t="inlineStr">
        <is>
          <t>Y</t>
        </is>
      </c>
      <c r="V22" s="25" t="inlineStr">
        <is>
          <t>Y</t>
        </is>
      </c>
      <c r="W22" s="25" t="inlineStr">
        <is>
          <t>Y</t>
        </is>
      </c>
      <c r="X22" s="25" t="inlineStr"/>
      <c r="Y22" s="26" t="inlineStr">
        <is>
          <t>Authored by the design consultant from the Contractor as-built documentation; verified by the Information Manager</t>
        </is>
      </c>
    </row>
    <row r="23">
      <c r="B23" s="18" t="n"/>
      <c r="C23" s="18" t="n"/>
      <c r="D23" s="18" t="n"/>
      <c r="E23" s="18" t="n"/>
      <c r="F23" s="18" t="n"/>
      <c r="G23" s="18" t="n"/>
      <c r="H23" s="18" t="n"/>
      <c r="I23" s="18" t="n"/>
      <c r="J23" s="18" t="n"/>
      <c r="K23" s="18" t="n"/>
      <c r="L23" s="18" t="n"/>
      <c r="M23" s="18" t="n"/>
      <c r="N23" s="18" t="n"/>
      <c r="O23" s="18" t="n"/>
      <c r="P23" s="20" t="n"/>
      <c r="Q23" s="20" t="n"/>
      <c r="R23" s="18" t="n"/>
      <c r="S23" s="18" t="n"/>
      <c r="T23" s="18" t="n"/>
      <c r="U23" s="18" t="n"/>
      <c r="V23" s="18" t="n"/>
      <c r="W23" s="18" t="n"/>
      <c r="X23" s="18" t="n"/>
      <c r="Y23" s="18" t="n"/>
    </row>
    <row r="24">
      <c r="B24" s="18" t="n"/>
      <c r="C24" s="18" t="n"/>
      <c r="D24" s="18" t="n"/>
      <c r="E24" s="18" t="n"/>
      <c r="F24" s="18" t="n"/>
      <c r="G24" s="18" t="n"/>
      <c r="H24" s="18" t="n"/>
      <c r="I24" s="18" t="n"/>
      <c r="J24" s="18" t="n"/>
      <c r="K24" s="18" t="n"/>
      <c r="L24" s="18" t="n"/>
      <c r="M24" s="18" t="n"/>
      <c r="N24" s="18" t="n"/>
      <c r="O24" s="18" t="n"/>
      <c r="P24" s="20" t="n"/>
      <c r="Q24" s="20" t="n"/>
      <c r="R24" s="18" t="n"/>
      <c r="S24" s="18" t="n"/>
      <c r="T24" s="18" t="n"/>
      <c r="U24" s="18" t="n"/>
      <c r="V24" s="18" t="n"/>
      <c r="W24" s="18" t="n"/>
      <c r="X24" s="18" t="n"/>
      <c r="Y24" s="18" t="n"/>
    </row>
    <row r="25">
      <c r="B25" s="18" t="n"/>
      <c r="C25" s="18" t="n"/>
      <c r="D25" s="18" t="n"/>
      <c r="E25" s="18" t="n"/>
      <c r="F25" s="18" t="n"/>
      <c r="G25" s="18" t="n"/>
      <c r="H25" s="18" t="n"/>
      <c r="I25" s="18" t="n"/>
      <c r="J25" s="18" t="n"/>
      <c r="K25" s="18" t="n"/>
      <c r="L25" s="18" t="n"/>
      <c r="M25" s="18" t="n"/>
      <c r="N25" s="18" t="n"/>
      <c r="O25" s="18" t="n"/>
      <c r="P25" s="20" t="n"/>
      <c r="Q25" s="20" t="n"/>
      <c r="R25" s="18" t="n"/>
      <c r="S25" s="18" t="n"/>
      <c r="T25" s="18" t="n"/>
      <c r="U25" s="18" t="n"/>
      <c r="V25" s="18" t="n"/>
      <c r="W25" s="18" t="n"/>
      <c r="X25" s="18" t="n"/>
      <c r="Y25" s="18" t="n"/>
    </row>
    <row r="26">
      <c r="B26" s="18" t="n"/>
      <c r="C26" s="18" t="n"/>
      <c r="D26" s="18" t="n"/>
      <c r="E26" s="18" t="n"/>
      <c r="F26" s="18" t="n"/>
      <c r="G26" s="18" t="n"/>
      <c r="H26" s="18" t="n"/>
      <c r="I26" s="18" t="n"/>
      <c r="J26" s="18" t="n"/>
      <c r="K26" s="18" t="n"/>
      <c r="L26" s="18" t="n"/>
      <c r="M26" s="18" t="n"/>
      <c r="N26" s="18" t="n"/>
      <c r="O26" s="18" t="n"/>
      <c r="P26" s="20" t="n"/>
      <c r="Q26" s="20" t="n"/>
      <c r="R26" s="18" t="n"/>
      <c r="S26" s="18" t="n"/>
      <c r="T26" s="18" t="n"/>
      <c r="U26" s="18" t="n"/>
      <c r="V26" s="18" t="n"/>
      <c r="W26" s="18" t="n"/>
      <c r="X26" s="18" t="n"/>
      <c r="Y26" s="18" t="n"/>
    </row>
    <row r="27">
      <c r="B27" s="18" t="n"/>
      <c r="C27" s="18" t="n"/>
      <c r="D27" s="18" t="n"/>
      <c r="E27" s="18" t="n"/>
      <c r="F27" s="18" t="n"/>
      <c r="G27" s="18" t="n"/>
      <c r="H27" s="18" t="n"/>
      <c r="I27" s="18" t="n"/>
      <c r="J27" s="18" t="n"/>
      <c r="K27" s="18" t="n"/>
      <c r="L27" s="18" t="n"/>
      <c r="M27" s="18" t="n"/>
      <c r="N27" s="18" t="n"/>
      <c r="O27" s="18" t="n"/>
      <c r="P27" s="20" t="n"/>
      <c r="Q27" s="20" t="n"/>
      <c r="R27" s="18" t="n"/>
      <c r="S27" s="18" t="n"/>
      <c r="T27" s="18" t="n"/>
      <c r="U27" s="18" t="n"/>
      <c r="V27" s="18" t="n"/>
      <c r="W27" s="18" t="n"/>
      <c r="X27" s="18" t="n"/>
      <c r="Y27" s="18" t="n"/>
    </row>
    <row r="28">
      <c r="B28" s="18" t="n"/>
      <c r="C28" s="18" t="n"/>
      <c r="D28" s="18" t="n"/>
      <c r="E28" s="18" t="n"/>
      <c r="F28" s="18" t="n"/>
      <c r="G28" s="18" t="n"/>
      <c r="H28" s="18" t="n"/>
      <c r="I28" s="18" t="n"/>
      <c r="J28" s="18" t="n"/>
      <c r="K28" s="18" t="n"/>
      <c r="L28" s="18" t="n"/>
      <c r="M28" s="18" t="n"/>
      <c r="N28" s="18" t="n"/>
      <c r="O28" s="18" t="n"/>
      <c r="P28" s="20" t="n"/>
      <c r="Q28" s="20" t="n"/>
      <c r="R28" s="18" t="n"/>
      <c r="S28" s="18" t="n"/>
      <c r="T28" s="18" t="n"/>
      <c r="U28" s="18" t="n"/>
      <c r="V28" s="18" t="n"/>
      <c r="W28" s="18" t="n"/>
      <c r="X28" s="18" t="n"/>
      <c r="Y28" s="18" t="n"/>
    </row>
    <row r="29">
      <c r="B29" s="18" t="n"/>
      <c r="C29" s="18" t="n"/>
      <c r="D29" s="18" t="n"/>
      <c r="E29" s="18" t="n"/>
      <c r="F29" s="18" t="n"/>
      <c r="G29" s="18" t="n"/>
      <c r="H29" s="18" t="n"/>
      <c r="I29" s="18" t="n"/>
      <c r="J29" s="18" t="n"/>
      <c r="K29" s="18" t="n"/>
      <c r="L29" s="18" t="n"/>
      <c r="M29" s="18" t="n"/>
      <c r="N29" s="18" t="n"/>
      <c r="O29" s="18" t="n"/>
      <c r="P29" s="20" t="n"/>
      <c r="Q29" s="20" t="n"/>
      <c r="R29" s="18" t="n"/>
      <c r="S29" s="18" t="n"/>
      <c r="T29" s="18" t="n"/>
      <c r="U29" s="18" t="n"/>
      <c r="V29" s="18" t="n"/>
      <c r="W29" s="18" t="n"/>
      <c r="X29" s="18" t="n"/>
      <c r="Y29" s="18" t="n"/>
    </row>
    <row r="30">
      <c r="B30" s="18" t="n"/>
      <c r="C30" s="18" t="n"/>
      <c r="D30" s="18" t="n"/>
      <c r="E30" s="18" t="n"/>
      <c r="F30" s="18" t="n"/>
      <c r="G30" s="18" t="n"/>
      <c r="H30" s="18" t="n"/>
      <c r="I30" s="18" t="n"/>
      <c r="J30" s="18" t="n"/>
      <c r="K30" s="18" t="n"/>
      <c r="L30" s="18" t="n"/>
      <c r="M30" s="18" t="n"/>
      <c r="N30" s="18" t="n"/>
      <c r="O30" s="18" t="n"/>
      <c r="P30" s="20" t="n"/>
      <c r="Q30" s="20" t="n"/>
      <c r="R30" s="18" t="n"/>
      <c r="S30" s="18" t="n"/>
      <c r="T30" s="18" t="n"/>
      <c r="U30" s="18" t="n"/>
      <c r="V30" s="18" t="n"/>
      <c r="W30" s="18" t="n"/>
      <c r="X30" s="18" t="n"/>
      <c r="Y30" s="18" t="n"/>
    </row>
    <row r="31">
      <c r="B31" s="18" t="n"/>
      <c r="C31" s="18" t="n"/>
      <c r="D31" s="18" t="n"/>
      <c r="E31" s="18" t="n"/>
      <c r="F31" s="18" t="n"/>
      <c r="G31" s="18" t="n"/>
      <c r="H31" s="18" t="n"/>
      <c r="I31" s="18" t="n"/>
      <c r="J31" s="18" t="n"/>
      <c r="K31" s="18" t="n"/>
      <c r="L31" s="18" t="n"/>
      <c r="M31" s="18" t="n"/>
      <c r="N31" s="18" t="n"/>
      <c r="O31" s="18" t="n"/>
      <c r="P31" s="20" t="n"/>
      <c r="Q31" s="20" t="n"/>
      <c r="R31" s="18" t="n"/>
      <c r="S31" s="18" t="n"/>
      <c r="T31" s="18" t="n"/>
      <c r="U31" s="18" t="n"/>
      <c r="V31" s="18" t="n"/>
      <c r="W31" s="18" t="n"/>
      <c r="X31" s="18" t="n"/>
      <c r="Y31" s="18" t="n"/>
    </row>
    <row r="32">
      <c r="B32" s="18" t="n"/>
      <c r="C32" s="18" t="n"/>
      <c r="D32" s="18" t="n"/>
      <c r="E32" s="18" t="n"/>
      <c r="F32" s="18" t="n"/>
      <c r="G32" s="18" t="n"/>
      <c r="H32" s="18" t="n"/>
      <c r="I32" s="18" t="n"/>
      <c r="J32" s="18" t="n"/>
      <c r="K32" s="18" t="n"/>
      <c r="L32" s="18" t="n"/>
      <c r="M32" s="18" t="n"/>
      <c r="N32" s="18" t="n"/>
      <c r="O32" s="18" t="n"/>
      <c r="P32" s="20" t="n"/>
      <c r="Q32" s="20" t="n"/>
      <c r="R32" s="18" t="n"/>
      <c r="S32" s="18" t="n"/>
      <c r="T32" s="18" t="n"/>
      <c r="U32" s="18" t="n"/>
      <c r="V32" s="18" t="n"/>
      <c r="W32" s="18" t="n"/>
      <c r="X32" s="18" t="n"/>
      <c r="Y32" s="18" t="n"/>
    </row>
    <row r="33">
      <c r="B33" s="18" t="n"/>
      <c r="C33" s="18" t="n"/>
      <c r="D33" s="18" t="n"/>
      <c r="E33" s="18" t="n"/>
      <c r="F33" s="18" t="n"/>
      <c r="G33" s="18" t="n"/>
      <c r="H33" s="18" t="n"/>
      <c r="I33" s="18" t="n"/>
      <c r="J33" s="18" t="n"/>
      <c r="K33" s="18" t="n"/>
      <c r="L33" s="18" t="n"/>
      <c r="M33" s="18" t="n"/>
      <c r="N33" s="18" t="n"/>
      <c r="O33" s="18" t="n"/>
      <c r="P33" s="20" t="n"/>
      <c r="Q33" s="20" t="n"/>
      <c r="R33" s="18" t="n"/>
      <c r="S33" s="18" t="n"/>
      <c r="T33" s="18" t="n"/>
      <c r="U33" s="18" t="n"/>
      <c r="V33" s="18" t="n"/>
      <c r="W33" s="18" t="n"/>
      <c r="X33" s="18" t="n"/>
      <c r="Y33" s="18" t="n"/>
    </row>
    <row r="34">
      <c r="B34" s="18" t="n"/>
      <c r="C34" s="18" t="n"/>
      <c r="D34" s="18" t="n"/>
      <c r="E34" s="18" t="n"/>
      <c r="F34" s="18" t="n"/>
      <c r="G34" s="18" t="n"/>
      <c r="H34" s="18" t="n"/>
      <c r="I34" s="18" t="n"/>
      <c r="J34" s="18" t="n"/>
      <c r="K34" s="18" t="n"/>
      <c r="L34" s="18" t="n"/>
      <c r="M34" s="18" t="n"/>
      <c r="N34" s="18" t="n"/>
      <c r="O34" s="18" t="n"/>
      <c r="P34" s="20" t="n"/>
      <c r="Q34" s="20" t="n"/>
      <c r="R34" s="18" t="n"/>
      <c r="S34" s="18" t="n"/>
      <c r="T34" s="18" t="n"/>
      <c r="U34" s="18" t="n"/>
      <c r="V34" s="18" t="n"/>
      <c r="W34" s="18" t="n"/>
      <c r="X34" s="18" t="n"/>
      <c r="Y34" s="18" t="n"/>
    </row>
    <row r="35">
      <c r="B35" s="18" t="n"/>
      <c r="C35" s="18" t="n"/>
      <c r="D35" s="18" t="n"/>
      <c r="E35" s="18" t="n"/>
      <c r="F35" s="18" t="n"/>
      <c r="G35" s="18" t="n"/>
      <c r="H35" s="18" t="n"/>
      <c r="I35" s="18" t="n"/>
      <c r="J35" s="18" t="n"/>
      <c r="K35" s="18" t="n"/>
      <c r="L35" s="18" t="n"/>
      <c r="M35" s="18" t="n"/>
      <c r="N35" s="18" t="n"/>
      <c r="O35" s="18" t="n"/>
      <c r="P35" s="20" t="n"/>
      <c r="Q35" s="20" t="n"/>
      <c r="R35" s="18" t="n"/>
      <c r="S35" s="18" t="n"/>
      <c r="T35" s="18" t="n"/>
      <c r="U35" s="18" t="n"/>
      <c r="V35" s="18" t="n"/>
      <c r="W35" s="18" t="n"/>
      <c r="X35" s="18" t="n"/>
      <c r="Y35" s="18" t="n"/>
    </row>
    <row r="36">
      <c r="B36" s="18" t="n"/>
      <c r="C36" s="18" t="n"/>
      <c r="D36" s="18" t="n"/>
      <c r="E36" s="18" t="n"/>
      <c r="F36" s="18" t="n"/>
      <c r="G36" s="18" t="n"/>
      <c r="H36" s="18" t="n"/>
      <c r="I36" s="18" t="n"/>
      <c r="J36" s="18" t="n"/>
      <c r="K36" s="18" t="n"/>
      <c r="L36" s="18" t="n"/>
      <c r="M36" s="18" t="n"/>
      <c r="N36" s="18" t="n"/>
      <c r="O36" s="18" t="n"/>
      <c r="P36" s="20" t="n"/>
      <c r="Q36" s="20" t="n"/>
      <c r="R36" s="18" t="n"/>
      <c r="S36" s="18" t="n"/>
      <c r="T36" s="18" t="n"/>
      <c r="U36" s="18" t="n"/>
      <c r="V36" s="18" t="n"/>
      <c r="W36" s="18" t="n"/>
      <c r="X36" s="18" t="n"/>
      <c r="Y36" s="18" t="n"/>
    </row>
    <row r="37">
      <c r="B37" s="18" t="n"/>
      <c r="C37" s="18" t="n"/>
      <c r="D37" s="18" t="n"/>
      <c r="E37" s="18" t="n"/>
      <c r="F37" s="18" t="n"/>
      <c r="G37" s="18" t="n"/>
      <c r="H37" s="18" t="n"/>
      <c r="I37" s="18" t="n"/>
      <c r="J37" s="18" t="n"/>
      <c r="K37" s="18" t="n"/>
      <c r="L37" s="18" t="n"/>
      <c r="M37" s="18" t="n"/>
      <c r="N37" s="18" t="n"/>
      <c r="O37" s="18" t="n"/>
      <c r="P37" s="20" t="n"/>
      <c r="Q37" s="20" t="n"/>
      <c r="R37" s="18" t="n"/>
      <c r="S37" s="18" t="n"/>
      <c r="T37" s="18" t="n"/>
      <c r="U37" s="18" t="n"/>
      <c r="V37" s="18" t="n"/>
      <c r="W37" s="18" t="n"/>
      <c r="X37" s="18" t="n"/>
      <c r="Y37" s="18" t="n"/>
    </row>
  </sheetData>
  <autoFilter ref="A16:X37"/>
  <mergeCells count="1">
    <mergeCell ref="B4:H5"/>
  </mergeCells>
  <dataValidations count="12">
    <dataValidation sqref="C17:C37" showDropDown="0" showInputMessage="0" showErrorMessage="0" allowBlank="1" type="list">
      <formula1>'Lists'!$A$2:$A$30</formula1>
    </dataValidation>
    <dataValidation sqref="E17:E37" showDropDown="0" showInputMessage="0" showErrorMessage="0" allowBlank="1" type="list">
      <formula1>'Lists'!$I$2:$I$30</formula1>
    </dataValidation>
    <dataValidation sqref="G17:G37" showDropDown="0" showInputMessage="0" showErrorMessage="0" allowBlank="1" type="list">
      <formula1>'Lists'!$C$2:$C$30</formula1>
    </dataValidation>
    <dataValidation sqref="H17:H37" showDropDown="0" showInputMessage="0" showErrorMessage="0" allowBlank="1" type="list">
      <formula1>'Lists'!$J$2:$J$30</formula1>
    </dataValidation>
    <dataValidation sqref="I17:I37" showDropDown="0" showInputMessage="0" showErrorMessage="0" allowBlank="1" type="list">
      <formula1>'Lists'!$D$2:$D$30</formula1>
    </dataValidation>
    <dataValidation sqref="J17:J37" showDropDown="0" showInputMessage="0" showErrorMessage="0" allowBlank="1" type="list">
      <formula1>'Lists'!$E$2:$E$30</formula1>
    </dataValidation>
    <dataValidation sqref="L17:L37" showDropDown="0" showInputMessage="0" showErrorMessage="0" allowBlank="1" type="list">
      <formula1>'Lists'!$F$2:$F$30</formula1>
    </dataValidation>
    <dataValidation sqref="M17:M37" showDropDown="0" showInputMessage="0" showErrorMessage="0" allowBlank="1" type="list">
      <formula1>'Lists'!$G$2:$G$30</formula1>
    </dataValidation>
    <dataValidation sqref="U17:U37" showDropDown="0" showInputMessage="0" showErrorMessage="0" allowBlank="1" type="list">
      <formula1>'Lists'!$K$2:$K$30</formula1>
    </dataValidation>
    <dataValidation sqref="V17:V37" showDropDown="0" showInputMessage="0" showErrorMessage="0" allowBlank="1" type="list">
      <formula1>'Lists'!$K$2:$K$30</formula1>
    </dataValidation>
    <dataValidation sqref="W17:W37" showDropDown="0" showInputMessage="0" showErrorMessage="0" allowBlank="1" type="list">
      <formula1>'Lists'!$K$2:$K$30</formula1>
    </dataValidation>
    <dataValidation sqref="X17:X37" showDropDown="0" showInputMessage="0" showErrorMessage="0" allowBlank="1" type="list">
      <formula1>'Lists'!$H$2:$H$30</formula1>
    </dataValidation>
  </dataValidations>
  <hyperlinks>
    <hyperlink xmlns:r="http://schemas.openxmlformats.org/officeDocument/2006/relationships" ref="A1" r:id="rId1"/>
  </hyperlinks>
  <pageMargins left="0.75" right="0.75" top="1" bottom="1" header="0.5" footer="0.5"/>
  <pageSetup orientation="landscape" fitToWidth="1"/>
  <headerFooter>
    <oddHeader>&amp;L&amp;"Calibri,Bold"&amp;9KAMPALA UGANDA TEMPLE&amp;C&amp;"Calibri,Bold"&amp;9&amp;A&amp;R&amp;9KUT-SMB-ZZ-ZZ-SH-Z-0001   Rev P01</oddHeader>
    <oddFooter>&amp;L&amp;9&amp;KC00000DRAFT - not issued (S0, work in progress)&amp;C&amp;8Symbion Consulting Group Studios - Information Manager&amp;R&amp;9&amp;A   Page &amp;P of &amp;N</oddFooter>
    <evenHeader/>
    <evenFooter/>
    <firstHeader/>
    <firstFooter/>
  </headerFooter>
</worksheet>
</file>

<file path=xl/worksheets/sheet10.xml><?xml version="1.0" encoding="utf-8"?>
<worksheet xmlns="http://schemas.openxmlformats.org/spreadsheetml/2006/main">
  <sheetPr>
    <tabColor rgb="00444F5C"/>
    <outlinePr summaryBelow="1" summaryRight="1"/>
    <pageSetUpPr fitToPage="1"/>
  </sheetPr>
  <dimension ref="A1:Y35"/>
  <sheetViews>
    <sheetView showGridLines="0" workbookViewId="0">
      <pane ySplit="16" topLeftCell="A17" activePane="bottomLeft" state="frozen"/>
      <selection pane="bottomLeft" activeCell="A1" sqref="A1"/>
    </sheetView>
  </sheetViews>
  <sheetFormatPr baseColWidth="8" defaultRowHeight="15"/>
  <cols>
    <col width="3" customWidth="1" min="1" max="1"/>
    <col width="10" customWidth="1" min="2" max="2"/>
    <col width="20" customWidth="1" min="3" max="3"/>
    <col width="12" customWidth="1" min="4" max="4"/>
    <col width="8" customWidth="1" min="5" max="5"/>
    <col width="44" customWidth="1" min="6" max="6"/>
    <col width="15" customWidth="1" min="7" max="7"/>
    <col width="10" customWidth="1" min="8" max="8"/>
    <col width="20" customWidth="1" min="9" max="9"/>
    <col width="7" customWidth="1" min="10" max="10"/>
    <col width="15" customWidth="1" min="11" max="11"/>
    <col width="11" customWidth="1" min="12" max="12"/>
    <col width="12" customWidth="1" min="13" max="13"/>
    <col width="11" customWidth="1" min="14" max="14"/>
    <col width="10" customWidth="1" min="15" max="15"/>
    <col width="13" customWidth="1" min="16" max="16"/>
    <col width="13" customWidth="1" min="17" max="17"/>
    <col width="14" customWidth="1" min="18" max="18"/>
    <col width="20" customWidth="1" min="19" max="19"/>
    <col width="10" customWidth="1" min="20" max="20"/>
    <col width="9" customWidth="1" min="21" max="21"/>
    <col width="9" customWidth="1" min="22" max="22"/>
    <col width="7" customWidth="1" min="23" max="23"/>
    <col width="11" customWidth="1" min="24" max="24"/>
    <col width="40" customWidth="1" min="25" max="25"/>
  </cols>
  <sheetData>
    <row r="1">
      <c r="A1" s="13" t="inlineStr">
        <is>
          <t>&lt; Cover</t>
        </is>
      </c>
    </row>
    <row r="2">
      <c r="B2" s="14" t="inlineStr">
        <is>
          <t>Task Information Delivery Plan — Fire protection</t>
        </is>
      </c>
    </row>
    <row r="4">
      <c r="B4" s="7" t="inlineStr">
        <is>
          <t>The deliverables below are those already assigned to you in the Master Information Delivery Plan. Confirm the planned dates, add any deliverable your scope requires that is not listed, and return this sheet to the Information Manager. Rows are merged back into the register by reference. Use the drop-down lists; if a value you need is not offered, raise it rather than typing a variant.</t>
        </is>
      </c>
    </row>
    <row r="5"/>
    <row r="7">
      <c r="B7" s="4" t="inlineStr">
        <is>
          <t>Task Information Delivery Plan</t>
        </is>
      </c>
      <c r="C7" s="5" t="inlineStr">
        <is>
          <t>TIDP-Y-FP</t>
        </is>
      </c>
    </row>
    <row r="8">
      <c r="B8" s="4" t="inlineStr">
        <is>
          <t>Scope</t>
        </is>
      </c>
      <c r="C8" s="5" t="inlineStr">
        <is>
          <t>Fire protection</t>
        </is>
      </c>
    </row>
    <row r="9">
      <c r="B9" s="4" t="inlineStr">
        <is>
          <t>Appointed party</t>
        </is>
      </c>
      <c r="C9" s="5" t="inlineStr">
        <is>
          <t>[FILL — fire engineer / design-build contractor]</t>
        </is>
      </c>
    </row>
    <row r="10">
      <c r="B10" s="4" t="inlineStr">
        <is>
          <t>Originator code</t>
        </is>
      </c>
      <c r="C10" s="5" t="inlineStr">
        <is>
          <t>[FILL — once the register is issued]</t>
        </is>
      </c>
    </row>
    <row r="11">
      <c r="B11" s="4" t="inlineStr">
        <is>
          <t>Task Team Manager</t>
        </is>
      </c>
      <c r="C11" s="5" t="inlineStr">
        <is>
          <t>[FILL]</t>
        </is>
      </c>
    </row>
    <row r="12">
      <c r="B12" s="4" t="inlineStr">
        <is>
          <t>Contact</t>
        </is>
      </c>
      <c r="C12" s="5" t="inlineStr">
        <is>
          <t>[FILL]</t>
        </is>
      </c>
    </row>
    <row r="13">
      <c r="B13" s="4" t="inlineStr">
        <is>
          <t>Revision</t>
        </is>
      </c>
      <c r="C13" s="5" t="inlineStr">
        <is>
          <t>P01</t>
        </is>
      </c>
    </row>
    <row r="14">
      <c r="B14" s="4" t="inlineStr">
        <is>
          <t>Date</t>
        </is>
      </c>
      <c r="C14" s="5" t="inlineStr">
        <is>
          <t>[FILL]</t>
        </is>
      </c>
    </row>
    <row r="16" ht="30" customHeight="1">
      <c r="A16" s="17" t="n"/>
      <c r="B16" s="17" t="inlineStr">
        <is>
          <t>Ref</t>
        </is>
      </c>
      <c r="C16" s="17" t="inlineStr">
        <is>
          <t>Discipline</t>
        </is>
      </c>
      <c r="D16" s="17" t="inlineStr">
        <is>
          <t>Originator</t>
        </is>
      </c>
      <c r="E16" s="17" t="inlineStr">
        <is>
          <t>Volume</t>
        </is>
      </c>
      <c r="F16" s="17" t="inlineStr">
        <is>
          <t>Deliverable</t>
        </is>
      </c>
      <c r="G16" s="17" t="inlineStr">
        <is>
          <t>Type</t>
        </is>
      </c>
      <c r="H16" s="17" t="inlineStr">
        <is>
          <t>Type code</t>
        </is>
      </c>
      <c r="I16" s="17" t="inlineStr">
        <is>
          <t>Stage</t>
        </is>
      </c>
      <c r="J16" s="17" t="inlineStr">
        <is>
          <t>LOD</t>
        </is>
      </c>
      <c r="K16" s="17" t="inlineStr">
        <is>
          <t>Format</t>
        </is>
      </c>
      <c r="L16" s="17" t="inlineStr">
        <is>
          <t>Suitability</t>
        </is>
      </c>
      <c r="M16" s="17" t="inlineStr">
        <is>
          <t>CDE State</t>
        </is>
      </c>
      <c r="N16" s="17" t="inlineStr">
        <is>
          <t>Month from</t>
        </is>
      </c>
      <c r="O16" s="17" t="inlineStr">
        <is>
          <t>Month to</t>
        </is>
      </c>
      <c r="P16" s="17" t="inlineStr">
        <is>
          <t>Planned date</t>
        </is>
      </c>
      <c r="Q16" s="17" t="inlineStr">
        <is>
          <t>Actual date</t>
        </is>
      </c>
      <c r="R16" s="17" t="inlineStr">
        <is>
          <t>Variance (days)</t>
        </is>
      </c>
      <c r="S16" s="17" t="inlineStr">
        <is>
          <t>Responsible</t>
        </is>
      </c>
      <c r="T16" s="17" t="inlineStr">
        <is>
          <t>TIDP ref</t>
        </is>
      </c>
      <c r="U16" s="17" t="inlineStr">
        <is>
          <t>Critical</t>
        </is>
      </c>
      <c r="V16" s="17" t="inlineStr">
        <is>
          <t>As-built</t>
        </is>
      </c>
      <c r="W16" s="17" t="inlineStr">
        <is>
          <t>O&amp;M</t>
        </is>
      </c>
      <c r="X16" s="17" t="inlineStr">
        <is>
          <t>RAG</t>
        </is>
      </c>
      <c r="Y16" s="17" t="inlineStr">
        <is>
          <t>Notes</t>
        </is>
      </c>
    </row>
    <row r="17">
      <c r="B17" s="24" t="inlineStr">
        <is>
          <t>FP-200</t>
        </is>
      </c>
      <c r="C17" s="24" t="inlineStr">
        <is>
          <t>Fire Protection</t>
        </is>
      </c>
      <c r="D17" s="24" t="inlineStr"/>
      <c r="E17" s="25" t="inlineStr">
        <is>
          <t>ZZ</t>
        </is>
      </c>
      <c r="F17" s="26" t="inlineStr">
        <is>
          <t>Fire strategy and suppression layout</t>
        </is>
      </c>
      <c r="G17" s="24" t="inlineStr">
        <is>
          <t>Model/Document</t>
        </is>
      </c>
      <c r="H17" s="25" t="inlineStr">
        <is>
          <t>M3</t>
        </is>
      </c>
      <c r="I17" s="24" t="inlineStr">
        <is>
          <t>2.2 Deliverable B</t>
        </is>
      </c>
      <c r="J17" s="25" t="inlineStr">
        <is>
          <t>300</t>
        </is>
      </c>
      <c r="K17" s="24" t="inlineStr">
        <is>
          <t>RVT/PDF</t>
        </is>
      </c>
      <c r="L17" s="25" t="inlineStr">
        <is>
          <t>S2</t>
        </is>
      </c>
      <c r="M17" s="25" t="inlineStr">
        <is>
          <t>Shared</t>
        </is>
      </c>
      <c r="N17" s="25" t="n">
        <v>2</v>
      </c>
      <c r="O17" s="25" t="n">
        <v>4</v>
      </c>
      <c r="P17" s="27" t="n"/>
      <c r="Q17" s="27" t="n"/>
      <c r="R17" s="24" t="n"/>
      <c r="S17" s="24" t="inlineStr">
        <is>
          <t>Fire lead</t>
        </is>
      </c>
      <c r="T17" s="24" t="inlineStr">
        <is>
          <t>TIDP-Y-FP</t>
        </is>
      </c>
      <c r="U17" s="25" t="inlineStr">
        <is>
          <t>Y</t>
        </is>
      </c>
      <c r="V17" s="25" t="inlineStr">
        <is>
          <t>Y</t>
        </is>
      </c>
      <c r="W17" s="25" t="inlineStr">
        <is>
          <t>N</t>
        </is>
      </c>
      <c r="X17" s="25" t="inlineStr"/>
      <c r="Y17" s="26" t="inlineStr">
        <is>
          <t>Sprinkler and detection layout</t>
        </is>
      </c>
    </row>
    <row r="18">
      <c r="B18" s="24" t="inlineStr">
        <is>
          <t>FP-300</t>
        </is>
      </c>
      <c r="C18" s="24" t="inlineStr">
        <is>
          <t>Fire Protection</t>
        </is>
      </c>
      <c r="D18" s="24" t="inlineStr"/>
      <c r="E18" s="25" t="inlineStr">
        <is>
          <t>ZZ</t>
        </is>
      </c>
      <c r="F18" s="26" t="inlineStr">
        <is>
          <t>Fire strategy and model (100%)</t>
        </is>
      </c>
      <c r="G18" s="24" t="inlineStr">
        <is>
          <t>Model/Document</t>
        </is>
      </c>
      <c r="H18" s="25" t="inlineStr">
        <is>
          <t>M3</t>
        </is>
      </c>
      <c r="I18" s="24" t="inlineStr">
        <is>
          <t>2.3 Deliverable C</t>
        </is>
      </c>
      <c r="J18" s="25" t="inlineStr">
        <is>
          <t>350</t>
        </is>
      </c>
      <c r="K18" s="24" t="inlineStr">
        <is>
          <t>RVT/PDF</t>
        </is>
      </c>
      <c r="L18" s="25" t="inlineStr">
        <is>
          <t>S4</t>
        </is>
      </c>
      <c r="M18" s="25" t="inlineStr">
        <is>
          <t>Shared</t>
        </is>
      </c>
      <c r="N18" s="25" t="n">
        <v>5</v>
      </c>
      <c r="O18" s="25" t="n">
        <v>8</v>
      </c>
      <c r="P18" s="27" t="n"/>
      <c r="Q18" s="27" t="n"/>
      <c r="R18" s="24" t="n"/>
      <c r="S18" s="24" t="inlineStr">
        <is>
          <t>Fire lead</t>
        </is>
      </c>
      <c r="T18" s="24" t="inlineStr">
        <is>
          <t>TIDP-Y-FP</t>
        </is>
      </c>
      <c r="U18" s="25" t="inlineStr">
        <is>
          <t>Y</t>
        </is>
      </c>
      <c r="V18" s="25" t="inlineStr">
        <is>
          <t>Y</t>
        </is>
      </c>
      <c r="W18" s="25" t="inlineStr">
        <is>
          <t>N</t>
        </is>
      </c>
      <c r="X18" s="25" t="inlineStr"/>
      <c r="Y18" s="26" t="inlineStr">
        <is>
          <t>Transition to the design-build contractor agreed</t>
        </is>
      </c>
    </row>
    <row r="19">
      <c r="B19" s="24" t="inlineStr">
        <is>
          <t>FP-500</t>
        </is>
      </c>
      <c r="C19" s="24" t="inlineStr">
        <is>
          <t>Fire Protection</t>
        </is>
      </c>
      <c r="D19" s="24" t="inlineStr"/>
      <c r="E19" s="25" t="inlineStr">
        <is>
          <t>ZZ</t>
        </is>
      </c>
      <c r="F19" s="26" t="inlineStr">
        <is>
          <t>Construction-stage model (revisions tracked)</t>
        </is>
      </c>
      <c r="G19" s="24" t="inlineStr">
        <is>
          <t>Model</t>
        </is>
      </c>
      <c r="H19" s="25" t="inlineStr">
        <is>
          <t>M3</t>
        </is>
      </c>
      <c r="I19" s="24" t="inlineStr">
        <is>
          <t>3.1 Construction</t>
        </is>
      </c>
      <c r="J19" s="25" t="inlineStr">
        <is>
          <t>400</t>
        </is>
      </c>
      <c r="K19" s="24" t="inlineStr">
        <is>
          <t>RVT/IFC</t>
        </is>
      </c>
      <c r="L19" s="25" t="inlineStr">
        <is>
          <t>A1</t>
        </is>
      </c>
      <c r="M19" s="25" t="inlineStr">
        <is>
          <t>Published</t>
        </is>
      </c>
      <c r="N19" s="25" t="n">
        <v>12</v>
      </c>
      <c r="O19" s="25" t="n">
        <v>43</v>
      </c>
      <c r="P19" s="27" t="n"/>
      <c r="Q19" s="27" t="n"/>
      <c r="R19" s="24" t="n"/>
      <c r="S19" s="24" t="inlineStr">
        <is>
          <t>Design-build fire contractor</t>
        </is>
      </c>
      <c r="T19" s="24" t="inlineStr">
        <is>
          <t>TIDP-Y-FP</t>
        </is>
      </c>
      <c r="U19" s="25" t="inlineStr">
        <is>
          <t>Y</t>
        </is>
      </c>
      <c r="V19" s="25" t="inlineStr">
        <is>
          <t>Y</t>
        </is>
      </c>
      <c r="W19" s="25" t="inlineStr">
        <is>
          <t>N</t>
        </is>
      </c>
      <c r="X19" s="25" t="inlineStr"/>
      <c r="Y19" s="26" t="inlineStr">
        <is>
          <t>D-B contractor becomes engineer of record</t>
        </is>
      </c>
    </row>
    <row r="20">
      <c r="B20" s="24" t="inlineStr">
        <is>
          <t>FP-700</t>
        </is>
      </c>
      <c r="C20" s="24" t="inlineStr">
        <is>
          <t>Fire Protection</t>
        </is>
      </c>
      <c r="D20" s="24" t="inlineStr"/>
      <c r="E20" s="25" t="inlineStr">
        <is>
          <t>ZZ</t>
        </is>
      </c>
      <c r="F20" s="26" t="inlineStr">
        <is>
          <t>As-built fire protection model (LOD 500, verified)</t>
        </is>
      </c>
      <c r="G20" s="24" t="inlineStr">
        <is>
          <t>Model</t>
        </is>
      </c>
      <c r="H20" s="25" t="inlineStr">
        <is>
          <t>M3</t>
        </is>
      </c>
      <c r="I20" s="24" t="inlineStr">
        <is>
          <t>3.3 Deliverable D</t>
        </is>
      </c>
      <c r="J20" s="25" t="inlineStr">
        <is>
          <t>500</t>
        </is>
      </c>
      <c r="K20" s="24" t="inlineStr">
        <is>
          <t>RVT/IFC</t>
        </is>
      </c>
      <c r="L20" s="25" t="inlineStr">
        <is>
          <t>A1</t>
        </is>
      </c>
      <c r="M20" s="25" t="inlineStr">
        <is>
          <t>Published</t>
        </is>
      </c>
      <c r="N20" s="25" t="n">
        <v>48</v>
      </c>
      <c r="O20" s="25" t="n">
        <v>49</v>
      </c>
      <c r="P20" s="27" t="n"/>
      <c r="Q20" s="27" t="n"/>
      <c r="R20" s="24" t="n"/>
      <c r="S20" s="24" t="inlineStr">
        <is>
          <t>Design-build fire contractor</t>
        </is>
      </c>
      <c r="T20" s="24" t="inlineStr">
        <is>
          <t>TIDP-Y-FP</t>
        </is>
      </c>
      <c r="U20" s="25" t="inlineStr">
        <is>
          <t>Y</t>
        </is>
      </c>
      <c r="V20" s="25" t="inlineStr">
        <is>
          <t>Y</t>
        </is>
      </c>
      <c r="W20" s="25" t="inlineStr">
        <is>
          <t>Y</t>
        </is>
      </c>
      <c r="X20" s="25" t="inlineStr"/>
      <c r="Y20" s="26" t="inlineStr">
        <is>
          <t>Authored by the design consultant from the Contractor as-built documentation; verified by the Information Manager</t>
        </is>
      </c>
    </row>
    <row r="21">
      <c r="B21" s="18" t="n"/>
      <c r="C21" s="18" t="n"/>
      <c r="D21" s="18" t="n"/>
      <c r="E21" s="18" t="n"/>
      <c r="F21" s="18" t="n"/>
      <c r="G21" s="18" t="n"/>
      <c r="H21" s="18" t="n"/>
      <c r="I21" s="18" t="n"/>
      <c r="J21" s="18" t="n"/>
      <c r="K21" s="18" t="n"/>
      <c r="L21" s="18" t="n"/>
      <c r="M21" s="18" t="n"/>
      <c r="N21" s="18" t="n"/>
      <c r="O21" s="18" t="n"/>
      <c r="P21" s="20" t="n"/>
      <c r="Q21" s="20" t="n"/>
      <c r="R21" s="18" t="n"/>
      <c r="S21" s="18" t="n"/>
      <c r="T21" s="18" t="n"/>
      <c r="U21" s="18" t="n"/>
      <c r="V21" s="18" t="n"/>
      <c r="W21" s="18" t="n"/>
      <c r="X21" s="18" t="n"/>
      <c r="Y21" s="18" t="n"/>
    </row>
    <row r="22">
      <c r="B22" s="18" t="n"/>
      <c r="C22" s="18" t="n"/>
      <c r="D22" s="18" t="n"/>
      <c r="E22" s="18" t="n"/>
      <c r="F22" s="18" t="n"/>
      <c r="G22" s="18" t="n"/>
      <c r="H22" s="18" t="n"/>
      <c r="I22" s="18" t="n"/>
      <c r="J22" s="18" t="n"/>
      <c r="K22" s="18" t="n"/>
      <c r="L22" s="18" t="n"/>
      <c r="M22" s="18" t="n"/>
      <c r="N22" s="18" t="n"/>
      <c r="O22" s="18" t="n"/>
      <c r="P22" s="20" t="n"/>
      <c r="Q22" s="20" t="n"/>
      <c r="R22" s="18" t="n"/>
      <c r="S22" s="18" t="n"/>
      <c r="T22" s="18" t="n"/>
      <c r="U22" s="18" t="n"/>
      <c r="V22" s="18" t="n"/>
      <c r="W22" s="18" t="n"/>
      <c r="X22" s="18" t="n"/>
      <c r="Y22" s="18" t="n"/>
    </row>
    <row r="23">
      <c r="B23" s="18" t="n"/>
      <c r="C23" s="18" t="n"/>
      <c r="D23" s="18" t="n"/>
      <c r="E23" s="18" t="n"/>
      <c r="F23" s="18" t="n"/>
      <c r="G23" s="18" t="n"/>
      <c r="H23" s="18" t="n"/>
      <c r="I23" s="18" t="n"/>
      <c r="J23" s="18" t="n"/>
      <c r="K23" s="18" t="n"/>
      <c r="L23" s="18" t="n"/>
      <c r="M23" s="18" t="n"/>
      <c r="N23" s="18" t="n"/>
      <c r="O23" s="18" t="n"/>
      <c r="P23" s="20" t="n"/>
      <c r="Q23" s="20" t="n"/>
      <c r="R23" s="18" t="n"/>
      <c r="S23" s="18" t="n"/>
      <c r="T23" s="18" t="n"/>
      <c r="U23" s="18" t="n"/>
      <c r="V23" s="18" t="n"/>
      <c r="W23" s="18" t="n"/>
      <c r="X23" s="18" t="n"/>
      <c r="Y23" s="18" t="n"/>
    </row>
    <row r="24">
      <c r="B24" s="18" t="n"/>
      <c r="C24" s="18" t="n"/>
      <c r="D24" s="18" t="n"/>
      <c r="E24" s="18" t="n"/>
      <c r="F24" s="18" t="n"/>
      <c r="G24" s="18" t="n"/>
      <c r="H24" s="18" t="n"/>
      <c r="I24" s="18" t="n"/>
      <c r="J24" s="18" t="n"/>
      <c r="K24" s="18" t="n"/>
      <c r="L24" s="18" t="n"/>
      <c r="M24" s="18" t="n"/>
      <c r="N24" s="18" t="n"/>
      <c r="O24" s="18" t="n"/>
      <c r="P24" s="20" t="n"/>
      <c r="Q24" s="20" t="n"/>
      <c r="R24" s="18" t="n"/>
      <c r="S24" s="18" t="n"/>
      <c r="T24" s="18" t="n"/>
      <c r="U24" s="18" t="n"/>
      <c r="V24" s="18" t="n"/>
      <c r="W24" s="18" t="n"/>
      <c r="X24" s="18" t="n"/>
      <c r="Y24" s="18" t="n"/>
    </row>
    <row r="25">
      <c r="B25" s="18" t="n"/>
      <c r="C25" s="18" t="n"/>
      <c r="D25" s="18" t="n"/>
      <c r="E25" s="18" t="n"/>
      <c r="F25" s="18" t="n"/>
      <c r="G25" s="18" t="n"/>
      <c r="H25" s="18" t="n"/>
      <c r="I25" s="18" t="n"/>
      <c r="J25" s="18" t="n"/>
      <c r="K25" s="18" t="n"/>
      <c r="L25" s="18" t="n"/>
      <c r="M25" s="18" t="n"/>
      <c r="N25" s="18" t="n"/>
      <c r="O25" s="18" t="n"/>
      <c r="P25" s="20" t="n"/>
      <c r="Q25" s="20" t="n"/>
      <c r="R25" s="18" t="n"/>
      <c r="S25" s="18" t="n"/>
      <c r="T25" s="18" t="n"/>
      <c r="U25" s="18" t="n"/>
      <c r="V25" s="18" t="n"/>
      <c r="W25" s="18" t="n"/>
      <c r="X25" s="18" t="n"/>
      <c r="Y25" s="18" t="n"/>
    </row>
    <row r="26">
      <c r="B26" s="18" t="n"/>
      <c r="C26" s="18" t="n"/>
      <c r="D26" s="18" t="n"/>
      <c r="E26" s="18" t="n"/>
      <c r="F26" s="18" t="n"/>
      <c r="G26" s="18" t="n"/>
      <c r="H26" s="18" t="n"/>
      <c r="I26" s="18" t="n"/>
      <c r="J26" s="18" t="n"/>
      <c r="K26" s="18" t="n"/>
      <c r="L26" s="18" t="n"/>
      <c r="M26" s="18" t="n"/>
      <c r="N26" s="18" t="n"/>
      <c r="O26" s="18" t="n"/>
      <c r="P26" s="20" t="n"/>
      <c r="Q26" s="20" t="n"/>
      <c r="R26" s="18" t="n"/>
      <c r="S26" s="18" t="n"/>
      <c r="T26" s="18" t="n"/>
      <c r="U26" s="18" t="n"/>
      <c r="V26" s="18" t="n"/>
      <c r="W26" s="18" t="n"/>
      <c r="X26" s="18" t="n"/>
      <c r="Y26" s="18" t="n"/>
    </row>
    <row r="27">
      <c r="B27" s="18" t="n"/>
      <c r="C27" s="18" t="n"/>
      <c r="D27" s="18" t="n"/>
      <c r="E27" s="18" t="n"/>
      <c r="F27" s="18" t="n"/>
      <c r="G27" s="18" t="n"/>
      <c r="H27" s="18" t="n"/>
      <c r="I27" s="18" t="n"/>
      <c r="J27" s="18" t="n"/>
      <c r="K27" s="18" t="n"/>
      <c r="L27" s="18" t="n"/>
      <c r="M27" s="18" t="n"/>
      <c r="N27" s="18" t="n"/>
      <c r="O27" s="18" t="n"/>
      <c r="P27" s="20" t="n"/>
      <c r="Q27" s="20" t="n"/>
      <c r="R27" s="18" t="n"/>
      <c r="S27" s="18" t="n"/>
      <c r="T27" s="18" t="n"/>
      <c r="U27" s="18" t="n"/>
      <c r="V27" s="18" t="n"/>
      <c r="W27" s="18" t="n"/>
      <c r="X27" s="18" t="n"/>
      <c r="Y27" s="18" t="n"/>
    </row>
    <row r="28">
      <c r="B28" s="18" t="n"/>
      <c r="C28" s="18" t="n"/>
      <c r="D28" s="18" t="n"/>
      <c r="E28" s="18" t="n"/>
      <c r="F28" s="18" t="n"/>
      <c r="G28" s="18" t="n"/>
      <c r="H28" s="18" t="n"/>
      <c r="I28" s="18" t="n"/>
      <c r="J28" s="18" t="n"/>
      <c r="K28" s="18" t="n"/>
      <c r="L28" s="18" t="n"/>
      <c r="M28" s="18" t="n"/>
      <c r="N28" s="18" t="n"/>
      <c r="O28" s="18" t="n"/>
      <c r="P28" s="20" t="n"/>
      <c r="Q28" s="20" t="n"/>
      <c r="R28" s="18" t="n"/>
      <c r="S28" s="18" t="n"/>
      <c r="T28" s="18" t="n"/>
      <c r="U28" s="18" t="n"/>
      <c r="V28" s="18" t="n"/>
      <c r="W28" s="18" t="n"/>
      <c r="X28" s="18" t="n"/>
      <c r="Y28" s="18" t="n"/>
    </row>
    <row r="29">
      <c r="B29" s="18" t="n"/>
      <c r="C29" s="18" t="n"/>
      <c r="D29" s="18" t="n"/>
      <c r="E29" s="18" t="n"/>
      <c r="F29" s="18" t="n"/>
      <c r="G29" s="18" t="n"/>
      <c r="H29" s="18" t="n"/>
      <c r="I29" s="18" t="n"/>
      <c r="J29" s="18" t="n"/>
      <c r="K29" s="18" t="n"/>
      <c r="L29" s="18" t="n"/>
      <c r="M29" s="18" t="n"/>
      <c r="N29" s="18" t="n"/>
      <c r="O29" s="18" t="n"/>
      <c r="P29" s="20" t="n"/>
      <c r="Q29" s="20" t="n"/>
      <c r="R29" s="18" t="n"/>
      <c r="S29" s="18" t="n"/>
      <c r="T29" s="18" t="n"/>
      <c r="U29" s="18" t="n"/>
      <c r="V29" s="18" t="n"/>
      <c r="W29" s="18" t="n"/>
      <c r="X29" s="18" t="n"/>
      <c r="Y29" s="18" t="n"/>
    </row>
    <row r="30">
      <c r="B30" s="18" t="n"/>
      <c r="C30" s="18" t="n"/>
      <c r="D30" s="18" t="n"/>
      <c r="E30" s="18" t="n"/>
      <c r="F30" s="18" t="n"/>
      <c r="G30" s="18" t="n"/>
      <c r="H30" s="18" t="n"/>
      <c r="I30" s="18" t="n"/>
      <c r="J30" s="18" t="n"/>
      <c r="K30" s="18" t="n"/>
      <c r="L30" s="18" t="n"/>
      <c r="M30" s="18" t="n"/>
      <c r="N30" s="18" t="n"/>
      <c r="O30" s="18" t="n"/>
      <c r="P30" s="20" t="n"/>
      <c r="Q30" s="20" t="n"/>
      <c r="R30" s="18" t="n"/>
      <c r="S30" s="18" t="n"/>
      <c r="T30" s="18" t="n"/>
      <c r="U30" s="18" t="n"/>
      <c r="V30" s="18" t="n"/>
      <c r="W30" s="18" t="n"/>
      <c r="X30" s="18" t="n"/>
      <c r="Y30" s="18" t="n"/>
    </row>
    <row r="31">
      <c r="B31" s="18" t="n"/>
      <c r="C31" s="18" t="n"/>
      <c r="D31" s="18" t="n"/>
      <c r="E31" s="18" t="n"/>
      <c r="F31" s="18" t="n"/>
      <c r="G31" s="18" t="n"/>
      <c r="H31" s="18" t="n"/>
      <c r="I31" s="18" t="n"/>
      <c r="J31" s="18" t="n"/>
      <c r="K31" s="18" t="n"/>
      <c r="L31" s="18" t="n"/>
      <c r="M31" s="18" t="n"/>
      <c r="N31" s="18" t="n"/>
      <c r="O31" s="18" t="n"/>
      <c r="P31" s="20" t="n"/>
      <c r="Q31" s="20" t="n"/>
      <c r="R31" s="18" t="n"/>
      <c r="S31" s="18" t="n"/>
      <c r="T31" s="18" t="n"/>
      <c r="U31" s="18" t="n"/>
      <c r="V31" s="18" t="n"/>
      <c r="W31" s="18" t="n"/>
      <c r="X31" s="18" t="n"/>
      <c r="Y31" s="18" t="n"/>
    </row>
    <row r="32">
      <c r="B32" s="18" t="n"/>
      <c r="C32" s="18" t="n"/>
      <c r="D32" s="18" t="n"/>
      <c r="E32" s="18" t="n"/>
      <c r="F32" s="18" t="n"/>
      <c r="G32" s="18" t="n"/>
      <c r="H32" s="18" t="n"/>
      <c r="I32" s="18" t="n"/>
      <c r="J32" s="18" t="n"/>
      <c r="K32" s="18" t="n"/>
      <c r="L32" s="18" t="n"/>
      <c r="M32" s="18" t="n"/>
      <c r="N32" s="18" t="n"/>
      <c r="O32" s="18" t="n"/>
      <c r="P32" s="20" t="n"/>
      <c r="Q32" s="20" t="n"/>
      <c r="R32" s="18" t="n"/>
      <c r="S32" s="18" t="n"/>
      <c r="T32" s="18" t="n"/>
      <c r="U32" s="18" t="n"/>
      <c r="V32" s="18" t="n"/>
      <c r="W32" s="18" t="n"/>
      <c r="X32" s="18" t="n"/>
      <c r="Y32" s="18" t="n"/>
    </row>
    <row r="33">
      <c r="B33" s="18" t="n"/>
      <c r="C33" s="18" t="n"/>
      <c r="D33" s="18" t="n"/>
      <c r="E33" s="18" t="n"/>
      <c r="F33" s="18" t="n"/>
      <c r="G33" s="18" t="n"/>
      <c r="H33" s="18" t="n"/>
      <c r="I33" s="18" t="n"/>
      <c r="J33" s="18" t="n"/>
      <c r="K33" s="18" t="n"/>
      <c r="L33" s="18" t="n"/>
      <c r="M33" s="18" t="n"/>
      <c r="N33" s="18" t="n"/>
      <c r="O33" s="18" t="n"/>
      <c r="P33" s="20" t="n"/>
      <c r="Q33" s="20" t="n"/>
      <c r="R33" s="18" t="n"/>
      <c r="S33" s="18" t="n"/>
      <c r="T33" s="18" t="n"/>
      <c r="U33" s="18" t="n"/>
      <c r="V33" s="18" t="n"/>
      <c r="W33" s="18" t="n"/>
      <c r="X33" s="18" t="n"/>
      <c r="Y33" s="18" t="n"/>
    </row>
    <row r="34">
      <c r="B34" s="18" t="n"/>
      <c r="C34" s="18" t="n"/>
      <c r="D34" s="18" t="n"/>
      <c r="E34" s="18" t="n"/>
      <c r="F34" s="18" t="n"/>
      <c r="G34" s="18" t="n"/>
      <c r="H34" s="18" t="n"/>
      <c r="I34" s="18" t="n"/>
      <c r="J34" s="18" t="n"/>
      <c r="K34" s="18" t="n"/>
      <c r="L34" s="18" t="n"/>
      <c r="M34" s="18" t="n"/>
      <c r="N34" s="18" t="n"/>
      <c r="O34" s="18" t="n"/>
      <c r="P34" s="20" t="n"/>
      <c r="Q34" s="20" t="n"/>
      <c r="R34" s="18" t="n"/>
      <c r="S34" s="18" t="n"/>
      <c r="T34" s="18" t="n"/>
      <c r="U34" s="18" t="n"/>
      <c r="V34" s="18" t="n"/>
      <c r="W34" s="18" t="n"/>
      <c r="X34" s="18" t="n"/>
      <c r="Y34" s="18" t="n"/>
    </row>
    <row r="35">
      <c r="B35" s="18" t="n"/>
      <c r="C35" s="18" t="n"/>
      <c r="D35" s="18" t="n"/>
      <c r="E35" s="18" t="n"/>
      <c r="F35" s="18" t="n"/>
      <c r="G35" s="18" t="n"/>
      <c r="H35" s="18" t="n"/>
      <c r="I35" s="18" t="n"/>
      <c r="J35" s="18" t="n"/>
      <c r="K35" s="18" t="n"/>
      <c r="L35" s="18" t="n"/>
      <c r="M35" s="18" t="n"/>
      <c r="N35" s="18" t="n"/>
      <c r="O35" s="18" t="n"/>
      <c r="P35" s="20" t="n"/>
      <c r="Q35" s="20" t="n"/>
      <c r="R35" s="18" t="n"/>
      <c r="S35" s="18" t="n"/>
      <c r="T35" s="18" t="n"/>
      <c r="U35" s="18" t="n"/>
      <c r="V35" s="18" t="n"/>
      <c r="W35" s="18" t="n"/>
      <c r="X35" s="18" t="n"/>
      <c r="Y35" s="18" t="n"/>
    </row>
  </sheetData>
  <autoFilter ref="A16:X35"/>
  <mergeCells count="1">
    <mergeCell ref="B4:H5"/>
  </mergeCells>
  <dataValidations count="12">
    <dataValidation sqref="C17:C35" showDropDown="0" showInputMessage="0" showErrorMessage="0" allowBlank="1" type="list">
      <formula1>'Lists'!$A$2:$A$30</formula1>
    </dataValidation>
    <dataValidation sqref="E17:E35" showDropDown="0" showInputMessage="0" showErrorMessage="0" allowBlank="1" type="list">
      <formula1>'Lists'!$I$2:$I$30</formula1>
    </dataValidation>
    <dataValidation sqref="G17:G35" showDropDown="0" showInputMessage="0" showErrorMessage="0" allowBlank="1" type="list">
      <formula1>'Lists'!$C$2:$C$30</formula1>
    </dataValidation>
    <dataValidation sqref="H17:H35" showDropDown="0" showInputMessage="0" showErrorMessage="0" allowBlank="1" type="list">
      <formula1>'Lists'!$J$2:$J$30</formula1>
    </dataValidation>
    <dataValidation sqref="I17:I35" showDropDown="0" showInputMessage="0" showErrorMessage="0" allowBlank="1" type="list">
      <formula1>'Lists'!$D$2:$D$30</formula1>
    </dataValidation>
    <dataValidation sqref="J17:J35" showDropDown="0" showInputMessage="0" showErrorMessage="0" allowBlank="1" type="list">
      <formula1>'Lists'!$E$2:$E$30</formula1>
    </dataValidation>
    <dataValidation sqref="L17:L35" showDropDown="0" showInputMessage="0" showErrorMessage="0" allowBlank="1" type="list">
      <formula1>'Lists'!$F$2:$F$30</formula1>
    </dataValidation>
    <dataValidation sqref="M17:M35" showDropDown="0" showInputMessage="0" showErrorMessage="0" allowBlank="1" type="list">
      <formula1>'Lists'!$G$2:$G$30</formula1>
    </dataValidation>
    <dataValidation sqref="U17:U35" showDropDown="0" showInputMessage="0" showErrorMessage="0" allowBlank="1" type="list">
      <formula1>'Lists'!$K$2:$K$30</formula1>
    </dataValidation>
    <dataValidation sqref="V17:V35" showDropDown="0" showInputMessage="0" showErrorMessage="0" allowBlank="1" type="list">
      <formula1>'Lists'!$K$2:$K$30</formula1>
    </dataValidation>
    <dataValidation sqref="W17:W35" showDropDown="0" showInputMessage="0" showErrorMessage="0" allowBlank="1" type="list">
      <formula1>'Lists'!$K$2:$K$30</formula1>
    </dataValidation>
    <dataValidation sqref="X17:X35" showDropDown="0" showInputMessage="0" showErrorMessage="0" allowBlank="1" type="list">
      <formula1>'Lists'!$H$2:$H$30</formula1>
    </dataValidation>
  </dataValidations>
  <hyperlinks>
    <hyperlink xmlns:r="http://schemas.openxmlformats.org/officeDocument/2006/relationships" ref="A1" r:id="rId1"/>
  </hyperlinks>
  <pageMargins left="0.75" right="0.75" top="1" bottom="1" header="0.5" footer="0.5"/>
  <pageSetup orientation="landscape" fitToWidth="1"/>
  <headerFooter>
    <oddHeader>&amp;L&amp;"Calibri,Bold"&amp;9KAMPALA UGANDA TEMPLE&amp;C&amp;"Calibri,Bold"&amp;9&amp;A&amp;R&amp;9KUT-SMB-ZZ-ZZ-SH-Z-0001   Rev P01</oddHeader>
    <oddFooter>&amp;L&amp;9&amp;KC00000DRAFT - not issued (S0, work in progress)&amp;C&amp;8Symbion Consulting Group Studios - Information Manager&amp;R&amp;9&amp;A   Page &amp;P of &amp;N</oddFooter>
    <evenHeader/>
    <evenFooter/>
    <firstHeader/>
    <firstFooter/>
  </headerFooter>
</worksheet>
</file>

<file path=xl/worksheets/sheet11.xml><?xml version="1.0" encoding="utf-8"?>
<worksheet xmlns="http://schemas.openxmlformats.org/spreadsheetml/2006/main">
  <sheetPr>
    <tabColor rgb="00444F5C"/>
    <outlinePr summaryBelow="1" summaryRight="1"/>
    <pageSetUpPr fitToPage="1"/>
  </sheetPr>
  <dimension ref="A1:Y35"/>
  <sheetViews>
    <sheetView showGridLines="0" workbookViewId="0">
      <pane ySplit="16" topLeftCell="A17" activePane="bottomLeft" state="frozen"/>
      <selection pane="bottomLeft" activeCell="A1" sqref="A1"/>
    </sheetView>
  </sheetViews>
  <sheetFormatPr baseColWidth="8" defaultRowHeight="15"/>
  <cols>
    <col width="3" customWidth="1" min="1" max="1"/>
    <col width="10" customWidth="1" min="2" max="2"/>
    <col width="20" customWidth="1" min="3" max="3"/>
    <col width="12" customWidth="1" min="4" max="4"/>
    <col width="8" customWidth="1" min="5" max="5"/>
    <col width="44" customWidth="1" min="6" max="6"/>
    <col width="15" customWidth="1" min="7" max="7"/>
    <col width="10" customWidth="1" min="8" max="8"/>
    <col width="20" customWidth="1" min="9" max="9"/>
    <col width="7" customWidth="1" min="10" max="10"/>
    <col width="15" customWidth="1" min="11" max="11"/>
    <col width="11" customWidth="1" min="12" max="12"/>
    <col width="12" customWidth="1" min="13" max="13"/>
    <col width="11" customWidth="1" min="14" max="14"/>
    <col width="10" customWidth="1" min="15" max="15"/>
    <col width="13" customWidth="1" min="16" max="16"/>
    <col width="13" customWidth="1" min="17" max="17"/>
    <col width="14" customWidth="1" min="18" max="18"/>
    <col width="20" customWidth="1" min="19" max="19"/>
    <col width="10" customWidth="1" min="20" max="20"/>
    <col width="9" customWidth="1" min="21" max="21"/>
    <col width="9" customWidth="1" min="22" max="22"/>
    <col width="7" customWidth="1" min="23" max="23"/>
    <col width="11" customWidth="1" min="24" max="24"/>
    <col width="40" customWidth="1" min="25" max="25"/>
  </cols>
  <sheetData>
    <row r="1">
      <c r="A1" s="13" t="inlineStr">
        <is>
          <t>&lt; Cover</t>
        </is>
      </c>
    </row>
    <row r="2">
      <c r="B2" s="14" t="inlineStr">
        <is>
          <t>Task Information Delivery Plan — Low voltage and communications</t>
        </is>
      </c>
    </row>
    <row r="4">
      <c r="B4" s="7" t="inlineStr">
        <is>
          <t>The deliverables below are those already assigned to you in the Master Information Delivery Plan. Confirm the planned dates, add any deliverable your scope requires that is not listed, and return this sheet to the Information Manager. Rows are merged back into the register by reference. Use the drop-down lists; if a value you need is not offered, raise it rather than typing a variant.</t>
        </is>
      </c>
    </row>
    <row r="5"/>
    <row r="7">
      <c r="B7" s="4" t="inlineStr">
        <is>
          <t>Task Information Delivery Plan</t>
        </is>
      </c>
      <c r="C7" s="5" t="inlineStr">
        <is>
          <t>TIDP-Y-LV</t>
        </is>
      </c>
    </row>
    <row r="8">
      <c r="B8" s="4" t="inlineStr">
        <is>
          <t>Scope</t>
        </is>
      </c>
      <c r="C8" s="5" t="inlineStr">
        <is>
          <t>Low voltage and communications</t>
        </is>
      </c>
    </row>
    <row r="9">
      <c r="B9" s="4" t="inlineStr">
        <is>
          <t>Appointed party</t>
        </is>
      </c>
      <c r="C9" s="5" t="inlineStr">
        <is>
          <t>[FILL — LV engineer]</t>
        </is>
      </c>
    </row>
    <row r="10">
      <c r="B10" s="4" t="inlineStr">
        <is>
          <t>Originator code</t>
        </is>
      </c>
      <c r="C10" s="5" t="inlineStr">
        <is>
          <t>[FILL — once the register is issued]</t>
        </is>
      </c>
    </row>
    <row r="11">
      <c r="B11" s="4" t="inlineStr">
        <is>
          <t>Task Team Manager</t>
        </is>
      </c>
      <c r="C11" s="5" t="inlineStr">
        <is>
          <t>[FILL]</t>
        </is>
      </c>
    </row>
    <row r="12">
      <c r="B12" s="4" t="inlineStr">
        <is>
          <t>Contact</t>
        </is>
      </c>
      <c r="C12" s="5" t="inlineStr">
        <is>
          <t>[FILL]</t>
        </is>
      </c>
    </row>
    <row r="13">
      <c r="B13" s="4" t="inlineStr">
        <is>
          <t>Revision</t>
        </is>
      </c>
      <c r="C13" s="5" t="inlineStr">
        <is>
          <t>P01</t>
        </is>
      </c>
    </row>
    <row r="14">
      <c r="B14" s="4" t="inlineStr">
        <is>
          <t>Date</t>
        </is>
      </c>
      <c r="C14" s="5" t="inlineStr">
        <is>
          <t>[FILL]</t>
        </is>
      </c>
    </row>
    <row r="16" ht="30" customHeight="1">
      <c r="A16" s="17" t="n"/>
      <c r="B16" s="17" t="inlineStr">
        <is>
          <t>Ref</t>
        </is>
      </c>
      <c r="C16" s="17" t="inlineStr">
        <is>
          <t>Discipline</t>
        </is>
      </c>
      <c r="D16" s="17" t="inlineStr">
        <is>
          <t>Originator</t>
        </is>
      </c>
      <c r="E16" s="17" t="inlineStr">
        <is>
          <t>Volume</t>
        </is>
      </c>
      <c r="F16" s="17" t="inlineStr">
        <is>
          <t>Deliverable</t>
        </is>
      </c>
      <c r="G16" s="17" t="inlineStr">
        <is>
          <t>Type</t>
        </is>
      </c>
      <c r="H16" s="17" t="inlineStr">
        <is>
          <t>Type code</t>
        </is>
      </c>
      <c r="I16" s="17" t="inlineStr">
        <is>
          <t>Stage</t>
        </is>
      </c>
      <c r="J16" s="17" t="inlineStr">
        <is>
          <t>LOD</t>
        </is>
      </c>
      <c r="K16" s="17" t="inlineStr">
        <is>
          <t>Format</t>
        </is>
      </c>
      <c r="L16" s="17" t="inlineStr">
        <is>
          <t>Suitability</t>
        </is>
      </c>
      <c r="M16" s="17" t="inlineStr">
        <is>
          <t>CDE State</t>
        </is>
      </c>
      <c r="N16" s="17" t="inlineStr">
        <is>
          <t>Month from</t>
        </is>
      </c>
      <c r="O16" s="17" t="inlineStr">
        <is>
          <t>Month to</t>
        </is>
      </c>
      <c r="P16" s="17" t="inlineStr">
        <is>
          <t>Planned date</t>
        </is>
      </c>
      <c r="Q16" s="17" t="inlineStr">
        <is>
          <t>Actual date</t>
        </is>
      </c>
      <c r="R16" s="17" t="inlineStr">
        <is>
          <t>Variance (days)</t>
        </is>
      </c>
      <c r="S16" s="17" t="inlineStr">
        <is>
          <t>Responsible</t>
        </is>
      </c>
      <c r="T16" s="17" t="inlineStr">
        <is>
          <t>TIDP ref</t>
        </is>
      </c>
      <c r="U16" s="17" t="inlineStr">
        <is>
          <t>Critical</t>
        </is>
      </c>
      <c r="V16" s="17" t="inlineStr">
        <is>
          <t>As-built</t>
        </is>
      </c>
      <c r="W16" s="17" t="inlineStr">
        <is>
          <t>O&amp;M</t>
        </is>
      </c>
      <c r="X16" s="17" t="inlineStr">
        <is>
          <t>RAG</t>
        </is>
      </c>
      <c r="Y16" s="17" t="inlineStr">
        <is>
          <t>Notes</t>
        </is>
      </c>
    </row>
    <row r="17">
      <c r="B17" s="24" t="inlineStr">
        <is>
          <t>LV-200</t>
        </is>
      </c>
      <c r="C17" s="24" t="inlineStr">
        <is>
          <t>Low Voltage</t>
        </is>
      </c>
      <c r="D17" s="24" t="inlineStr"/>
      <c r="E17" s="25" t="inlineStr">
        <is>
          <t>ZZ</t>
        </is>
      </c>
      <c r="F17" s="26" t="inlineStr">
        <is>
          <t>Low voltage containment and equipment rooms</t>
        </is>
      </c>
      <c r="G17" s="24" t="inlineStr">
        <is>
          <t>Model</t>
        </is>
      </c>
      <c r="H17" s="25" t="inlineStr">
        <is>
          <t>M3</t>
        </is>
      </c>
      <c r="I17" s="24" t="inlineStr">
        <is>
          <t>2.2 Deliverable B</t>
        </is>
      </c>
      <c r="J17" s="25" t="inlineStr">
        <is>
          <t>300</t>
        </is>
      </c>
      <c r="K17" s="24" t="inlineStr">
        <is>
          <t>RVT/IFC</t>
        </is>
      </c>
      <c r="L17" s="25" t="inlineStr">
        <is>
          <t>S2</t>
        </is>
      </c>
      <c r="M17" s="25" t="inlineStr">
        <is>
          <t>Shared</t>
        </is>
      </c>
      <c r="N17" s="25" t="n">
        <v>2</v>
      </c>
      <c r="O17" s="25" t="n">
        <v>4</v>
      </c>
      <c r="P17" s="27" t="n"/>
      <c r="Q17" s="27" t="n"/>
      <c r="R17" s="24" t="n"/>
      <c r="S17" s="24" t="inlineStr">
        <is>
          <t>LV lead</t>
        </is>
      </c>
      <c r="T17" s="24" t="inlineStr">
        <is>
          <t>TIDP-Y-LV</t>
        </is>
      </c>
      <c r="U17" s="25" t="inlineStr">
        <is>
          <t>Y</t>
        </is>
      </c>
      <c r="V17" s="25" t="inlineStr">
        <is>
          <t>Y</t>
        </is>
      </c>
      <c r="W17" s="25" t="inlineStr">
        <is>
          <t>N</t>
        </is>
      </c>
      <c r="X17" s="25" t="inlineStr"/>
      <c r="Y17" s="26" t="inlineStr"/>
    </row>
    <row r="18">
      <c r="B18" s="24" t="inlineStr">
        <is>
          <t>LV-300</t>
        </is>
      </c>
      <c r="C18" s="24" t="inlineStr">
        <is>
          <t>Low Voltage</t>
        </is>
      </c>
      <c r="D18" s="24" t="inlineStr"/>
      <c r="E18" s="25" t="inlineStr">
        <is>
          <t>ZZ</t>
        </is>
      </c>
      <c r="F18" s="26" t="inlineStr">
        <is>
          <t>Communications and security model and drawings</t>
        </is>
      </c>
      <c r="G18" s="24" t="inlineStr">
        <is>
          <t>Model/Drawing</t>
        </is>
      </c>
      <c r="H18" s="25" t="inlineStr">
        <is>
          <t>M3</t>
        </is>
      </c>
      <c r="I18" s="24" t="inlineStr">
        <is>
          <t>2.3 Deliverable C</t>
        </is>
      </c>
      <c r="J18" s="25" t="inlineStr">
        <is>
          <t>350</t>
        </is>
      </c>
      <c r="K18" s="24" t="inlineStr">
        <is>
          <t>RVT/PDF</t>
        </is>
      </c>
      <c r="L18" s="25" t="inlineStr">
        <is>
          <t>S4</t>
        </is>
      </c>
      <c r="M18" s="25" t="inlineStr">
        <is>
          <t>Shared</t>
        </is>
      </c>
      <c r="N18" s="25" t="n">
        <v>5</v>
      </c>
      <c r="O18" s="25" t="n">
        <v>8</v>
      </c>
      <c r="P18" s="27" t="n"/>
      <c r="Q18" s="27" t="n"/>
      <c r="R18" s="24" t="n"/>
      <c r="S18" s="24" t="inlineStr">
        <is>
          <t>LV lead</t>
        </is>
      </c>
      <c r="T18" s="24" t="inlineStr">
        <is>
          <t>TIDP-Y-LV</t>
        </is>
      </c>
      <c r="U18" s="25" t="inlineStr">
        <is>
          <t>Y</t>
        </is>
      </c>
      <c r="V18" s="25" t="inlineStr">
        <is>
          <t>Y</t>
        </is>
      </c>
      <c r="W18" s="25" t="inlineStr">
        <is>
          <t>N</t>
        </is>
      </c>
      <c r="X18" s="25" t="inlineStr"/>
      <c r="Y18" s="26" t="inlineStr">
        <is>
          <t>Restricted-information handling per BEP 8.1</t>
        </is>
      </c>
    </row>
    <row r="19">
      <c r="B19" s="24" t="inlineStr">
        <is>
          <t>LV-500</t>
        </is>
      </c>
      <c r="C19" s="24" t="inlineStr">
        <is>
          <t>Low Voltage</t>
        </is>
      </c>
      <c r="D19" s="24" t="inlineStr"/>
      <c r="E19" s="25" t="inlineStr">
        <is>
          <t>ZZ</t>
        </is>
      </c>
      <c r="F19" s="26" t="inlineStr">
        <is>
          <t>Construction-stage model (revisions tracked)</t>
        </is>
      </c>
      <c r="G19" s="24" t="inlineStr">
        <is>
          <t>Model</t>
        </is>
      </c>
      <c r="H19" s="25" t="inlineStr">
        <is>
          <t>M3</t>
        </is>
      </c>
      <c r="I19" s="24" t="inlineStr">
        <is>
          <t>3.1 Construction</t>
        </is>
      </c>
      <c r="J19" s="25" t="inlineStr">
        <is>
          <t>400</t>
        </is>
      </c>
      <c r="K19" s="24" t="inlineStr">
        <is>
          <t>RVT/IFC</t>
        </is>
      </c>
      <c r="L19" s="25" t="inlineStr">
        <is>
          <t>A1</t>
        </is>
      </c>
      <c r="M19" s="25" t="inlineStr">
        <is>
          <t>Published</t>
        </is>
      </c>
      <c r="N19" s="25" t="n">
        <v>12</v>
      </c>
      <c r="O19" s="25" t="n">
        <v>43</v>
      </c>
      <c r="P19" s="27" t="n"/>
      <c r="Q19" s="27" t="n"/>
      <c r="R19" s="24" t="n"/>
      <c r="S19" s="24" t="inlineStr">
        <is>
          <t>LV lead</t>
        </is>
      </c>
      <c r="T19" s="24" t="inlineStr">
        <is>
          <t>TIDP-Y-LV</t>
        </is>
      </c>
      <c r="U19" s="25" t="inlineStr">
        <is>
          <t>Y</t>
        </is>
      </c>
      <c r="V19" s="25" t="inlineStr">
        <is>
          <t>Y</t>
        </is>
      </c>
      <c r="W19" s="25" t="inlineStr">
        <is>
          <t>N</t>
        </is>
      </c>
      <c r="X19" s="25" t="inlineStr"/>
      <c r="Y19" s="26" t="inlineStr"/>
    </row>
    <row r="20">
      <c r="B20" s="24" t="inlineStr">
        <is>
          <t>LV-700</t>
        </is>
      </c>
      <c r="C20" s="24" t="inlineStr">
        <is>
          <t>Low Voltage</t>
        </is>
      </c>
      <c r="D20" s="24" t="inlineStr"/>
      <c r="E20" s="25" t="inlineStr">
        <is>
          <t>ZZ</t>
        </is>
      </c>
      <c r="F20" s="26" t="inlineStr">
        <is>
          <t>As-built low voltage model (LOD 500, verified)</t>
        </is>
      </c>
      <c r="G20" s="24" t="inlineStr">
        <is>
          <t>Model</t>
        </is>
      </c>
      <c r="H20" s="25" t="inlineStr">
        <is>
          <t>M3</t>
        </is>
      </c>
      <c r="I20" s="24" t="inlineStr">
        <is>
          <t>3.3 Deliverable D</t>
        </is>
      </c>
      <c r="J20" s="25" t="inlineStr">
        <is>
          <t>500</t>
        </is>
      </c>
      <c r="K20" s="24" t="inlineStr">
        <is>
          <t>RVT/IFC</t>
        </is>
      </c>
      <c r="L20" s="25" t="inlineStr">
        <is>
          <t>A1</t>
        </is>
      </c>
      <c r="M20" s="25" t="inlineStr">
        <is>
          <t>Published</t>
        </is>
      </c>
      <c r="N20" s="25" t="n">
        <v>48</v>
      </c>
      <c r="O20" s="25" t="n">
        <v>49</v>
      </c>
      <c r="P20" s="27" t="n"/>
      <c r="Q20" s="27" t="n"/>
      <c r="R20" s="24" t="n"/>
      <c r="S20" s="24" t="inlineStr">
        <is>
          <t>LV lead</t>
        </is>
      </c>
      <c r="T20" s="24" t="inlineStr">
        <is>
          <t>TIDP-Y-LV</t>
        </is>
      </c>
      <c r="U20" s="25" t="inlineStr">
        <is>
          <t>Y</t>
        </is>
      </c>
      <c r="V20" s="25" t="inlineStr">
        <is>
          <t>Y</t>
        </is>
      </c>
      <c r="W20" s="25" t="inlineStr">
        <is>
          <t>Y</t>
        </is>
      </c>
      <c r="X20" s="25" t="inlineStr"/>
      <c r="Y20" s="26" t="inlineStr">
        <is>
          <t>Authored by the design consultant from the Contractor as-built documentation; verified by the Information Manager</t>
        </is>
      </c>
    </row>
    <row r="21">
      <c r="B21" s="18" t="n"/>
      <c r="C21" s="18" t="n"/>
      <c r="D21" s="18" t="n"/>
      <c r="E21" s="18" t="n"/>
      <c r="F21" s="18" t="n"/>
      <c r="G21" s="18" t="n"/>
      <c r="H21" s="18" t="n"/>
      <c r="I21" s="18" t="n"/>
      <c r="J21" s="18" t="n"/>
      <c r="K21" s="18" t="n"/>
      <c r="L21" s="18" t="n"/>
      <c r="M21" s="18" t="n"/>
      <c r="N21" s="18" t="n"/>
      <c r="O21" s="18" t="n"/>
      <c r="P21" s="20" t="n"/>
      <c r="Q21" s="20" t="n"/>
      <c r="R21" s="18" t="n"/>
      <c r="S21" s="18" t="n"/>
      <c r="T21" s="18" t="n"/>
      <c r="U21" s="18" t="n"/>
      <c r="V21" s="18" t="n"/>
      <c r="W21" s="18" t="n"/>
      <c r="X21" s="18" t="n"/>
      <c r="Y21" s="18" t="n"/>
    </row>
    <row r="22">
      <c r="B22" s="18" t="n"/>
      <c r="C22" s="18" t="n"/>
      <c r="D22" s="18" t="n"/>
      <c r="E22" s="18" t="n"/>
      <c r="F22" s="18" t="n"/>
      <c r="G22" s="18" t="n"/>
      <c r="H22" s="18" t="n"/>
      <c r="I22" s="18" t="n"/>
      <c r="J22" s="18" t="n"/>
      <c r="K22" s="18" t="n"/>
      <c r="L22" s="18" t="n"/>
      <c r="M22" s="18" t="n"/>
      <c r="N22" s="18" t="n"/>
      <c r="O22" s="18" t="n"/>
      <c r="P22" s="20" t="n"/>
      <c r="Q22" s="20" t="n"/>
      <c r="R22" s="18" t="n"/>
      <c r="S22" s="18" t="n"/>
      <c r="T22" s="18" t="n"/>
      <c r="U22" s="18" t="n"/>
      <c r="V22" s="18" t="n"/>
      <c r="W22" s="18" t="n"/>
      <c r="X22" s="18" t="n"/>
      <c r="Y22" s="18" t="n"/>
    </row>
    <row r="23">
      <c r="B23" s="18" t="n"/>
      <c r="C23" s="18" t="n"/>
      <c r="D23" s="18" t="n"/>
      <c r="E23" s="18" t="n"/>
      <c r="F23" s="18" t="n"/>
      <c r="G23" s="18" t="n"/>
      <c r="H23" s="18" t="n"/>
      <c r="I23" s="18" t="n"/>
      <c r="J23" s="18" t="n"/>
      <c r="K23" s="18" t="n"/>
      <c r="L23" s="18" t="n"/>
      <c r="M23" s="18" t="n"/>
      <c r="N23" s="18" t="n"/>
      <c r="O23" s="18" t="n"/>
      <c r="P23" s="20" t="n"/>
      <c r="Q23" s="20" t="n"/>
      <c r="R23" s="18" t="n"/>
      <c r="S23" s="18" t="n"/>
      <c r="T23" s="18" t="n"/>
      <c r="U23" s="18" t="n"/>
      <c r="V23" s="18" t="n"/>
      <c r="W23" s="18" t="n"/>
      <c r="X23" s="18" t="n"/>
      <c r="Y23" s="18" t="n"/>
    </row>
    <row r="24">
      <c r="B24" s="18" t="n"/>
      <c r="C24" s="18" t="n"/>
      <c r="D24" s="18" t="n"/>
      <c r="E24" s="18" t="n"/>
      <c r="F24" s="18" t="n"/>
      <c r="G24" s="18" t="n"/>
      <c r="H24" s="18" t="n"/>
      <c r="I24" s="18" t="n"/>
      <c r="J24" s="18" t="n"/>
      <c r="K24" s="18" t="n"/>
      <c r="L24" s="18" t="n"/>
      <c r="M24" s="18" t="n"/>
      <c r="N24" s="18" t="n"/>
      <c r="O24" s="18" t="n"/>
      <c r="P24" s="20" t="n"/>
      <c r="Q24" s="20" t="n"/>
      <c r="R24" s="18" t="n"/>
      <c r="S24" s="18" t="n"/>
      <c r="T24" s="18" t="n"/>
      <c r="U24" s="18" t="n"/>
      <c r="V24" s="18" t="n"/>
      <c r="W24" s="18" t="n"/>
      <c r="X24" s="18" t="n"/>
      <c r="Y24" s="18" t="n"/>
    </row>
    <row r="25">
      <c r="B25" s="18" t="n"/>
      <c r="C25" s="18" t="n"/>
      <c r="D25" s="18" t="n"/>
      <c r="E25" s="18" t="n"/>
      <c r="F25" s="18" t="n"/>
      <c r="G25" s="18" t="n"/>
      <c r="H25" s="18" t="n"/>
      <c r="I25" s="18" t="n"/>
      <c r="J25" s="18" t="n"/>
      <c r="K25" s="18" t="n"/>
      <c r="L25" s="18" t="n"/>
      <c r="M25" s="18" t="n"/>
      <c r="N25" s="18" t="n"/>
      <c r="O25" s="18" t="n"/>
      <c r="P25" s="20" t="n"/>
      <c r="Q25" s="20" t="n"/>
      <c r="R25" s="18" t="n"/>
      <c r="S25" s="18" t="n"/>
      <c r="T25" s="18" t="n"/>
      <c r="U25" s="18" t="n"/>
      <c r="V25" s="18" t="n"/>
      <c r="W25" s="18" t="n"/>
      <c r="X25" s="18" t="n"/>
      <c r="Y25" s="18" t="n"/>
    </row>
    <row r="26">
      <c r="B26" s="18" t="n"/>
      <c r="C26" s="18" t="n"/>
      <c r="D26" s="18" t="n"/>
      <c r="E26" s="18" t="n"/>
      <c r="F26" s="18" t="n"/>
      <c r="G26" s="18" t="n"/>
      <c r="H26" s="18" t="n"/>
      <c r="I26" s="18" t="n"/>
      <c r="J26" s="18" t="n"/>
      <c r="K26" s="18" t="n"/>
      <c r="L26" s="18" t="n"/>
      <c r="M26" s="18" t="n"/>
      <c r="N26" s="18" t="n"/>
      <c r="O26" s="18" t="n"/>
      <c r="P26" s="20" t="n"/>
      <c r="Q26" s="20" t="n"/>
      <c r="R26" s="18" t="n"/>
      <c r="S26" s="18" t="n"/>
      <c r="T26" s="18" t="n"/>
      <c r="U26" s="18" t="n"/>
      <c r="V26" s="18" t="n"/>
      <c r="W26" s="18" t="n"/>
      <c r="X26" s="18" t="n"/>
      <c r="Y26" s="18" t="n"/>
    </row>
    <row r="27">
      <c r="B27" s="18" t="n"/>
      <c r="C27" s="18" t="n"/>
      <c r="D27" s="18" t="n"/>
      <c r="E27" s="18" t="n"/>
      <c r="F27" s="18" t="n"/>
      <c r="G27" s="18" t="n"/>
      <c r="H27" s="18" t="n"/>
      <c r="I27" s="18" t="n"/>
      <c r="J27" s="18" t="n"/>
      <c r="K27" s="18" t="n"/>
      <c r="L27" s="18" t="n"/>
      <c r="M27" s="18" t="n"/>
      <c r="N27" s="18" t="n"/>
      <c r="O27" s="18" t="n"/>
      <c r="P27" s="20" t="n"/>
      <c r="Q27" s="20" t="n"/>
      <c r="R27" s="18" t="n"/>
      <c r="S27" s="18" t="n"/>
      <c r="T27" s="18" t="n"/>
      <c r="U27" s="18" t="n"/>
      <c r="V27" s="18" t="n"/>
      <c r="W27" s="18" t="n"/>
      <c r="X27" s="18" t="n"/>
      <c r="Y27" s="18" t="n"/>
    </row>
    <row r="28">
      <c r="B28" s="18" t="n"/>
      <c r="C28" s="18" t="n"/>
      <c r="D28" s="18" t="n"/>
      <c r="E28" s="18" t="n"/>
      <c r="F28" s="18" t="n"/>
      <c r="G28" s="18" t="n"/>
      <c r="H28" s="18" t="n"/>
      <c r="I28" s="18" t="n"/>
      <c r="J28" s="18" t="n"/>
      <c r="K28" s="18" t="n"/>
      <c r="L28" s="18" t="n"/>
      <c r="M28" s="18" t="n"/>
      <c r="N28" s="18" t="n"/>
      <c r="O28" s="18" t="n"/>
      <c r="P28" s="20" t="n"/>
      <c r="Q28" s="20" t="n"/>
      <c r="R28" s="18" t="n"/>
      <c r="S28" s="18" t="n"/>
      <c r="T28" s="18" t="n"/>
      <c r="U28" s="18" t="n"/>
      <c r="V28" s="18" t="n"/>
      <c r="W28" s="18" t="n"/>
      <c r="X28" s="18" t="n"/>
      <c r="Y28" s="18" t="n"/>
    </row>
    <row r="29">
      <c r="B29" s="18" t="n"/>
      <c r="C29" s="18" t="n"/>
      <c r="D29" s="18" t="n"/>
      <c r="E29" s="18" t="n"/>
      <c r="F29" s="18" t="n"/>
      <c r="G29" s="18" t="n"/>
      <c r="H29" s="18" t="n"/>
      <c r="I29" s="18" t="n"/>
      <c r="J29" s="18" t="n"/>
      <c r="K29" s="18" t="n"/>
      <c r="L29" s="18" t="n"/>
      <c r="M29" s="18" t="n"/>
      <c r="N29" s="18" t="n"/>
      <c r="O29" s="18" t="n"/>
      <c r="P29" s="20" t="n"/>
      <c r="Q29" s="20" t="n"/>
      <c r="R29" s="18" t="n"/>
      <c r="S29" s="18" t="n"/>
      <c r="T29" s="18" t="n"/>
      <c r="U29" s="18" t="n"/>
      <c r="V29" s="18" t="n"/>
      <c r="W29" s="18" t="n"/>
      <c r="X29" s="18" t="n"/>
      <c r="Y29" s="18" t="n"/>
    </row>
    <row r="30">
      <c r="B30" s="18" t="n"/>
      <c r="C30" s="18" t="n"/>
      <c r="D30" s="18" t="n"/>
      <c r="E30" s="18" t="n"/>
      <c r="F30" s="18" t="n"/>
      <c r="G30" s="18" t="n"/>
      <c r="H30" s="18" t="n"/>
      <c r="I30" s="18" t="n"/>
      <c r="J30" s="18" t="n"/>
      <c r="K30" s="18" t="n"/>
      <c r="L30" s="18" t="n"/>
      <c r="M30" s="18" t="n"/>
      <c r="N30" s="18" t="n"/>
      <c r="O30" s="18" t="n"/>
      <c r="P30" s="20" t="n"/>
      <c r="Q30" s="20" t="n"/>
      <c r="R30" s="18" t="n"/>
      <c r="S30" s="18" t="n"/>
      <c r="T30" s="18" t="n"/>
      <c r="U30" s="18" t="n"/>
      <c r="V30" s="18" t="n"/>
      <c r="W30" s="18" t="n"/>
      <c r="X30" s="18" t="n"/>
      <c r="Y30" s="18" t="n"/>
    </row>
    <row r="31">
      <c r="B31" s="18" t="n"/>
      <c r="C31" s="18" t="n"/>
      <c r="D31" s="18" t="n"/>
      <c r="E31" s="18" t="n"/>
      <c r="F31" s="18" t="n"/>
      <c r="G31" s="18" t="n"/>
      <c r="H31" s="18" t="n"/>
      <c r="I31" s="18" t="n"/>
      <c r="J31" s="18" t="n"/>
      <c r="K31" s="18" t="n"/>
      <c r="L31" s="18" t="n"/>
      <c r="M31" s="18" t="n"/>
      <c r="N31" s="18" t="n"/>
      <c r="O31" s="18" t="n"/>
      <c r="P31" s="20" t="n"/>
      <c r="Q31" s="20" t="n"/>
      <c r="R31" s="18" t="n"/>
      <c r="S31" s="18" t="n"/>
      <c r="T31" s="18" t="n"/>
      <c r="U31" s="18" t="n"/>
      <c r="V31" s="18" t="n"/>
      <c r="W31" s="18" t="n"/>
      <c r="X31" s="18" t="n"/>
      <c r="Y31" s="18" t="n"/>
    </row>
    <row r="32">
      <c r="B32" s="18" t="n"/>
      <c r="C32" s="18" t="n"/>
      <c r="D32" s="18" t="n"/>
      <c r="E32" s="18" t="n"/>
      <c r="F32" s="18" t="n"/>
      <c r="G32" s="18" t="n"/>
      <c r="H32" s="18" t="n"/>
      <c r="I32" s="18" t="n"/>
      <c r="J32" s="18" t="n"/>
      <c r="K32" s="18" t="n"/>
      <c r="L32" s="18" t="n"/>
      <c r="M32" s="18" t="n"/>
      <c r="N32" s="18" t="n"/>
      <c r="O32" s="18" t="n"/>
      <c r="P32" s="20" t="n"/>
      <c r="Q32" s="20" t="n"/>
      <c r="R32" s="18" t="n"/>
      <c r="S32" s="18" t="n"/>
      <c r="T32" s="18" t="n"/>
      <c r="U32" s="18" t="n"/>
      <c r="V32" s="18" t="n"/>
      <c r="W32" s="18" t="n"/>
      <c r="X32" s="18" t="n"/>
      <c r="Y32" s="18" t="n"/>
    </row>
    <row r="33">
      <c r="B33" s="18" t="n"/>
      <c r="C33" s="18" t="n"/>
      <c r="D33" s="18" t="n"/>
      <c r="E33" s="18" t="n"/>
      <c r="F33" s="18" t="n"/>
      <c r="G33" s="18" t="n"/>
      <c r="H33" s="18" t="n"/>
      <c r="I33" s="18" t="n"/>
      <c r="J33" s="18" t="n"/>
      <c r="K33" s="18" t="n"/>
      <c r="L33" s="18" t="n"/>
      <c r="M33" s="18" t="n"/>
      <c r="N33" s="18" t="n"/>
      <c r="O33" s="18" t="n"/>
      <c r="P33" s="20" t="n"/>
      <c r="Q33" s="20" t="n"/>
      <c r="R33" s="18" t="n"/>
      <c r="S33" s="18" t="n"/>
      <c r="T33" s="18" t="n"/>
      <c r="U33" s="18" t="n"/>
      <c r="V33" s="18" t="n"/>
      <c r="W33" s="18" t="n"/>
      <c r="X33" s="18" t="n"/>
      <c r="Y33" s="18" t="n"/>
    </row>
    <row r="34">
      <c r="B34" s="18" t="n"/>
      <c r="C34" s="18" t="n"/>
      <c r="D34" s="18" t="n"/>
      <c r="E34" s="18" t="n"/>
      <c r="F34" s="18" t="n"/>
      <c r="G34" s="18" t="n"/>
      <c r="H34" s="18" t="n"/>
      <c r="I34" s="18" t="n"/>
      <c r="J34" s="18" t="n"/>
      <c r="K34" s="18" t="n"/>
      <c r="L34" s="18" t="n"/>
      <c r="M34" s="18" t="n"/>
      <c r="N34" s="18" t="n"/>
      <c r="O34" s="18" t="n"/>
      <c r="P34" s="20" t="n"/>
      <c r="Q34" s="20" t="n"/>
      <c r="R34" s="18" t="n"/>
      <c r="S34" s="18" t="n"/>
      <c r="T34" s="18" t="n"/>
      <c r="U34" s="18" t="n"/>
      <c r="V34" s="18" t="n"/>
      <c r="W34" s="18" t="n"/>
      <c r="X34" s="18" t="n"/>
      <c r="Y34" s="18" t="n"/>
    </row>
    <row r="35">
      <c r="B35" s="18" t="n"/>
      <c r="C35" s="18" t="n"/>
      <c r="D35" s="18" t="n"/>
      <c r="E35" s="18" t="n"/>
      <c r="F35" s="18" t="n"/>
      <c r="G35" s="18" t="n"/>
      <c r="H35" s="18" t="n"/>
      <c r="I35" s="18" t="n"/>
      <c r="J35" s="18" t="n"/>
      <c r="K35" s="18" t="n"/>
      <c r="L35" s="18" t="n"/>
      <c r="M35" s="18" t="n"/>
      <c r="N35" s="18" t="n"/>
      <c r="O35" s="18" t="n"/>
      <c r="P35" s="20" t="n"/>
      <c r="Q35" s="20" t="n"/>
      <c r="R35" s="18" t="n"/>
      <c r="S35" s="18" t="n"/>
      <c r="T35" s="18" t="n"/>
      <c r="U35" s="18" t="n"/>
      <c r="V35" s="18" t="n"/>
      <c r="W35" s="18" t="n"/>
      <c r="X35" s="18" t="n"/>
      <c r="Y35" s="18" t="n"/>
    </row>
  </sheetData>
  <autoFilter ref="A16:X35"/>
  <mergeCells count="1">
    <mergeCell ref="B4:H5"/>
  </mergeCells>
  <dataValidations count="12">
    <dataValidation sqref="C17:C35" showDropDown="0" showInputMessage="0" showErrorMessage="0" allowBlank="1" type="list">
      <formula1>'Lists'!$A$2:$A$30</formula1>
    </dataValidation>
    <dataValidation sqref="E17:E35" showDropDown="0" showInputMessage="0" showErrorMessage="0" allowBlank="1" type="list">
      <formula1>'Lists'!$I$2:$I$30</formula1>
    </dataValidation>
    <dataValidation sqref="G17:G35" showDropDown="0" showInputMessage="0" showErrorMessage="0" allowBlank="1" type="list">
      <formula1>'Lists'!$C$2:$C$30</formula1>
    </dataValidation>
    <dataValidation sqref="H17:H35" showDropDown="0" showInputMessage="0" showErrorMessage="0" allowBlank="1" type="list">
      <formula1>'Lists'!$J$2:$J$30</formula1>
    </dataValidation>
    <dataValidation sqref="I17:I35" showDropDown="0" showInputMessage="0" showErrorMessage="0" allowBlank="1" type="list">
      <formula1>'Lists'!$D$2:$D$30</formula1>
    </dataValidation>
    <dataValidation sqref="J17:J35" showDropDown="0" showInputMessage="0" showErrorMessage="0" allowBlank="1" type="list">
      <formula1>'Lists'!$E$2:$E$30</formula1>
    </dataValidation>
    <dataValidation sqref="L17:L35" showDropDown="0" showInputMessage="0" showErrorMessage="0" allowBlank="1" type="list">
      <formula1>'Lists'!$F$2:$F$30</formula1>
    </dataValidation>
    <dataValidation sqref="M17:M35" showDropDown="0" showInputMessage="0" showErrorMessage="0" allowBlank="1" type="list">
      <formula1>'Lists'!$G$2:$G$30</formula1>
    </dataValidation>
    <dataValidation sqref="U17:U35" showDropDown="0" showInputMessage="0" showErrorMessage="0" allowBlank="1" type="list">
      <formula1>'Lists'!$K$2:$K$30</formula1>
    </dataValidation>
    <dataValidation sqref="V17:V35" showDropDown="0" showInputMessage="0" showErrorMessage="0" allowBlank="1" type="list">
      <formula1>'Lists'!$K$2:$K$30</formula1>
    </dataValidation>
    <dataValidation sqref="W17:W35" showDropDown="0" showInputMessage="0" showErrorMessage="0" allowBlank="1" type="list">
      <formula1>'Lists'!$K$2:$K$30</formula1>
    </dataValidation>
    <dataValidation sqref="X17:X35" showDropDown="0" showInputMessage="0" showErrorMessage="0" allowBlank="1" type="list">
      <formula1>'Lists'!$H$2:$H$30</formula1>
    </dataValidation>
  </dataValidations>
  <hyperlinks>
    <hyperlink xmlns:r="http://schemas.openxmlformats.org/officeDocument/2006/relationships" ref="A1" r:id="rId1"/>
  </hyperlinks>
  <pageMargins left="0.75" right="0.75" top="1" bottom="1" header="0.5" footer="0.5"/>
  <pageSetup orientation="landscape" fitToWidth="1"/>
  <headerFooter>
    <oddHeader>&amp;L&amp;"Calibri,Bold"&amp;9KAMPALA UGANDA TEMPLE&amp;C&amp;"Calibri,Bold"&amp;9&amp;A&amp;R&amp;9KUT-SMB-ZZ-ZZ-SH-Z-0001   Rev P01</oddHeader>
    <oddFooter>&amp;L&amp;9&amp;KC00000DRAFT - not issued (S0, work in progress)&amp;C&amp;8Symbion Consulting Group Studios - Information Manager&amp;R&amp;9&amp;A   Page &amp;P of &amp;N</oddFooter>
    <evenHeader/>
    <evenFooter/>
    <firstHeader/>
    <firstFooter/>
  </headerFooter>
</worksheet>
</file>

<file path=xl/worksheets/sheet12.xml><?xml version="1.0" encoding="utf-8"?>
<worksheet xmlns="http://schemas.openxmlformats.org/spreadsheetml/2006/main">
  <sheetPr>
    <tabColor rgb="00444F5C"/>
    <outlinePr summaryBelow="1" summaryRight="1"/>
    <pageSetUpPr fitToPage="1"/>
  </sheetPr>
  <dimension ref="A1:Y37"/>
  <sheetViews>
    <sheetView showGridLines="0" workbookViewId="0">
      <pane ySplit="16" topLeftCell="A17" activePane="bottomLeft" state="frozen"/>
      <selection pane="bottomLeft" activeCell="A1" sqref="A1"/>
    </sheetView>
  </sheetViews>
  <sheetFormatPr baseColWidth="8" defaultRowHeight="15"/>
  <cols>
    <col width="3" customWidth="1" min="1" max="1"/>
    <col width="10" customWidth="1" min="2" max="2"/>
    <col width="20" customWidth="1" min="3" max="3"/>
    <col width="12" customWidth="1" min="4" max="4"/>
    <col width="8" customWidth="1" min="5" max="5"/>
    <col width="44" customWidth="1" min="6" max="6"/>
    <col width="15" customWidth="1" min="7" max="7"/>
    <col width="10" customWidth="1" min="8" max="8"/>
    <col width="20" customWidth="1" min="9" max="9"/>
    <col width="7" customWidth="1" min="10" max="10"/>
    <col width="15" customWidth="1" min="11" max="11"/>
    <col width="11" customWidth="1" min="12" max="12"/>
    <col width="12" customWidth="1" min="13" max="13"/>
    <col width="11" customWidth="1" min="14" max="14"/>
    <col width="10" customWidth="1" min="15" max="15"/>
    <col width="13" customWidth="1" min="16" max="16"/>
    <col width="13" customWidth="1" min="17" max="17"/>
    <col width="14" customWidth="1" min="18" max="18"/>
    <col width="20" customWidth="1" min="19" max="19"/>
    <col width="10" customWidth="1" min="20" max="20"/>
    <col width="9" customWidth="1" min="21" max="21"/>
    <col width="9" customWidth="1" min="22" max="22"/>
    <col width="7" customWidth="1" min="23" max="23"/>
    <col width="11" customWidth="1" min="24" max="24"/>
    <col width="40" customWidth="1" min="25" max="25"/>
  </cols>
  <sheetData>
    <row r="1">
      <c r="A1" s="13" t="inlineStr">
        <is>
          <t>&lt; Cover</t>
        </is>
      </c>
    </row>
    <row r="2">
      <c r="B2" s="14" t="inlineStr">
        <is>
          <t>Task Information Delivery Plan — Civil and site</t>
        </is>
      </c>
    </row>
    <row r="4">
      <c r="B4" s="7" t="inlineStr">
        <is>
          <t>The deliverables below are those already assigned to you in the Master Information Delivery Plan. Confirm the planned dates, add any deliverable your scope requires that is not listed, and return this sheet to the Information Manager. Rows are merged back into the register by reference. Use the drop-down lists; if a value you need is not offered, raise it rather than typing a variant.</t>
        </is>
      </c>
    </row>
    <row r="5"/>
    <row r="7">
      <c r="B7" s="4" t="inlineStr">
        <is>
          <t>Task Information Delivery Plan</t>
        </is>
      </c>
      <c r="C7" s="5" t="inlineStr">
        <is>
          <t>TIDP-C</t>
        </is>
      </c>
    </row>
    <row r="8">
      <c r="B8" s="4" t="inlineStr">
        <is>
          <t>Scope</t>
        </is>
      </c>
      <c r="C8" s="5" t="inlineStr">
        <is>
          <t>Civil and site</t>
        </is>
      </c>
    </row>
    <row r="9">
      <c r="B9" s="4" t="inlineStr">
        <is>
          <t>Appointed party</t>
        </is>
      </c>
      <c r="C9" s="5" t="inlineStr">
        <is>
          <t>[FILL — civil engineer]</t>
        </is>
      </c>
    </row>
    <row r="10">
      <c r="B10" s="4" t="inlineStr">
        <is>
          <t>Originator code</t>
        </is>
      </c>
      <c r="C10" s="5" t="inlineStr">
        <is>
          <t>[FILL — once the register is issued]</t>
        </is>
      </c>
    </row>
    <row r="11">
      <c r="B11" s="4" t="inlineStr">
        <is>
          <t>Task Team Manager</t>
        </is>
      </c>
      <c r="C11" s="5" t="inlineStr">
        <is>
          <t>[FILL]</t>
        </is>
      </c>
    </row>
    <row r="12">
      <c r="B12" s="4" t="inlineStr">
        <is>
          <t>Contact</t>
        </is>
      </c>
      <c r="C12" s="5" t="inlineStr">
        <is>
          <t>[FILL]</t>
        </is>
      </c>
    </row>
    <row r="13">
      <c r="B13" s="4" t="inlineStr">
        <is>
          <t>Revision</t>
        </is>
      </c>
      <c r="C13" s="5" t="inlineStr">
        <is>
          <t>P01</t>
        </is>
      </c>
    </row>
    <row r="14">
      <c r="B14" s="4" t="inlineStr">
        <is>
          <t>Date</t>
        </is>
      </c>
      <c r="C14" s="5" t="inlineStr">
        <is>
          <t>[FILL]</t>
        </is>
      </c>
    </row>
    <row r="16" ht="30" customHeight="1">
      <c r="A16" s="17" t="n"/>
      <c r="B16" s="17" t="inlineStr">
        <is>
          <t>Ref</t>
        </is>
      </c>
      <c r="C16" s="17" t="inlineStr">
        <is>
          <t>Discipline</t>
        </is>
      </c>
      <c r="D16" s="17" t="inlineStr">
        <is>
          <t>Originator</t>
        </is>
      </c>
      <c r="E16" s="17" t="inlineStr">
        <is>
          <t>Volume</t>
        </is>
      </c>
      <c r="F16" s="17" t="inlineStr">
        <is>
          <t>Deliverable</t>
        </is>
      </c>
      <c r="G16" s="17" t="inlineStr">
        <is>
          <t>Type</t>
        </is>
      </c>
      <c r="H16" s="17" t="inlineStr">
        <is>
          <t>Type code</t>
        </is>
      </c>
      <c r="I16" s="17" t="inlineStr">
        <is>
          <t>Stage</t>
        </is>
      </c>
      <c r="J16" s="17" t="inlineStr">
        <is>
          <t>LOD</t>
        </is>
      </c>
      <c r="K16" s="17" t="inlineStr">
        <is>
          <t>Format</t>
        </is>
      </c>
      <c r="L16" s="17" t="inlineStr">
        <is>
          <t>Suitability</t>
        </is>
      </c>
      <c r="M16" s="17" t="inlineStr">
        <is>
          <t>CDE State</t>
        </is>
      </c>
      <c r="N16" s="17" t="inlineStr">
        <is>
          <t>Month from</t>
        </is>
      </c>
      <c r="O16" s="17" t="inlineStr">
        <is>
          <t>Month to</t>
        </is>
      </c>
      <c r="P16" s="17" t="inlineStr">
        <is>
          <t>Planned date</t>
        </is>
      </c>
      <c r="Q16" s="17" t="inlineStr">
        <is>
          <t>Actual date</t>
        </is>
      </c>
      <c r="R16" s="17" t="inlineStr">
        <is>
          <t>Variance (days)</t>
        </is>
      </c>
      <c r="S16" s="17" t="inlineStr">
        <is>
          <t>Responsible</t>
        </is>
      </c>
      <c r="T16" s="17" t="inlineStr">
        <is>
          <t>TIDP ref</t>
        </is>
      </c>
      <c r="U16" s="17" t="inlineStr">
        <is>
          <t>Critical</t>
        </is>
      </c>
      <c r="V16" s="17" t="inlineStr">
        <is>
          <t>As-built</t>
        </is>
      </c>
      <c r="W16" s="17" t="inlineStr">
        <is>
          <t>O&amp;M</t>
        </is>
      </c>
      <c r="X16" s="17" t="inlineStr">
        <is>
          <t>RAG</t>
        </is>
      </c>
      <c r="Y16" s="17" t="inlineStr">
        <is>
          <t>Notes</t>
        </is>
      </c>
    </row>
    <row r="17">
      <c r="B17" s="24" t="inlineStr">
        <is>
          <t>G-100</t>
        </is>
      </c>
      <c r="C17" s="24" t="inlineStr">
        <is>
          <t>Civil and Site</t>
        </is>
      </c>
      <c r="D17" s="24" t="inlineStr"/>
      <c r="E17" s="25" t="inlineStr">
        <is>
          <t>00</t>
        </is>
      </c>
      <c r="F17" s="26" t="inlineStr">
        <is>
          <t>Site model and levels</t>
        </is>
      </c>
      <c r="G17" s="24" t="inlineStr">
        <is>
          <t>Model</t>
        </is>
      </c>
      <c r="H17" s="25" t="inlineStr">
        <is>
          <t>M3</t>
        </is>
      </c>
      <c r="I17" s="24" t="inlineStr">
        <is>
          <t>2.1 Deliverable A</t>
        </is>
      </c>
      <c r="J17" s="25" t="inlineStr">
        <is>
          <t>200</t>
        </is>
      </c>
      <c r="K17" s="24" t="inlineStr">
        <is>
          <t>RVT/IFC</t>
        </is>
      </c>
      <c r="L17" s="25" t="inlineStr">
        <is>
          <t>S2</t>
        </is>
      </c>
      <c r="M17" s="25" t="inlineStr">
        <is>
          <t>Shared</t>
        </is>
      </c>
      <c r="N17" s="25" t="n">
        <v>1</v>
      </c>
      <c r="O17" s="25" t="n">
        <v>1</v>
      </c>
      <c r="P17" s="27" t="n"/>
      <c r="Q17" s="27" t="n"/>
      <c r="R17" s="24" t="n"/>
      <c r="S17" s="24" t="inlineStr">
        <is>
          <t>Civil lead</t>
        </is>
      </c>
      <c r="T17" s="24" t="inlineStr">
        <is>
          <t>TIDP-C</t>
        </is>
      </c>
      <c r="U17" s="25" t="inlineStr">
        <is>
          <t>Y</t>
        </is>
      </c>
      <c r="V17" s="25" t="inlineStr">
        <is>
          <t>Y</t>
        </is>
      </c>
      <c r="W17" s="25" t="inlineStr">
        <is>
          <t>N</t>
        </is>
      </c>
      <c r="X17" s="25" t="inlineStr"/>
      <c r="Y17" s="26" t="inlineStr">
        <is>
          <t>Site levels, access, drainage strategy; scope to confirm</t>
        </is>
      </c>
    </row>
    <row r="18">
      <c r="B18" s="24" t="inlineStr">
        <is>
          <t>G-200</t>
        </is>
      </c>
      <c r="C18" s="24" t="inlineStr">
        <is>
          <t>Civil and Site</t>
        </is>
      </c>
      <c r="D18" s="24" t="inlineStr"/>
      <c r="E18" s="25" t="inlineStr">
        <is>
          <t>00</t>
        </is>
      </c>
      <c r="F18" s="26" t="inlineStr">
        <is>
          <t>Site model</t>
        </is>
      </c>
      <c r="G18" s="24" t="inlineStr">
        <is>
          <t>Model</t>
        </is>
      </c>
      <c r="H18" s="25" t="inlineStr">
        <is>
          <t>M3</t>
        </is>
      </c>
      <c r="I18" s="24" t="inlineStr">
        <is>
          <t>2.2 Deliverable B</t>
        </is>
      </c>
      <c r="J18" s="25" t="inlineStr">
        <is>
          <t>300</t>
        </is>
      </c>
      <c r="K18" s="24" t="inlineStr">
        <is>
          <t>RVT/IFC</t>
        </is>
      </c>
      <c r="L18" s="25" t="inlineStr">
        <is>
          <t>S2</t>
        </is>
      </c>
      <c r="M18" s="25" t="inlineStr">
        <is>
          <t>Shared</t>
        </is>
      </c>
      <c r="N18" s="25" t="n">
        <v>2</v>
      </c>
      <c r="O18" s="25" t="n">
        <v>4</v>
      </c>
      <c r="P18" s="27" t="n"/>
      <c r="Q18" s="27" t="n"/>
      <c r="R18" s="24" t="n"/>
      <c r="S18" s="24" t="inlineStr">
        <is>
          <t>Civil lead</t>
        </is>
      </c>
      <c r="T18" s="24" t="inlineStr">
        <is>
          <t>TIDP-C</t>
        </is>
      </c>
      <c r="U18" s="25" t="inlineStr">
        <is>
          <t>Y</t>
        </is>
      </c>
      <c r="V18" s="25" t="inlineStr">
        <is>
          <t>Y</t>
        </is>
      </c>
      <c r="W18" s="25" t="inlineStr">
        <is>
          <t>N</t>
        </is>
      </c>
      <c r="X18" s="25" t="inlineStr"/>
      <c r="Y18" s="26" t="inlineStr">
        <is>
          <t>Real site model; drainage and access</t>
        </is>
      </c>
    </row>
    <row r="19">
      <c r="B19" s="24" t="inlineStr">
        <is>
          <t>G-201</t>
        </is>
      </c>
      <c r="C19" s="24" t="inlineStr">
        <is>
          <t>Civil and Site</t>
        </is>
      </c>
      <c r="D19" s="24" t="inlineStr"/>
      <c r="E19" s="25" t="inlineStr">
        <is>
          <t>00</t>
        </is>
      </c>
      <c r="F19" s="26" t="inlineStr">
        <is>
          <t>Site and drainage drawings (50%)</t>
        </is>
      </c>
      <c r="G19" s="24" t="inlineStr">
        <is>
          <t>Drawing</t>
        </is>
      </c>
      <c r="H19" s="25" t="inlineStr">
        <is>
          <t>DR</t>
        </is>
      </c>
      <c r="I19" s="24" t="inlineStr">
        <is>
          <t>2.2 Deliverable B</t>
        </is>
      </c>
      <c r="J19" s="25" t="inlineStr">
        <is>
          <t>300</t>
        </is>
      </c>
      <c r="K19" s="24" t="inlineStr">
        <is>
          <t>PDF/DWG</t>
        </is>
      </c>
      <c r="L19" s="25" t="inlineStr">
        <is>
          <t>S2</t>
        </is>
      </c>
      <c r="M19" s="25" t="inlineStr">
        <is>
          <t>Shared</t>
        </is>
      </c>
      <c r="N19" s="25" t="n">
        <v>4</v>
      </c>
      <c r="O19" s="25" t="n">
        <v>4</v>
      </c>
      <c r="P19" s="27" t="n"/>
      <c r="Q19" s="27" t="n"/>
      <c r="R19" s="24" t="n"/>
      <c r="S19" s="24" t="inlineStr">
        <is>
          <t>Civil lead</t>
        </is>
      </c>
      <c r="T19" s="24" t="inlineStr">
        <is>
          <t>TIDP-C</t>
        </is>
      </c>
      <c r="U19" s="25" t="inlineStr">
        <is>
          <t>N</t>
        </is>
      </c>
      <c r="V19" s="25" t="inlineStr">
        <is>
          <t>Y</t>
        </is>
      </c>
      <c r="W19" s="25" t="inlineStr">
        <is>
          <t>N</t>
        </is>
      </c>
      <c r="X19" s="25" t="inlineStr"/>
      <c r="Y19" s="26" t="inlineStr"/>
    </row>
    <row r="20">
      <c r="B20" s="24" t="inlineStr">
        <is>
          <t>G-300</t>
        </is>
      </c>
      <c r="C20" s="24" t="inlineStr">
        <is>
          <t>Civil and Site</t>
        </is>
      </c>
      <c r="D20" s="24" t="inlineStr"/>
      <c r="E20" s="25" t="inlineStr">
        <is>
          <t>00</t>
        </is>
      </c>
      <c r="F20" s="26" t="inlineStr">
        <is>
          <t>Civil and site model and drawings (100%)</t>
        </is>
      </c>
      <c r="G20" s="24" t="inlineStr">
        <is>
          <t>Model/Drawing</t>
        </is>
      </c>
      <c r="H20" s="25" t="inlineStr">
        <is>
          <t>M3</t>
        </is>
      </c>
      <c r="I20" s="24" t="inlineStr">
        <is>
          <t>2.3 Deliverable C</t>
        </is>
      </c>
      <c r="J20" s="25" t="inlineStr">
        <is>
          <t>350</t>
        </is>
      </c>
      <c r="K20" s="24" t="inlineStr">
        <is>
          <t>RVT/PDF</t>
        </is>
      </c>
      <c r="L20" s="25" t="inlineStr">
        <is>
          <t>S4</t>
        </is>
      </c>
      <c r="M20" s="25" t="inlineStr">
        <is>
          <t>Shared</t>
        </is>
      </c>
      <c r="N20" s="25" t="n">
        <v>5</v>
      </c>
      <c r="O20" s="25" t="n">
        <v>8</v>
      </c>
      <c r="P20" s="27" t="n"/>
      <c r="Q20" s="27" t="n"/>
      <c r="R20" s="24" t="n"/>
      <c r="S20" s="24" t="inlineStr">
        <is>
          <t>Civil lead</t>
        </is>
      </c>
      <c r="T20" s="24" t="inlineStr">
        <is>
          <t>TIDP-C</t>
        </is>
      </c>
      <c r="U20" s="25" t="inlineStr">
        <is>
          <t>Y</t>
        </is>
      </c>
      <c r="V20" s="25" t="inlineStr">
        <is>
          <t>Y</t>
        </is>
      </c>
      <c r="W20" s="25" t="inlineStr">
        <is>
          <t>N</t>
        </is>
      </c>
      <c r="X20" s="25" t="inlineStr"/>
      <c r="Y20" s="26" t="inlineStr"/>
    </row>
    <row r="21">
      <c r="B21" s="24" t="inlineStr">
        <is>
          <t>G-500</t>
        </is>
      </c>
      <c r="C21" s="24" t="inlineStr">
        <is>
          <t>Civil and Site</t>
        </is>
      </c>
      <c r="D21" s="24" t="inlineStr"/>
      <c r="E21" s="25" t="inlineStr">
        <is>
          <t>00</t>
        </is>
      </c>
      <c r="F21" s="26" t="inlineStr">
        <is>
          <t>Construction-stage model (revisions tracked)</t>
        </is>
      </c>
      <c r="G21" s="24" t="inlineStr">
        <is>
          <t>Model</t>
        </is>
      </c>
      <c r="H21" s="25" t="inlineStr">
        <is>
          <t>M3</t>
        </is>
      </c>
      <c r="I21" s="24" t="inlineStr">
        <is>
          <t>3.1 Construction</t>
        </is>
      </c>
      <c r="J21" s="25" t="inlineStr">
        <is>
          <t>400</t>
        </is>
      </c>
      <c r="K21" s="24" t="inlineStr">
        <is>
          <t>RVT/IFC</t>
        </is>
      </c>
      <c r="L21" s="25" t="inlineStr">
        <is>
          <t>A1</t>
        </is>
      </c>
      <c r="M21" s="25" t="inlineStr">
        <is>
          <t>Published</t>
        </is>
      </c>
      <c r="N21" s="25" t="n">
        <v>12</v>
      </c>
      <c r="O21" s="25" t="n">
        <v>43</v>
      </c>
      <c r="P21" s="27" t="n"/>
      <c r="Q21" s="27" t="n"/>
      <c r="R21" s="24" t="n"/>
      <c r="S21" s="24" t="inlineStr">
        <is>
          <t>Civil lead</t>
        </is>
      </c>
      <c r="T21" s="24" t="inlineStr">
        <is>
          <t>TIDP-C</t>
        </is>
      </c>
      <c r="U21" s="25" t="inlineStr">
        <is>
          <t>Y</t>
        </is>
      </c>
      <c r="V21" s="25" t="inlineStr">
        <is>
          <t>Y</t>
        </is>
      </c>
      <c r="W21" s="25" t="inlineStr">
        <is>
          <t>N</t>
        </is>
      </c>
      <c r="X21" s="25" t="inlineStr"/>
      <c r="Y21" s="26" t="inlineStr"/>
    </row>
    <row r="22">
      <c r="B22" s="24" t="inlineStr">
        <is>
          <t>G-700</t>
        </is>
      </c>
      <c r="C22" s="24" t="inlineStr">
        <is>
          <t>Civil and Site</t>
        </is>
      </c>
      <c r="D22" s="24" t="inlineStr"/>
      <c r="E22" s="25" t="inlineStr">
        <is>
          <t>00</t>
        </is>
      </c>
      <c r="F22" s="26" t="inlineStr">
        <is>
          <t>As-built civil and site model (LOD 500, verified)</t>
        </is>
      </c>
      <c r="G22" s="24" t="inlineStr">
        <is>
          <t>Model</t>
        </is>
      </c>
      <c r="H22" s="25" t="inlineStr">
        <is>
          <t>M3</t>
        </is>
      </c>
      <c r="I22" s="24" t="inlineStr">
        <is>
          <t>3.3 Deliverable D</t>
        </is>
      </c>
      <c r="J22" s="25" t="inlineStr">
        <is>
          <t>500</t>
        </is>
      </c>
      <c r="K22" s="24" t="inlineStr">
        <is>
          <t>RVT/IFC</t>
        </is>
      </c>
      <c r="L22" s="25" t="inlineStr">
        <is>
          <t>A1</t>
        </is>
      </c>
      <c r="M22" s="25" t="inlineStr">
        <is>
          <t>Published</t>
        </is>
      </c>
      <c r="N22" s="25" t="n">
        <v>48</v>
      </c>
      <c r="O22" s="25" t="n">
        <v>49</v>
      </c>
      <c r="P22" s="27" t="n"/>
      <c r="Q22" s="27" t="n"/>
      <c r="R22" s="24" t="n"/>
      <c r="S22" s="24" t="inlineStr">
        <is>
          <t>Civil lead</t>
        </is>
      </c>
      <c r="T22" s="24" t="inlineStr">
        <is>
          <t>TIDP-C</t>
        </is>
      </c>
      <c r="U22" s="25" t="inlineStr">
        <is>
          <t>Y</t>
        </is>
      </c>
      <c r="V22" s="25" t="inlineStr">
        <is>
          <t>Y</t>
        </is>
      </c>
      <c r="W22" s="25" t="inlineStr">
        <is>
          <t>Y</t>
        </is>
      </c>
      <c r="X22" s="25" t="inlineStr"/>
      <c r="Y22" s="26" t="inlineStr">
        <is>
          <t>Authored by the design consultant from the Contractor as-built documentation; verified by the Information Manager</t>
        </is>
      </c>
    </row>
    <row r="23">
      <c r="B23" s="18" t="n"/>
      <c r="C23" s="18" t="n"/>
      <c r="D23" s="18" t="n"/>
      <c r="E23" s="18" t="n"/>
      <c r="F23" s="18" t="n"/>
      <c r="G23" s="18" t="n"/>
      <c r="H23" s="18" t="n"/>
      <c r="I23" s="18" t="n"/>
      <c r="J23" s="18" t="n"/>
      <c r="K23" s="18" t="n"/>
      <c r="L23" s="18" t="n"/>
      <c r="M23" s="18" t="n"/>
      <c r="N23" s="18" t="n"/>
      <c r="O23" s="18" t="n"/>
      <c r="P23" s="20" t="n"/>
      <c r="Q23" s="20" t="n"/>
      <c r="R23" s="18" t="n"/>
      <c r="S23" s="18" t="n"/>
      <c r="T23" s="18" t="n"/>
      <c r="U23" s="18" t="n"/>
      <c r="V23" s="18" t="n"/>
      <c r="W23" s="18" t="n"/>
      <c r="X23" s="18" t="n"/>
      <c r="Y23" s="18" t="n"/>
    </row>
    <row r="24">
      <c r="B24" s="18" t="n"/>
      <c r="C24" s="18" t="n"/>
      <c r="D24" s="18" t="n"/>
      <c r="E24" s="18" t="n"/>
      <c r="F24" s="18" t="n"/>
      <c r="G24" s="18" t="n"/>
      <c r="H24" s="18" t="n"/>
      <c r="I24" s="18" t="n"/>
      <c r="J24" s="18" t="n"/>
      <c r="K24" s="18" t="n"/>
      <c r="L24" s="18" t="n"/>
      <c r="M24" s="18" t="n"/>
      <c r="N24" s="18" t="n"/>
      <c r="O24" s="18" t="n"/>
      <c r="P24" s="20" t="n"/>
      <c r="Q24" s="20" t="n"/>
      <c r="R24" s="18" t="n"/>
      <c r="S24" s="18" t="n"/>
      <c r="T24" s="18" t="n"/>
      <c r="U24" s="18" t="n"/>
      <c r="V24" s="18" t="n"/>
      <c r="W24" s="18" t="n"/>
      <c r="X24" s="18" t="n"/>
      <c r="Y24" s="18" t="n"/>
    </row>
    <row r="25">
      <c r="B25" s="18" t="n"/>
      <c r="C25" s="18" t="n"/>
      <c r="D25" s="18" t="n"/>
      <c r="E25" s="18" t="n"/>
      <c r="F25" s="18" t="n"/>
      <c r="G25" s="18" t="n"/>
      <c r="H25" s="18" t="n"/>
      <c r="I25" s="18" t="n"/>
      <c r="J25" s="18" t="n"/>
      <c r="K25" s="18" t="n"/>
      <c r="L25" s="18" t="n"/>
      <c r="M25" s="18" t="n"/>
      <c r="N25" s="18" t="n"/>
      <c r="O25" s="18" t="n"/>
      <c r="P25" s="20" t="n"/>
      <c r="Q25" s="20" t="n"/>
      <c r="R25" s="18" t="n"/>
      <c r="S25" s="18" t="n"/>
      <c r="T25" s="18" t="n"/>
      <c r="U25" s="18" t="n"/>
      <c r="V25" s="18" t="n"/>
      <c r="W25" s="18" t="n"/>
      <c r="X25" s="18" t="n"/>
      <c r="Y25" s="18" t="n"/>
    </row>
    <row r="26">
      <c r="B26" s="18" t="n"/>
      <c r="C26" s="18" t="n"/>
      <c r="D26" s="18" t="n"/>
      <c r="E26" s="18" t="n"/>
      <c r="F26" s="18" t="n"/>
      <c r="G26" s="18" t="n"/>
      <c r="H26" s="18" t="n"/>
      <c r="I26" s="18" t="n"/>
      <c r="J26" s="18" t="n"/>
      <c r="K26" s="18" t="n"/>
      <c r="L26" s="18" t="n"/>
      <c r="M26" s="18" t="n"/>
      <c r="N26" s="18" t="n"/>
      <c r="O26" s="18" t="n"/>
      <c r="P26" s="20" t="n"/>
      <c r="Q26" s="20" t="n"/>
      <c r="R26" s="18" t="n"/>
      <c r="S26" s="18" t="n"/>
      <c r="T26" s="18" t="n"/>
      <c r="U26" s="18" t="n"/>
      <c r="V26" s="18" t="n"/>
      <c r="W26" s="18" t="n"/>
      <c r="X26" s="18" t="n"/>
      <c r="Y26" s="18" t="n"/>
    </row>
    <row r="27">
      <c r="B27" s="18" t="n"/>
      <c r="C27" s="18" t="n"/>
      <c r="D27" s="18" t="n"/>
      <c r="E27" s="18" t="n"/>
      <c r="F27" s="18" t="n"/>
      <c r="G27" s="18" t="n"/>
      <c r="H27" s="18" t="n"/>
      <c r="I27" s="18" t="n"/>
      <c r="J27" s="18" t="n"/>
      <c r="K27" s="18" t="n"/>
      <c r="L27" s="18" t="n"/>
      <c r="M27" s="18" t="n"/>
      <c r="N27" s="18" t="n"/>
      <c r="O27" s="18" t="n"/>
      <c r="P27" s="20" t="n"/>
      <c r="Q27" s="20" t="n"/>
      <c r="R27" s="18" t="n"/>
      <c r="S27" s="18" t="n"/>
      <c r="T27" s="18" t="n"/>
      <c r="U27" s="18" t="n"/>
      <c r="V27" s="18" t="n"/>
      <c r="W27" s="18" t="n"/>
      <c r="X27" s="18" t="n"/>
      <c r="Y27" s="18" t="n"/>
    </row>
    <row r="28">
      <c r="B28" s="18" t="n"/>
      <c r="C28" s="18" t="n"/>
      <c r="D28" s="18" t="n"/>
      <c r="E28" s="18" t="n"/>
      <c r="F28" s="18" t="n"/>
      <c r="G28" s="18" t="n"/>
      <c r="H28" s="18" t="n"/>
      <c r="I28" s="18" t="n"/>
      <c r="J28" s="18" t="n"/>
      <c r="K28" s="18" t="n"/>
      <c r="L28" s="18" t="n"/>
      <c r="M28" s="18" t="n"/>
      <c r="N28" s="18" t="n"/>
      <c r="O28" s="18" t="n"/>
      <c r="P28" s="20" t="n"/>
      <c r="Q28" s="20" t="n"/>
      <c r="R28" s="18" t="n"/>
      <c r="S28" s="18" t="n"/>
      <c r="T28" s="18" t="n"/>
      <c r="U28" s="18" t="n"/>
      <c r="V28" s="18" t="n"/>
      <c r="W28" s="18" t="n"/>
      <c r="X28" s="18" t="n"/>
      <c r="Y28" s="18" t="n"/>
    </row>
    <row r="29">
      <c r="B29" s="18" t="n"/>
      <c r="C29" s="18" t="n"/>
      <c r="D29" s="18" t="n"/>
      <c r="E29" s="18" t="n"/>
      <c r="F29" s="18" t="n"/>
      <c r="G29" s="18" t="n"/>
      <c r="H29" s="18" t="n"/>
      <c r="I29" s="18" t="n"/>
      <c r="J29" s="18" t="n"/>
      <c r="K29" s="18" t="n"/>
      <c r="L29" s="18" t="n"/>
      <c r="M29" s="18" t="n"/>
      <c r="N29" s="18" t="n"/>
      <c r="O29" s="18" t="n"/>
      <c r="P29" s="20" t="n"/>
      <c r="Q29" s="20" t="n"/>
      <c r="R29" s="18" t="n"/>
      <c r="S29" s="18" t="n"/>
      <c r="T29" s="18" t="n"/>
      <c r="U29" s="18" t="n"/>
      <c r="V29" s="18" t="n"/>
      <c r="W29" s="18" t="n"/>
      <c r="X29" s="18" t="n"/>
      <c r="Y29" s="18" t="n"/>
    </row>
    <row r="30">
      <c r="B30" s="18" t="n"/>
      <c r="C30" s="18" t="n"/>
      <c r="D30" s="18" t="n"/>
      <c r="E30" s="18" t="n"/>
      <c r="F30" s="18" t="n"/>
      <c r="G30" s="18" t="n"/>
      <c r="H30" s="18" t="n"/>
      <c r="I30" s="18" t="n"/>
      <c r="J30" s="18" t="n"/>
      <c r="K30" s="18" t="n"/>
      <c r="L30" s="18" t="n"/>
      <c r="M30" s="18" t="n"/>
      <c r="N30" s="18" t="n"/>
      <c r="O30" s="18" t="n"/>
      <c r="P30" s="20" t="n"/>
      <c r="Q30" s="20" t="n"/>
      <c r="R30" s="18" t="n"/>
      <c r="S30" s="18" t="n"/>
      <c r="T30" s="18" t="n"/>
      <c r="U30" s="18" t="n"/>
      <c r="V30" s="18" t="n"/>
      <c r="W30" s="18" t="n"/>
      <c r="X30" s="18" t="n"/>
      <c r="Y30" s="18" t="n"/>
    </row>
    <row r="31">
      <c r="B31" s="18" t="n"/>
      <c r="C31" s="18" t="n"/>
      <c r="D31" s="18" t="n"/>
      <c r="E31" s="18" t="n"/>
      <c r="F31" s="18" t="n"/>
      <c r="G31" s="18" t="n"/>
      <c r="H31" s="18" t="n"/>
      <c r="I31" s="18" t="n"/>
      <c r="J31" s="18" t="n"/>
      <c r="K31" s="18" t="n"/>
      <c r="L31" s="18" t="n"/>
      <c r="M31" s="18" t="n"/>
      <c r="N31" s="18" t="n"/>
      <c r="O31" s="18" t="n"/>
      <c r="P31" s="20" t="n"/>
      <c r="Q31" s="20" t="n"/>
      <c r="R31" s="18" t="n"/>
      <c r="S31" s="18" t="n"/>
      <c r="T31" s="18" t="n"/>
      <c r="U31" s="18" t="n"/>
      <c r="V31" s="18" t="n"/>
      <c r="W31" s="18" t="n"/>
      <c r="X31" s="18" t="n"/>
      <c r="Y31" s="18" t="n"/>
    </row>
    <row r="32">
      <c r="B32" s="18" t="n"/>
      <c r="C32" s="18" t="n"/>
      <c r="D32" s="18" t="n"/>
      <c r="E32" s="18" t="n"/>
      <c r="F32" s="18" t="n"/>
      <c r="G32" s="18" t="n"/>
      <c r="H32" s="18" t="n"/>
      <c r="I32" s="18" t="n"/>
      <c r="J32" s="18" t="n"/>
      <c r="K32" s="18" t="n"/>
      <c r="L32" s="18" t="n"/>
      <c r="M32" s="18" t="n"/>
      <c r="N32" s="18" t="n"/>
      <c r="O32" s="18" t="n"/>
      <c r="P32" s="20" t="n"/>
      <c r="Q32" s="20" t="n"/>
      <c r="R32" s="18" t="n"/>
      <c r="S32" s="18" t="n"/>
      <c r="T32" s="18" t="n"/>
      <c r="U32" s="18" t="n"/>
      <c r="V32" s="18" t="n"/>
      <c r="W32" s="18" t="n"/>
      <c r="X32" s="18" t="n"/>
      <c r="Y32" s="18" t="n"/>
    </row>
    <row r="33">
      <c r="B33" s="18" t="n"/>
      <c r="C33" s="18" t="n"/>
      <c r="D33" s="18" t="n"/>
      <c r="E33" s="18" t="n"/>
      <c r="F33" s="18" t="n"/>
      <c r="G33" s="18" t="n"/>
      <c r="H33" s="18" t="n"/>
      <c r="I33" s="18" t="n"/>
      <c r="J33" s="18" t="n"/>
      <c r="K33" s="18" t="n"/>
      <c r="L33" s="18" t="n"/>
      <c r="M33" s="18" t="n"/>
      <c r="N33" s="18" t="n"/>
      <c r="O33" s="18" t="n"/>
      <c r="P33" s="20" t="n"/>
      <c r="Q33" s="20" t="n"/>
      <c r="R33" s="18" t="n"/>
      <c r="S33" s="18" t="n"/>
      <c r="T33" s="18" t="n"/>
      <c r="U33" s="18" t="n"/>
      <c r="V33" s="18" t="n"/>
      <c r="W33" s="18" t="n"/>
      <c r="X33" s="18" t="n"/>
      <c r="Y33" s="18" t="n"/>
    </row>
    <row r="34">
      <c r="B34" s="18" t="n"/>
      <c r="C34" s="18" t="n"/>
      <c r="D34" s="18" t="n"/>
      <c r="E34" s="18" t="n"/>
      <c r="F34" s="18" t="n"/>
      <c r="G34" s="18" t="n"/>
      <c r="H34" s="18" t="n"/>
      <c r="I34" s="18" t="n"/>
      <c r="J34" s="18" t="n"/>
      <c r="K34" s="18" t="n"/>
      <c r="L34" s="18" t="n"/>
      <c r="M34" s="18" t="n"/>
      <c r="N34" s="18" t="n"/>
      <c r="O34" s="18" t="n"/>
      <c r="P34" s="20" t="n"/>
      <c r="Q34" s="20" t="n"/>
      <c r="R34" s="18" t="n"/>
      <c r="S34" s="18" t="n"/>
      <c r="T34" s="18" t="n"/>
      <c r="U34" s="18" t="n"/>
      <c r="V34" s="18" t="n"/>
      <c r="W34" s="18" t="n"/>
      <c r="X34" s="18" t="n"/>
      <c r="Y34" s="18" t="n"/>
    </row>
    <row r="35">
      <c r="B35" s="18" t="n"/>
      <c r="C35" s="18" t="n"/>
      <c r="D35" s="18" t="n"/>
      <c r="E35" s="18" t="n"/>
      <c r="F35" s="18" t="n"/>
      <c r="G35" s="18" t="n"/>
      <c r="H35" s="18" t="n"/>
      <c r="I35" s="18" t="n"/>
      <c r="J35" s="18" t="n"/>
      <c r="K35" s="18" t="n"/>
      <c r="L35" s="18" t="n"/>
      <c r="M35" s="18" t="n"/>
      <c r="N35" s="18" t="n"/>
      <c r="O35" s="18" t="n"/>
      <c r="P35" s="20" t="n"/>
      <c r="Q35" s="20" t="n"/>
      <c r="R35" s="18" t="n"/>
      <c r="S35" s="18" t="n"/>
      <c r="T35" s="18" t="n"/>
      <c r="U35" s="18" t="n"/>
      <c r="V35" s="18" t="n"/>
      <c r="W35" s="18" t="n"/>
      <c r="X35" s="18" t="n"/>
      <c r="Y35" s="18" t="n"/>
    </row>
    <row r="36">
      <c r="B36" s="18" t="n"/>
      <c r="C36" s="18" t="n"/>
      <c r="D36" s="18" t="n"/>
      <c r="E36" s="18" t="n"/>
      <c r="F36" s="18" t="n"/>
      <c r="G36" s="18" t="n"/>
      <c r="H36" s="18" t="n"/>
      <c r="I36" s="18" t="n"/>
      <c r="J36" s="18" t="n"/>
      <c r="K36" s="18" t="n"/>
      <c r="L36" s="18" t="n"/>
      <c r="M36" s="18" t="n"/>
      <c r="N36" s="18" t="n"/>
      <c r="O36" s="18" t="n"/>
      <c r="P36" s="20" t="n"/>
      <c r="Q36" s="20" t="n"/>
      <c r="R36" s="18" t="n"/>
      <c r="S36" s="18" t="n"/>
      <c r="T36" s="18" t="n"/>
      <c r="U36" s="18" t="n"/>
      <c r="V36" s="18" t="n"/>
      <c r="W36" s="18" t="n"/>
      <c r="X36" s="18" t="n"/>
      <c r="Y36" s="18" t="n"/>
    </row>
    <row r="37">
      <c r="B37" s="18" t="n"/>
      <c r="C37" s="18" t="n"/>
      <c r="D37" s="18" t="n"/>
      <c r="E37" s="18" t="n"/>
      <c r="F37" s="18" t="n"/>
      <c r="G37" s="18" t="n"/>
      <c r="H37" s="18" t="n"/>
      <c r="I37" s="18" t="n"/>
      <c r="J37" s="18" t="n"/>
      <c r="K37" s="18" t="n"/>
      <c r="L37" s="18" t="n"/>
      <c r="M37" s="18" t="n"/>
      <c r="N37" s="18" t="n"/>
      <c r="O37" s="18" t="n"/>
      <c r="P37" s="20" t="n"/>
      <c r="Q37" s="20" t="n"/>
      <c r="R37" s="18" t="n"/>
      <c r="S37" s="18" t="n"/>
      <c r="T37" s="18" t="n"/>
      <c r="U37" s="18" t="n"/>
      <c r="V37" s="18" t="n"/>
      <c r="W37" s="18" t="n"/>
      <c r="X37" s="18" t="n"/>
      <c r="Y37" s="18" t="n"/>
    </row>
  </sheetData>
  <autoFilter ref="A16:X37"/>
  <mergeCells count="1">
    <mergeCell ref="B4:H5"/>
  </mergeCells>
  <dataValidations count="12">
    <dataValidation sqref="C17:C37" showDropDown="0" showInputMessage="0" showErrorMessage="0" allowBlank="1" type="list">
      <formula1>'Lists'!$A$2:$A$30</formula1>
    </dataValidation>
    <dataValidation sqref="E17:E37" showDropDown="0" showInputMessage="0" showErrorMessage="0" allowBlank="1" type="list">
      <formula1>'Lists'!$I$2:$I$30</formula1>
    </dataValidation>
    <dataValidation sqref="G17:G37" showDropDown="0" showInputMessage="0" showErrorMessage="0" allowBlank="1" type="list">
      <formula1>'Lists'!$C$2:$C$30</formula1>
    </dataValidation>
    <dataValidation sqref="H17:H37" showDropDown="0" showInputMessage="0" showErrorMessage="0" allowBlank="1" type="list">
      <formula1>'Lists'!$J$2:$J$30</formula1>
    </dataValidation>
    <dataValidation sqref="I17:I37" showDropDown="0" showInputMessage="0" showErrorMessage="0" allowBlank="1" type="list">
      <formula1>'Lists'!$D$2:$D$30</formula1>
    </dataValidation>
    <dataValidation sqref="J17:J37" showDropDown="0" showInputMessage="0" showErrorMessage="0" allowBlank="1" type="list">
      <formula1>'Lists'!$E$2:$E$30</formula1>
    </dataValidation>
    <dataValidation sqref="L17:L37" showDropDown="0" showInputMessage="0" showErrorMessage="0" allowBlank="1" type="list">
      <formula1>'Lists'!$F$2:$F$30</formula1>
    </dataValidation>
    <dataValidation sqref="M17:M37" showDropDown="0" showInputMessage="0" showErrorMessage="0" allowBlank="1" type="list">
      <formula1>'Lists'!$G$2:$G$30</formula1>
    </dataValidation>
    <dataValidation sqref="U17:U37" showDropDown="0" showInputMessage="0" showErrorMessage="0" allowBlank="1" type="list">
      <formula1>'Lists'!$K$2:$K$30</formula1>
    </dataValidation>
    <dataValidation sqref="V17:V37" showDropDown="0" showInputMessage="0" showErrorMessage="0" allowBlank="1" type="list">
      <formula1>'Lists'!$K$2:$K$30</formula1>
    </dataValidation>
    <dataValidation sqref="W17:W37" showDropDown="0" showInputMessage="0" showErrorMessage="0" allowBlank="1" type="list">
      <formula1>'Lists'!$K$2:$K$30</formula1>
    </dataValidation>
    <dataValidation sqref="X17:X37" showDropDown="0" showInputMessage="0" showErrorMessage="0" allowBlank="1" type="list">
      <formula1>'Lists'!$H$2:$H$30</formula1>
    </dataValidation>
  </dataValidations>
  <hyperlinks>
    <hyperlink xmlns:r="http://schemas.openxmlformats.org/officeDocument/2006/relationships" ref="A1" r:id="rId1"/>
  </hyperlinks>
  <pageMargins left="0.75" right="0.75" top="1" bottom="1" header="0.5" footer="0.5"/>
  <pageSetup orientation="landscape" fitToWidth="1"/>
  <headerFooter>
    <oddHeader>&amp;L&amp;"Calibri,Bold"&amp;9KAMPALA UGANDA TEMPLE&amp;C&amp;"Calibri,Bold"&amp;9&amp;A&amp;R&amp;9KUT-SMB-ZZ-ZZ-SH-Z-0001   Rev P01</oddHeader>
    <oddFooter>&amp;L&amp;9&amp;KC00000DRAFT - not issued (S0, work in progress)&amp;C&amp;8Symbion Consulting Group Studios - Information Manager&amp;R&amp;9&amp;A   Page &amp;P of &amp;N</oddFooter>
    <evenHeader/>
    <evenFooter/>
    <firstHeader/>
    <firstFooter/>
  </headerFooter>
</worksheet>
</file>

<file path=xl/worksheets/sheet13.xml><?xml version="1.0" encoding="utf-8"?>
<worksheet xmlns="http://schemas.openxmlformats.org/spreadsheetml/2006/main">
  <sheetPr>
    <tabColor rgb="00444F5C"/>
    <outlinePr summaryBelow="1" summaryRight="1"/>
    <pageSetUpPr fitToPage="1"/>
  </sheetPr>
  <dimension ref="A1:Y33"/>
  <sheetViews>
    <sheetView showGridLines="0" workbookViewId="0">
      <pane ySplit="16" topLeftCell="A17" activePane="bottomLeft" state="frozen"/>
      <selection pane="bottomLeft" activeCell="A1" sqref="A1"/>
    </sheetView>
  </sheetViews>
  <sheetFormatPr baseColWidth="8" defaultRowHeight="15"/>
  <cols>
    <col width="3" customWidth="1" min="1" max="1"/>
    <col width="10" customWidth="1" min="2" max="2"/>
    <col width="20" customWidth="1" min="3" max="3"/>
    <col width="12" customWidth="1" min="4" max="4"/>
    <col width="8" customWidth="1" min="5" max="5"/>
    <col width="44" customWidth="1" min="6" max="6"/>
    <col width="15" customWidth="1" min="7" max="7"/>
    <col width="10" customWidth="1" min="8" max="8"/>
    <col width="20" customWidth="1" min="9" max="9"/>
    <col width="7" customWidth="1" min="10" max="10"/>
    <col width="15" customWidth="1" min="11" max="11"/>
    <col width="11" customWidth="1" min="12" max="12"/>
    <col width="12" customWidth="1" min="13" max="13"/>
    <col width="11" customWidth="1" min="14" max="14"/>
    <col width="10" customWidth="1" min="15" max="15"/>
    <col width="13" customWidth="1" min="16" max="16"/>
    <col width="13" customWidth="1" min="17" max="17"/>
    <col width="14" customWidth="1" min="18" max="18"/>
    <col width="20" customWidth="1" min="19" max="19"/>
    <col width="10" customWidth="1" min="20" max="20"/>
    <col width="9" customWidth="1" min="21" max="21"/>
    <col width="9" customWidth="1" min="22" max="22"/>
    <col width="7" customWidth="1" min="23" max="23"/>
    <col width="11" customWidth="1" min="24" max="24"/>
    <col width="40" customWidth="1" min="25" max="25"/>
  </cols>
  <sheetData>
    <row r="1">
      <c r="A1" s="13" t="inlineStr">
        <is>
          <t>&lt; Cover</t>
        </is>
      </c>
    </row>
    <row r="2">
      <c r="B2" s="14" t="inlineStr">
        <is>
          <t>Task Information Delivery Plan — Quantity surveying / cost</t>
        </is>
      </c>
    </row>
    <row r="4">
      <c r="B4" s="7" t="inlineStr">
        <is>
          <t>The deliverables below are those already assigned to you in the Master Information Delivery Plan. Confirm the planned dates, add any deliverable your scope requires that is not listed, and return this sheet to the Information Manager. Rows are merged back into the register by reference. Use the drop-down lists; if a value you need is not offered, raise it rather than typing a variant.</t>
        </is>
      </c>
    </row>
    <row r="5"/>
    <row r="7">
      <c r="B7" s="4" t="inlineStr">
        <is>
          <t>Task Information Delivery Plan</t>
        </is>
      </c>
      <c r="C7" s="5" t="inlineStr">
        <is>
          <t>TIDP-Q</t>
        </is>
      </c>
    </row>
    <row r="8">
      <c r="B8" s="4" t="inlineStr">
        <is>
          <t>Scope</t>
        </is>
      </c>
      <c r="C8" s="5" t="inlineStr">
        <is>
          <t>Quantity surveying / cost</t>
        </is>
      </c>
    </row>
    <row r="9">
      <c r="B9" s="4" t="inlineStr">
        <is>
          <t>Appointed party</t>
        </is>
      </c>
      <c r="C9" s="5" t="inlineStr">
        <is>
          <t>[FILL — quantity surveyor]</t>
        </is>
      </c>
    </row>
    <row r="10">
      <c r="B10" s="4" t="inlineStr">
        <is>
          <t>Originator code</t>
        </is>
      </c>
      <c r="C10" s="5" t="inlineStr">
        <is>
          <t>[FILL — once the register is issued]</t>
        </is>
      </c>
    </row>
    <row r="11">
      <c r="B11" s="4" t="inlineStr">
        <is>
          <t>Task Team Manager</t>
        </is>
      </c>
      <c r="C11" s="5" t="inlineStr">
        <is>
          <t>[FILL]</t>
        </is>
      </c>
    </row>
    <row r="12">
      <c r="B12" s="4" t="inlineStr">
        <is>
          <t>Contact</t>
        </is>
      </c>
      <c r="C12" s="5" t="inlineStr">
        <is>
          <t>[FILL]</t>
        </is>
      </c>
    </row>
    <row r="13">
      <c r="B13" s="4" t="inlineStr">
        <is>
          <t>Revision</t>
        </is>
      </c>
      <c r="C13" s="5" t="inlineStr">
        <is>
          <t>P01</t>
        </is>
      </c>
    </row>
    <row r="14">
      <c r="B14" s="4" t="inlineStr">
        <is>
          <t>Date</t>
        </is>
      </c>
      <c r="C14" s="5" t="inlineStr">
        <is>
          <t>[FILL]</t>
        </is>
      </c>
    </row>
    <row r="16" ht="30" customHeight="1">
      <c r="A16" s="17" t="n"/>
      <c r="B16" s="17" t="inlineStr">
        <is>
          <t>Ref</t>
        </is>
      </c>
      <c r="C16" s="17" t="inlineStr">
        <is>
          <t>Discipline</t>
        </is>
      </c>
      <c r="D16" s="17" t="inlineStr">
        <is>
          <t>Originator</t>
        </is>
      </c>
      <c r="E16" s="17" t="inlineStr">
        <is>
          <t>Volume</t>
        </is>
      </c>
      <c r="F16" s="17" t="inlineStr">
        <is>
          <t>Deliverable</t>
        </is>
      </c>
      <c r="G16" s="17" t="inlineStr">
        <is>
          <t>Type</t>
        </is>
      </c>
      <c r="H16" s="17" t="inlineStr">
        <is>
          <t>Type code</t>
        </is>
      </c>
      <c r="I16" s="17" t="inlineStr">
        <is>
          <t>Stage</t>
        </is>
      </c>
      <c r="J16" s="17" t="inlineStr">
        <is>
          <t>LOD</t>
        </is>
      </c>
      <c r="K16" s="17" t="inlineStr">
        <is>
          <t>Format</t>
        </is>
      </c>
      <c r="L16" s="17" t="inlineStr">
        <is>
          <t>Suitability</t>
        </is>
      </c>
      <c r="M16" s="17" t="inlineStr">
        <is>
          <t>CDE State</t>
        </is>
      </c>
      <c r="N16" s="17" t="inlineStr">
        <is>
          <t>Month from</t>
        </is>
      </c>
      <c r="O16" s="17" t="inlineStr">
        <is>
          <t>Month to</t>
        </is>
      </c>
      <c r="P16" s="17" t="inlineStr">
        <is>
          <t>Planned date</t>
        </is>
      </c>
      <c r="Q16" s="17" t="inlineStr">
        <is>
          <t>Actual date</t>
        </is>
      </c>
      <c r="R16" s="17" t="inlineStr">
        <is>
          <t>Variance (days)</t>
        </is>
      </c>
      <c r="S16" s="17" t="inlineStr">
        <is>
          <t>Responsible</t>
        </is>
      </c>
      <c r="T16" s="17" t="inlineStr">
        <is>
          <t>TIDP ref</t>
        </is>
      </c>
      <c r="U16" s="17" t="inlineStr">
        <is>
          <t>Critical</t>
        </is>
      </c>
      <c r="V16" s="17" t="inlineStr">
        <is>
          <t>As-built</t>
        </is>
      </c>
      <c r="W16" s="17" t="inlineStr">
        <is>
          <t>O&amp;M</t>
        </is>
      </c>
      <c r="X16" s="17" t="inlineStr">
        <is>
          <t>RAG</t>
        </is>
      </c>
      <c r="Y16" s="17" t="inlineStr">
        <is>
          <t>Notes</t>
        </is>
      </c>
    </row>
    <row r="17">
      <c r="B17" s="24" t="inlineStr">
        <is>
          <t>Z-212</t>
        </is>
      </c>
      <c r="C17" s="24" t="inlineStr">
        <is>
          <t>QS / Cost</t>
        </is>
      </c>
      <c r="D17" s="24" t="inlineStr"/>
      <c r="E17" s="25" t="inlineStr">
        <is>
          <t>ZZ</t>
        </is>
      </c>
      <c r="F17" s="26" t="inlineStr">
        <is>
          <t>Bill of quantities (preliminary)</t>
        </is>
      </c>
      <c r="G17" s="24" t="inlineStr">
        <is>
          <t>Schedule</t>
        </is>
      </c>
      <c r="H17" s="25" t="inlineStr">
        <is>
          <t>CP</t>
        </is>
      </c>
      <c r="I17" s="24" t="inlineStr">
        <is>
          <t>2.2 Deliverable B</t>
        </is>
      </c>
      <c r="J17" s="25" t="inlineStr">
        <is>
          <t>300</t>
        </is>
      </c>
      <c r="K17" s="24" t="inlineStr">
        <is>
          <t>XLSX</t>
        </is>
      </c>
      <c r="L17" s="25" t="inlineStr">
        <is>
          <t>S2</t>
        </is>
      </c>
      <c r="M17" s="25" t="inlineStr">
        <is>
          <t>Shared</t>
        </is>
      </c>
      <c r="N17" s="25" t="n">
        <v>4</v>
      </c>
      <c r="O17" s="25" t="n">
        <v>4</v>
      </c>
      <c r="P17" s="27" t="n"/>
      <c r="Q17" s="27" t="n"/>
      <c r="R17" s="24" t="n"/>
      <c r="S17" s="24" t="inlineStr">
        <is>
          <t>Quantity Surveyor</t>
        </is>
      </c>
      <c r="T17" s="24" t="inlineStr">
        <is>
          <t>TIDP-Q</t>
        </is>
      </c>
      <c r="U17" s="25" t="inlineStr">
        <is>
          <t>Y</t>
        </is>
      </c>
      <c r="V17" s="25" t="inlineStr">
        <is>
          <t>N</t>
        </is>
      </c>
      <c r="W17" s="25" t="inlineStr">
        <is>
          <t>Y</t>
        </is>
      </c>
      <c r="X17" s="25" t="inlineStr"/>
      <c r="Y17" s="26" t="inlineStr">
        <is>
          <t>Derived from the coordinated models by the QS</t>
        </is>
      </c>
    </row>
    <row r="18">
      <c r="B18" s="24" t="inlineStr">
        <is>
          <t>Z-310</t>
        </is>
      </c>
      <c r="C18" s="24" t="inlineStr">
        <is>
          <t>QS / Cost</t>
        </is>
      </c>
      <c r="D18" s="24" t="inlineStr"/>
      <c r="E18" s="25" t="inlineStr">
        <is>
          <t>ZZ</t>
        </is>
      </c>
      <c r="F18" s="26" t="inlineStr">
        <is>
          <t>Bill of quantities (tender)</t>
        </is>
      </c>
      <c r="G18" s="24" t="inlineStr">
        <is>
          <t>Schedule</t>
        </is>
      </c>
      <c r="H18" s="25" t="inlineStr">
        <is>
          <t>CP</t>
        </is>
      </c>
      <c r="I18" s="24" t="inlineStr">
        <is>
          <t>2.3 Deliverable C</t>
        </is>
      </c>
      <c r="J18" s="25" t="inlineStr">
        <is>
          <t>350</t>
        </is>
      </c>
      <c r="K18" s="24" t="inlineStr">
        <is>
          <t>XLSX</t>
        </is>
      </c>
      <c r="L18" s="25" t="inlineStr">
        <is>
          <t>S4</t>
        </is>
      </c>
      <c r="M18" s="25" t="inlineStr">
        <is>
          <t>Shared</t>
        </is>
      </c>
      <c r="N18" s="25" t="n">
        <v>8</v>
      </c>
      <c r="O18" s="25" t="n">
        <v>8</v>
      </c>
      <c r="P18" s="27" t="n"/>
      <c r="Q18" s="27" t="n"/>
      <c r="R18" s="24" t="n"/>
      <c r="S18" s="24" t="inlineStr">
        <is>
          <t>Quantity Surveyor</t>
        </is>
      </c>
      <c r="T18" s="24" t="inlineStr">
        <is>
          <t>TIDP-Q</t>
        </is>
      </c>
      <c r="U18" s="25" t="inlineStr">
        <is>
          <t>Y</t>
        </is>
      </c>
      <c r="V18" s="25" t="inlineStr">
        <is>
          <t>N</t>
        </is>
      </c>
      <c r="W18" s="25" t="inlineStr">
        <is>
          <t>Y</t>
        </is>
      </c>
      <c r="X18" s="25" t="inlineStr"/>
      <c r="Y18" s="26" t="inlineStr"/>
    </row>
    <row r="19">
      <c r="B19" s="18" t="n"/>
      <c r="C19" s="18" t="n"/>
      <c r="D19" s="18" t="n"/>
      <c r="E19" s="18" t="n"/>
      <c r="F19" s="18" t="n"/>
      <c r="G19" s="18" t="n"/>
      <c r="H19" s="18" t="n"/>
      <c r="I19" s="18" t="n"/>
      <c r="J19" s="18" t="n"/>
      <c r="K19" s="18" t="n"/>
      <c r="L19" s="18" t="n"/>
      <c r="M19" s="18" t="n"/>
      <c r="N19" s="18" t="n"/>
      <c r="O19" s="18" t="n"/>
      <c r="P19" s="20" t="n"/>
      <c r="Q19" s="20" t="n"/>
      <c r="R19" s="18" t="n"/>
      <c r="S19" s="18" t="n"/>
      <c r="T19" s="18" t="n"/>
      <c r="U19" s="18" t="n"/>
      <c r="V19" s="18" t="n"/>
      <c r="W19" s="18" t="n"/>
      <c r="X19" s="18" t="n"/>
      <c r="Y19" s="18" t="n"/>
    </row>
    <row r="20">
      <c r="B20" s="18" t="n"/>
      <c r="C20" s="18" t="n"/>
      <c r="D20" s="18" t="n"/>
      <c r="E20" s="18" t="n"/>
      <c r="F20" s="18" t="n"/>
      <c r="G20" s="18" t="n"/>
      <c r="H20" s="18" t="n"/>
      <c r="I20" s="18" t="n"/>
      <c r="J20" s="18" t="n"/>
      <c r="K20" s="18" t="n"/>
      <c r="L20" s="18" t="n"/>
      <c r="M20" s="18" t="n"/>
      <c r="N20" s="18" t="n"/>
      <c r="O20" s="18" t="n"/>
      <c r="P20" s="20" t="n"/>
      <c r="Q20" s="20" t="n"/>
      <c r="R20" s="18" t="n"/>
      <c r="S20" s="18" t="n"/>
      <c r="T20" s="18" t="n"/>
      <c r="U20" s="18" t="n"/>
      <c r="V20" s="18" t="n"/>
      <c r="W20" s="18" t="n"/>
      <c r="X20" s="18" t="n"/>
      <c r="Y20" s="18" t="n"/>
    </row>
    <row r="21">
      <c r="B21" s="18" t="n"/>
      <c r="C21" s="18" t="n"/>
      <c r="D21" s="18" t="n"/>
      <c r="E21" s="18" t="n"/>
      <c r="F21" s="18" t="n"/>
      <c r="G21" s="18" t="n"/>
      <c r="H21" s="18" t="n"/>
      <c r="I21" s="18" t="n"/>
      <c r="J21" s="18" t="n"/>
      <c r="K21" s="18" t="n"/>
      <c r="L21" s="18" t="n"/>
      <c r="M21" s="18" t="n"/>
      <c r="N21" s="18" t="n"/>
      <c r="O21" s="18" t="n"/>
      <c r="P21" s="20" t="n"/>
      <c r="Q21" s="20" t="n"/>
      <c r="R21" s="18" t="n"/>
      <c r="S21" s="18" t="n"/>
      <c r="T21" s="18" t="n"/>
      <c r="U21" s="18" t="n"/>
      <c r="V21" s="18" t="n"/>
      <c r="W21" s="18" t="n"/>
      <c r="X21" s="18" t="n"/>
      <c r="Y21" s="18" t="n"/>
    </row>
    <row r="22">
      <c r="B22" s="18" t="n"/>
      <c r="C22" s="18" t="n"/>
      <c r="D22" s="18" t="n"/>
      <c r="E22" s="18" t="n"/>
      <c r="F22" s="18" t="n"/>
      <c r="G22" s="18" t="n"/>
      <c r="H22" s="18" t="n"/>
      <c r="I22" s="18" t="n"/>
      <c r="J22" s="18" t="n"/>
      <c r="K22" s="18" t="n"/>
      <c r="L22" s="18" t="n"/>
      <c r="M22" s="18" t="n"/>
      <c r="N22" s="18" t="n"/>
      <c r="O22" s="18" t="n"/>
      <c r="P22" s="20" t="n"/>
      <c r="Q22" s="20" t="n"/>
      <c r="R22" s="18" t="n"/>
      <c r="S22" s="18" t="n"/>
      <c r="T22" s="18" t="n"/>
      <c r="U22" s="18" t="n"/>
      <c r="V22" s="18" t="n"/>
      <c r="W22" s="18" t="n"/>
      <c r="X22" s="18" t="n"/>
      <c r="Y22" s="18" t="n"/>
    </row>
    <row r="23">
      <c r="B23" s="18" t="n"/>
      <c r="C23" s="18" t="n"/>
      <c r="D23" s="18" t="n"/>
      <c r="E23" s="18" t="n"/>
      <c r="F23" s="18" t="n"/>
      <c r="G23" s="18" t="n"/>
      <c r="H23" s="18" t="n"/>
      <c r="I23" s="18" t="n"/>
      <c r="J23" s="18" t="n"/>
      <c r="K23" s="18" t="n"/>
      <c r="L23" s="18" t="n"/>
      <c r="M23" s="18" t="n"/>
      <c r="N23" s="18" t="n"/>
      <c r="O23" s="18" t="n"/>
      <c r="P23" s="20" t="n"/>
      <c r="Q23" s="20" t="n"/>
      <c r="R23" s="18" t="n"/>
      <c r="S23" s="18" t="n"/>
      <c r="T23" s="18" t="n"/>
      <c r="U23" s="18" t="n"/>
      <c r="V23" s="18" t="n"/>
      <c r="W23" s="18" t="n"/>
      <c r="X23" s="18" t="n"/>
      <c r="Y23" s="18" t="n"/>
    </row>
    <row r="24">
      <c r="B24" s="18" t="n"/>
      <c r="C24" s="18" t="n"/>
      <c r="D24" s="18" t="n"/>
      <c r="E24" s="18" t="n"/>
      <c r="F24" s="18" t="n"/>
      <c r="G24" s="18" t="n"/>
      <c r="H24" s="18" t="n"/>
      <c r="I24" s="18" t="n"/>
      <c r="J24" s="18" t="n"/>
      <c r="K24" s="18" t="n"/>
      <c r="L24" s="18" t="n"/>
      <c r="M24" s="18" t="n"/>
      <c r="N24" s="18" t="n"/>
      <c r="O24" s="18" t="n"/>
      <c r="P24" s="20" t="n"/>
      <c r="Q24" s="20" t="n"/>
      <c r="R24" s="18" t="n"/>
      <c r="S24" s="18" t="n"/>
      <c r="T24" s="18" t="n"/>
      <c r="U24" s="18" t="n"/>
      <c r="V24" s="18" t="n"/>
      <c r="W24" s="18" t="n"/>
      <c r="X24" s="18" t="n"/>
      <c r="Y24" s="18" t="n"/>
    </row>
    <row r="25">
      <c r="B25" s="18" t="n"/>
      <c r="C25" s="18" t="n"/>
      <c r="D25" s="18" t="n"/>
      <c r="E25" s="18" t="n"/>
      <c r="F25" s="18" t="n"/>
      <c r="G25" s="18" t="n"/>
      <c r="H25" s="18" t="n"/>
      <c r="I25" s="18" t="n"/>
      <c r="J25" s="18" t="n"/>
      <c r="K25" s="18" t="n"/>
      <c r="L25" s="18" t="n"/>
      <c r="M25" s="18" t="n"/>
      <c r="N25" s="18" t="n"/>
      <c r="O25" s="18" t="n"/>
      <c r="P25" s="20" t="n"/>
      <c r="Q25" s="20" t="n"/>
      <c r="R25" s="18" t="n"/>
      <c r="S25" s="18" t="n"/>
      <c r="T25" s="18" t="n"/>
      <c r="U25" s="18" t="n"/>
      <c r="V25" s="18" t="n"/>
      <c r="W25" s="18" t="n"/>
      <c r="X25" s="18" t="n"/>
      <c r="Y25" s="18" t="n"/>
    </row>
    <row r="26">
      <c r="B26" s="18" t="n"/>
      <c r="C26" s="18" t="n"/>
      <c r="D26" s="18" t="n"/>
      <c r="E26" s="18" t="n"/>
      <c r="F26" s="18" t="n"/>
      <c r="G26" s="18" t="n"/>
      <c r="H26" s="18" t="n"/>
      <c r="I26" s="18" t="n"/>
      <c r="J26" s="18" t="n"/>
      <c r="K26" s="18" t="n"/>
      <c r="L26" s="18" t="n"/>
      <c r="M26" s="18" t="n"/>
      <c r="N26" s="18" t="n"/>
      <c r="O26" s="18" t="n"/>
      <c r="P26" s="20" t="n"/>
      <c r="Q26" s="20" t="n"/>
      <c r="R26" s="18" t="n"/>
      <c r="S26" s="18" t="n"/>
      <c r="T26" s="18" t="n"/>
      <c r="U26" s="18" t="n"/>
      <c r="V26" s="18" t="n"/>
      <c r="W26" s="18" t="n"/>
      <c r="X26" s="18" t="n"/>
      <c r="Y26" s="18" t="n"/>
    </row>
    <row r="27">
      <c r="B27" s="18" t="n"/>
      <c r="C27" s="18" t="n"/>
      <c r="D27" s="18" t="n"/>
      <c r="E27" s="18" t="n"/>
      <c r="F27" s="18" t="n"/>
      <c r="G27" s="18" t="n"/>
      <c r="H27" s="18" t="n"/>
      <c r="I27" s="18" t="n"/>
      <c r="J27" s="18" t="n"/>
      <c r="K27" s="18" t="n"/>
      <c r="L27" s="18" t="n"/>
      <c r="M27" s="18" t="n"/>
      <c r="N27" s="18" t="n"/>
      <c r="O27" s="18" t="n"/>
      <c r="P27" s="20" t="n"/>
      <c r="Q27" s="20" t="n"/>
      <c r="R27" s="18" t="n"/>
      <c r="S27" s="18" t="n"/>
      <c r="T27" s="18" t="n"/>
      <c r="U27" s="18" t="n"/>
      <c r="V27" s="18" t="n"/>
      <c r="W27" s="18" t="n"/>
      <c r="X27" s="18" t="n"/>
      <c r="Y27" s="18" t="n"/>
    </row>
    <row r="28">
      <c r="B28" s="18" t="n"/>
      <c r="C28" s="18" t="n"/>
      <c r="D28" s="18" t="n"/>
      <c r="E28" s="18" t="n"/>
      <c r="F28" s="18" t="n"/>
      <c r="G28" s="18" t="n"/>
      <c r="H28" s="18" t="n"/>
      <c r="I28" s="18" t="n"/>
      <c r="J28" s="18" t="n"/>
      <c r="K28" s="18" t="n"/>
      <c r="L28" s="18" t="n"/>
      <c r="M28" s="18" t="n"/>
      <c r="N28" s="18" t="n"/>
      <c r="O28" s="18" t="n"/>
      <c r="P28" s="20" t="n"/>
      <c r="Q28" s="20" t="n"/>
      <c r="R28" s="18" t="n"/>
      <c r="S28" s="18" t="n"/>
      <c r="T28" s="18" t="n"/>
      <c r="U28" s="18" t="n"/>
      <c r="V28" s="18" t="n"/>
      <c r="W28" s="18" t="n"/>
      <c r="X28" s="18" t="n"/>
      <c r="Y28" s="18" t="n"/>
    </row>
    <row r="29">
      <c r="B29" s="18" t="n"/>
      <c r="C29" s="18" t="n"/>
      <c r="D29" s="18" t="n"/>
      <c r="E29" s="18" t="n"/>
      <c r="F29" s="18" t="n"/>
      <c r="G29" s="18" t="n"/>
      <c r="H29" s="18" t="n"/>
      <c r="I29" s="18" t="n"/>
      <c r="J29" s="18" t="n"/>
      <c r="K29" s="18" t="n"/>
      <c r="L29" s="18" t="n"/>
      <c r="M29" s="18" t="n"/>
      <c r="N29" s="18" t="n"/>
      <c r="O29" s="18" t="n"/>
      <c r="P29" s="20" t="n"/>
      <c r="Q29" s="20" t="n"/>
      <c r="R29" s="18" t="n"/>
      <c r="S29" s="18" t="n"/>
      <c r="T29" s="18" t="n"/>
      <c r="U29" s="18" t="n"/>
      <c r="V29" s="18" t="n"/>
      <c r="W29" s="18" t="n"/>
      <c r="X29" s="18" t="n"/>
      <c r="Y29" s="18" t="n"/>
    </row>
    <row r="30">
      <c r="B30" s="18" t="n"/>
      <c r="C30" s="18" t="n"/>
      <c r="D30" s="18" t="n"/>
      <c r="E30" s="18" t="n"/>
      <c r="F30" s="18" t="n"/>
      <c r="G30" s="18" t="n"/>
      <c r="H30" s="18" t="n"/>
      <c r="I30" s="18" t="n"/>
      <c r="J30" s="18" t="n"/>
      <c r="K30" s="18" t="n"/>
      <c r="L30" s="18" t="n"/>
      <c r="M30" s="18" t="n"/>
      <c r="N30" s="18" t="n"/>
      <c r="O30" s="18" t="n"/>
      <c r="P30" s="20" t="n"/>
      <c r="Q30" s="20" t="n"/>
      <c r="R30" s="18" t="n"/>
      <c r="S30" s="18" t="n"/>
      <c r="T30" s="18" t="n"/>
      <c r="U30" s="18" t="n"/>
      <c r="V30" s="18" t="n"/>
      <c r="W30" s="18" t="n"/>
      <c r="X30" s="18" t="n"/>
      <c r="Y30" s="18" t="n"/>
    </row>
    <row r="31">
      <c r="B31" s="18" t="n"/>
      <c r="C31" s="18" t="n"/>
      <c r="D31" s="18" t="n"/>
      <c r="E31" s="18" t="n"/>
      <c r="F31" s="18" t="n"/>
      <c r="G31" s="18" t="n"/>
      <c r="H31" s="18" t="n"/>
      <c r="I31" s="18" t="n"/>
      <c r="J31" s="18" t="n"/>
      <c r="K31" s="18" t="n"/>
      <c r="L31" s="18" t="n"/>
      <c r="M31" s="18" t="n"/>
      <c r="N31" s="18" t="n"/>
      <c r="O31" s="18" t="n"/>
      <c r="P31" s="20" t="n"/>
      <c r="Q31" s="20" t="n"/>
      <c r="R31" s="18" t="n"/>
      <c r="S31" s="18" t="n"/>
      <c r="T31" s="18" t="n"/>
      <c r="U31" s="18" t="n"/>
      <c r="V31" s="18" t="n"/>
      <c r="W31" s="18" t="n"/>
      <c r="X31" s="18" t="n"/>
      <c r="Y31" s="18" t="n"/>
    </row>
    <row r="32">
      <c r="B32" s="18" t="n"/>
      <c r="C32" s="18" t="n"/>
      <c r="D32" s="18" t="n"/>
      <c r="E32" s="18" t="n"/>
      <c r="F32" s="18" t="n"/>
      <c r="G32" s="18" t="n"/>
      <c r="H32" s="18" t="n"/>
      <c r="I32" s="18" t="n"/>
      <c r="J32" s="18" t="n"/>
      <c r="K32" s="18" t="n"/>
      <c r="L32" s="18" t="n"/>
      <c r="M32" s="18" t="n"/>
      <c r="N32" s="18" t="n"/>
      <c r="O32" s="18" t="n"/>
      <c r="P32" s="20" t="n"/>
      <c r="Q32" s="20" t="n"/>
      <c r="R32" s="18" t="n"/>
      <c r="S32" s="18" t="n"/>
      <c r="T32" s="18" t="n"/>
      <c r="U32" s="18" t="n"/>
      <c r="V32" s="18" t="n"/>
      <c r="W32" s="18" t="n"/>
      <c r="X32" s="18" t="n"/>
      <c r="Y32" s="18" t="n"/>
    </row>
    <row r="33">
      <c r="B33" s="18" t="n"/>
      <c r="C33" s="18" t="n"/>
      <c r="D33" s="18" t="n"/>
      <c r="E33" s="18" t="n"/>
      <c r="F33" s="18" t="n"/>
      <c r="G33" s="18" t="n"/>
      <c r="H33" s="18" t="n"/>
      <c r="I33" s="18" t="n"/>
      <c r="J33" s="18" t="n"/>
      <c r="K33" s="18" t="n"/>
      <c r="L33" s="18" t="n"/>
      <c r="M33" s="18" t="n"/>
      <c r="N33" s="18" t="n"/>
      <c r="O33" s="18" t="n"/>
      <c r="P33" s="20" t="n"/>
      <c r="Q33" s="20" t="n"/>
      <c r="R33" s="18" t="n"/>
      <c r="S33" s="18" t="n"/>
      <c r="T33" s="18" t="n"/>
      <c r="U33" s="18" t="n"/>
      <c r="V33" s="18" t="n"/>
      <c r="W33" s="18" t="n"/>
      <c r="X33" s="18" t="n"/>
      <c r="Y33" s="18" t="n"/>
    </row>
  </sheetData>
  <autoFilter ref="A16:X33"/>
  <mergeCells count="1">
    <mergeCell ref="B4:H5"/>
  </mergeCells>
  <dataValidations count="12">
    <dataValidation sqref="C17:C33" showDropDown="0" showInputMessage="0" showErrorMessage="0" allowBlank="1" type="list">
      <formula1>'Lists'!$A$2:$A$30</formula1>
    </dataValidation>
    <dataValidation sqref="E17:E33" showDropDown="0" showInputMessage="0" showErrorMessage="0" allowBlank="1" type="list">
      <formula1>'Lists'!$I$2:$I$30</formula1>
    </dataValidation>
    <dataValidation sqref="G17:G33" showDropDown="0" showInputMessage="0" showErrorMessage="0" allowBlank="1" type="list">
      <formula1>'Lists'!$C$2:$C$30</formula1>
    </dataValidation>
    <dataValidation sqref="H17:H33" showDropDown="0" showInputMessage="0" showErrorMessage="0" allowBlank="1" type="list">
      <formula1>'Lists'!$J$2:$J$30</formula1>
    </dataValidation>
    <dataValidation sqref="I17:I33" showDropDown="0" showInputMessage="0" showErrorMessage="0" allowBlank="1" type="list">
      <formula1>'Lists'!$D$2:$D$30</formula1>
    </dataValidation>
    <dataValidation sqref="J17:J33" showDropDown="0" showInputMessage="0" showErrorMessage="0" allowBlank="1" type="list">
      <formula1>'Lists'!$E$2:$E$30</formula1>
    </dataValidation>
    <dataValidation sqref="L17:L33" showDropDown="0" showInputMessage="0" showErrorMessage="0" allowBlank="1" type="list">
      <formula1>'Lists'!$F$2:$F$30</formula1>
    </dataValidation>
    <dataValidation sqref="M17:M33" showDropDown="0" showInputMessage="0" showErrorMessage="0" allowBlank="1" type="list">
      <formula1>'Lists'!$G$2:$G$30</formula1>
    </dataValidation>
    <dataValidation sqref="U17:U33" showDropDown="0" showInputMessage="0" showErrorMessage="0" allowBlank="1" type="list">
      <formula1>'Lists'!$K$2:$K$30</formula1>
    </dataValidation>
    <dataValidation sqref="V17:V33" showDropDown="0" showInputMessage="0" showErrorMessage="0" allowBlank="1" type="list">
      <formula1>'Lists'!$K$2:$K$30</formula1>
    </dataValidation>
    <dataValidation sqref="W17:W33" showDropDown="0" showInputMessage="0" showErrorMessage="0" allowBlank="1" type="list">
      <formula1>'Lists'!$K$2:$K$30</formula1>
    </dataValidation>
    <dataValidation sqref="X17:X33" showDropDown="0" showInputMessage="0" showErrorMessage="0" allowBlank="1" type="list">
      <formula1>'Lists'!$H$2:$H$30</formula1>
    </dataValidation>
  </dataValidations>
  <hyperlinks>
    <hyperlink xmlns:r="http://schemas.openxmlformats.org/officeDocument/2006/relationships" ref="A1" r:id="rId1"/>
  </hyperlinks>
  <pageMargins left="0.75" right="0.75" top="1" bottom="1" header="0.5" footer="0.5"/>
  <pageSetup orientation="landscape" fitToWidth="1"/>
  <headerFooter>
    <oddHeader>&amp;L&amp;"Calibri,Bold"&amp;9KAMPALA UGANDA TEMPLE&amp;C&amp;"Calibri,Bold"&amp;9&amp;A&amp;R&amp;9KUT-SMB-ZZ-ZZ-SH-Z-0001   Rev P01</oddHeader>
    <oddFooter>&amp;L&amp;9&amp;KC00000DRAFT - not issued (S0, work in progress)&amp;C&amp;8Symbion Consulting Group Studios - Information Manager&amp;R&amp;9&amp;A   Page &amp;P of &amp;N</oddFooter>
    <evenHeader/>
    <evenFooter/>
    <firstHeader/>
    <firstFooter/>
  </headerFooter>
</worksheet>
</file>

<file path=xl/worksheets/sheet14.xml><?xml version="1.0" encoding="utf-8"?>
<worksheet xmlns="http://schemas.openxmlformats.org/spreadsheetml/2006/main">
  <sheetPr>
    <tabColor rgb="00444F5C"/>
    <outlinePr summaryBelow="1" summaryRight="1"/>
    <pageSetUpPr fitToPage="1"/>
  </sheetPr>
  <dimension ref="A1:Y35"/>
  <sheetViews>
    <sheetView showGridLines="0" workbookViewId="0">
      <pane ySplit="16" topLeftCell="A17" activePane="bottomLeft" state="frozen"/>
      <selection pane="bottomLeft" activeCell="A1" sqref="A1"/>
    </sheetView>
  </sheetViews>
  <sheetFormatPr baseColWidth="8" defaultRowHeight="15"/>
  <cols>
    <col width="3" customWidth="1" min="1" max="1"/>
    <col width="10" customWidth="1" min="2" max="2"/>
    <col width="20" customWidth="1" min="3" max="3"/>
    <col width="12" customWidth="1" min="4" max="4"/>
    <col width="8" customWidth="1" min="5" max="5"/>
    <col width="44" customWidth="1" min="6" max="6"/>
    <col width="15" customWidth="1" min="7" max="7"/>
    <col width="10" customWidth="1" min="8" max="8"/>
    <col width="20" customWidth="1" min="9" max="9"/>
    <col width="7" customWidth="1" min="10" max="10"/>
    <col width="15" customWidth="1" min="11" max="11"/>
    <col width="11" customWidth="1" min="12" max="12"/>
    <col width="12" customWidth="1" min="13" max="13"/>
    <col width="11" customWidth="1" min="14" max="14"/>
    <col width="10" customWidth="1" min="15" max="15"/>
    <col width="13" customWidth="1" min="16" max="16"/>
    <col width="13" customWidth="1" min="17" max="17"/>
    <col width="14" customWidth="1" min="18" max="18"/>
    <col width="20" customWidth="1" min="19" max="19"/>
    <col width="10" customWidth="1" min="20" max="20"/>
    <col width="9" customWidth="1" min="21" max="21"/>
    <col width="9" customWidth="1" min="22" max="22"/>
    <col width="7" customWidth="1" min="23" max="23"/>
    <col width="11" customWidth="1" min="24" max="24"/>
    <col width="40" customWidth="1" min="25" max="25"/>
  </cols>
  <sheetData>
    <row r="1">
      <c r="A1" s="13" t="inlineStr">
        <is>
          <t>&lt; Cover</t>
        </is>
      </c>
    </row>
    <row r="2">
      <c r="B2" s="14" t="inlineStr">
        <is>
          <t>Task Information Delivery Plan — FF&amp;E and finishes (Interior Designer)</t>
        </is>
      </c>
    </row>
    <row r="4">
      <c r="B4" s="7" t="inlineStr">
        <is>
          <t>The deliverables below are those already assigned to you in the Master Information Delivery Plan. Confirm the planned dates, add any deliverable your scope requires that is not listed, and return this sheet to the Information Manager. Rows are merged back into the register by reference. Use the drop-down lists; if a value you need is not offered, raise it rather than typing a variant.</t>
        </is>
      </c>
    </row>
    <row r="5"/>
    <row r="7">
      <c r="B7" s="4" t="inlineStr">
        <is>
          <t>Task Information Delivery Plan</t>
        </is>
      </c>
      <c r="C7" s="5" t="inlineStr">
        <is>
          <t>TIDP-I</t>
        </is>
      </c>
    </row>
    <row r="8">
      <c r="B8" s="4" t="inlineStr">
        <is>
          <t>Scope</t>
        </is>
      </c>
      <c r="C8" s="5" t="inlineStr">
        <is>
          <t>FF&amp;E and finishes (Interior Designer)</t>
        </is>
      </c>
    </row>
    <row r="9">
      <c r="B9" s="4" t="inlineStr">
        <is>
          <t>Appointed party</t>
        </is>
      </c>
      <c r="C9" s="5" t="inlineStr">
        <is>
          <t>[FILL — interior designer]</t>
        </is>
      </c>
    </row>
    <row r="10">
      <c r="B10" s="4" t="inlineStr">
        <is>
          <t>Originator code</t>
        </is>
      </c>
      <c r="C10" s="5" t="inlineStr">
        <is>
          <t>[FILL — once the register is issued]</t>
        </is>
      </c>
    </row>
    <row r="11">
      <c r="B11" s="4" t="inlineStr">
        <is>
          <t>Task Team Manager</t>
        </is>
      </c>
      <c r="C11" s="5" t="inlineStr">
        <is>
          <t>[FILL]</t>
        </is>
      </c>
    </row>
    <row r="12">
      <c r="B12" s="4" t="inlineStr">
        <is>
          <t>Contact</t>
        </is>
      </c>
      <c r="C12" s="5" t="inlineStr">
        <is>
          <t>[FILL]</t>
        </is>
      </c>
    </row>
    <row r="13">
      <c r="B13" s="4" t="inlineStr">
        <is>
          <t>Revision</t>
        </is>
      </c>
      <c r="C13" s="5" t="inlineStr">
        <is>
          <t>P01</t>
        </is>
      </c>
    </row>
    <row r="14">
      <c r="B14" s="4" t="inlineStr">
        <is>
          <t>Date</t>
        </is>
      </c>
      <c r="C14" s="5" t="inlineStr">
        <is>
          <t>[FILL]</t>
        </is>
      </c>
    </row>
    <row r="16" ht="30" customHeight="1">
      <c r="A16" s="17" t="n"/>
      <c r="B16" s="17" t="inlineStr">
        <is>
          <t>Ref</t>
        </is>
      </c>
      <c r="C16" s="17" t="inlineStr">
        <is>
          <t>Discipline</t>
        </is>
      </c>
      <c r="D16" s="17" t="inlineStr">
        <is>
          <t>Originator</t>
        </is>
      </c>
      <c r="E16" s="17" t="inlineStr">
        <is>
          <t>Volume</t>
        </is>
      </c>
      <c r="F16" s="17" t="inlineStr">
        <is>
          <t>Deliverable</t>
        </is>
      </c>
      <c r="G16" s="17" t="inlineStr">
        <is>
          <t>Type</t>
        </is>
      </c>
      <c r="H16" s="17" t="inlineStr">
        <is>
          <t>Type code</t>
        </is>
      </c>
      <c r="I16" s="17" t="inlineStr">
        <is>
          <t>Stage</t>
        </is>
      </c>
      <c r="J16" s="17" t="inlineStr">
        <is>
          <t>LOD</t>
        </is>
      </c>
      <c r="K16" s="17" t="inlineStr">
        <is>
          <t>Format</t>
        </is>
      </c>
      <c r="L16" s="17" t="inlineStr">
        <is>
          <t>Suitability</t>
        </is>
      </c>
      <c r="M16" s="17" t="inlineStr">
        <is>
          <t>CDE State</t>
        </is>
      </c>
      <c r="N16" s="17" t="inlineStr">
        <is>
          <t>Month from</t>
        </is>
      </c>
      <c r="O16" s="17" t="inlineStr">
        <is>
          <t>Month to</t>
        </is>
      </c>
      <c r="P16" s="17" t="inlineStr">
        <is>
          <t>Planned date</t>
        </is>
      </c>
      <c r="Q16" s="17" t="inlineStr">
        <is>
          <t>Actual date</t>
        </is>
      </c>
      <c r="R16" s="17" t="inlineStr">
        <is>
          <t>Variance (days)</t>
        </is>
      </c>
      <c r="S16" s="17" t="inlineStr">
        <is>
          <t>Responsible</t>
        </is>
      </c>
      <c r="T16" s="17" t="inlineStr">
        <is>
          <t>TIDP ref</t>
        </is>
      </c>
      <c r="U16" s="17" t="inlineStr">
        <is>
          <t>Critical</t>
        </is>
      </c>
      <c r="V16" s="17" t="inlineStr">
        <is>
          <t>As-built</t>
        </is>
      </c>
      <c r="W16" s="17" t="inlineStr">
        <is>
          <t>O&amp;M</t>
        </is>
      </c>
      <c r="X16" s="17" t="inlineStr">
        <is>
          <t>RAG</t>
        </is>
      </c>
      <c r="Y16" s="17" t="inlineStr">
        <is>
          <t>Notes</t>
        </is>
      </c>
    </row>
    <row r="17">
      <c r="B17" s="24" t="inlineStr">
        <is>
          <t>FF-200</t>
        </is>
      </c>
      <c r="C17" s="24" t="inlineStr">
        <is>
          <t>FF&amp;E</t>
        </is>
      </c>
      <c r="D17" s="24" t="inlineStr"/>
      <c r="E17" s="25" t="inlineStr">
        <is>
          <t>ZZ</t>
        </is>
      </c>
      <c r="F17" s="26" t="inlineStr">
        <is>
          <t>FF&amp;E and finishes register (first Fohlio exchange)</t>
        </is>
      </c>
      <c r="G17" s="24" t="inlineStr">
        <is>
          <t>Schedule</t>
        </is>
      </c>
      <c r="H17" s="25" t="inlineStr">
        <is>
          <t>SH</t>
        </is>
      </c>
      <c r="I17" s="24" t="inlineStr">
        <is>
          <t>2.2 Deliverable B</t>
        </is>
      </c>
      <c r="J17" s="25" t="inlineStr">
        <is>
          <t>300</t>
        </is>
      </c>
      <c r="K17" s="24" t="inlineStr">
        <is>
          <t>CSV/XLSX</t>
        </is>
      </c>
      <c r="L17" s="25" t="inlineStr">
        <is>
          <t>S2</t>
        </is>
      </c>
      <c r="M17" s="25" t="inlineStr">
        <is>
          <t>Shared</t>
        </is>
      </c>
      <c r="N17" s="25" t="n">
        <v>4</v>
      </c>
      <c r="O17" s="25" t="n">
        <v>4</v>
      </c>
      <c r="P17" s="27" t="n"/>
      <c r="Q17" s="27" t="n"/>
      <c r="R17" s="24" t="n"/>
      <c r="S17" s="24" t="inlineStr">
        <is>
          <t>Interior Designer</t>
        </is>
      </c>
      <c r="T17" s="24" t="inlineStr">
        <is>
          <t>TIDP-I</t>
        </is>
      </c>
      <c r="U17" s="25" t="inlineStr">
        <is>
          <t>N</t>
        </is>
      </c>
      <c r="V17" s="25" t="inlineStr">
        <is>
          <t>N</t>
        </is>
      </c>
      <c r="W17" s="25" t="inlineStr">
        <is>
          <t>Y</t>
        </is>
      </c>
      <c r="X17" s="25" t="inlineStr"/>
      <c r="Y17" s="26" t="inlineStr">
        <is>
          <t>Matched on room number</t>
        </is>
      </c>
    </row>
    <row r="18">
      <c r="B18" s="24" t="inlineStr">
        <is>
          <t>FF-300</t>
        </is>
      </c>
      <c r="C18" s="24" t="inlineStr">
        <is>
          <t>FF&amp;E</t>
        </is>
      </c>
      <c r="D18" s="24" t="inlineStr"/>
      <c r="E18" s="25" t="inlineStr">
        <is>
          <t>ZZ</t>
        </is>
      </c>
      <c r="F18" s="26" t="inlineStr">
        <is>
          <t>FF&amp;E specifications and schedule</t>
        </is>
      </c>
      <c r="G18" s="24" t="inlineStr">
        <is>
          <t>Schedule</t>
        </is>
      </c>
      <c r="H18" s="25" t="inlineStr">
        <is>
          <t>SH</t>
        </is>
      </c>
      <c r="I18" s="24" t="inlineStr">
        <is>
          <t>2.3 Deliverable C</t>
        </is>
      </c>
      <c r="J18" s="25" t="inlineStr">
        <is>
          <t>350</t>
        </is>
      </c>
      <c r="K18" s="24" t="inlineStr">
        <is>
          <t>XLSX/PDF</t>
        </is>
      </c>
      <c r="L18" s="25" t="inlineStr">
        <is>
          <t>S4</t>
        </is>
      </c>
      <c r="M18" s="25" t="inlineStr">
        <is>
          <t>Shared</t>
        </is>
      </c>
      <c r="N18" s="25" t="n">
        <v>8</v>
      </c>
      <c r="O18" s="25" t="n">
        <v>8</v>
      </c>
      <c r="P18" s="27" t="n"/>
      <c r="Q18" s="27" t="n"/>
      <c r="R18" s="24" t="n"/>
      <c r="S18" s="24" t="inlineStr">
        <is>
          <t>Interior Designer</t>
        </is>
      </c>
      <c r="T18" s="24" t="inlineStr">
        <is>
          <t>TIDP-I</t>
        </is>
      </c>
      <c r="U18" s="25" t="inlineStr">
        <is>
          <t>Y</t>
        </is>
      </c>
      <c r="V18" s="25" t="inlineStr">
        <is>
          <t>N</t>
        </is>
      </c>
      <c r="W18" s="25" t="inlineStr">
        <is>
          <t>Y</t>
        </is>
      </c>
      <c r="X18" s="25" t="inlineStr"/>
      <c r="Y18" s="26" t="inlineStr">
        <is>
          <t>Reconciled to Fohlio</t>
        </is>
      </c>
    </row>
    <row r="19">
      <c r="B19" s="24" t="inlineStr">
        <is>
          <t>FF-600</t>
        </is>
      </c>
      <c r="C19" s="24" t="inlineStr">
        <is>
          <t>FF&amp;E</t>
        </is>
      </c>
      <c r="D19" s="24" t="inlineStr"/>
      <c r="E19" s="25" t="inlineStr">
        <is>
          <t>ZZ</t>
        </is>
      </c>
      <c r="F19" s="26" t="inlineStr">
        <is>
          <t>FF&amp;E final schedule and procurement record</t>
        </is>
      </c>
      <c r="G19" s="24" t="inlineStr">
        <is>
          <t>Schedule</t>
        </is>
      </c>
      <c r="H19" s="25" t="inlineStr">
        <is>
          <t>SH</t>
        </is>
      </c>
      <c r="I19" s="24" t="inlineStr">
        <is>
          <t>3.2 FF&amp;E</t>
        </is>
      </c>
      <c r="J19" s="25" t="inlineStr">
        <is>
          <t>400</t>
        </is>
      </c>
      <c r="K19" s="24" t="inlineStr">
        <is>
          <t>XLSX</t>
        </is>
      </c>
      <c r="L19" s="25" t="inlineStr">
        <is>
          <t>A1</t>
        </is>
      </c>
      <c r="M19" s="25" t="inlineStr">
        <is>
          <t>Published</t>
        </is>
      </c>
      <c r="N19" s="25" t="n">
        <v>44</v>
      </c>
      <c r="O19" s="25" t="n">
        <v>47</v>
      </c>
      <c r="P19" s="27" t="n"/>
      <c r="Q19" s="27" t="n"/>
      <c r="R19" s="24" t="n"/>
      <c r="S19" s="24" t="inlineStr">
        <is>
          <t>Interior Designer</t>
        </is>
      </c>
      <c r="T19" s="24" t="inlineStr">
        <is>
          <t>TIDP-I</t>
        </is>
      </c>
      <c r="U19" s="25" t="inlineStr">
        <is>
          <t>Y</t>
        </is>
      </c>
      <c r="V19" s="25" t="inlineStr">
        <is>
          <t>N</t>
        </is>
      </c>
      <c r="W19" s="25" t="inlineStr">
        <is>
          <t>Y</t>
        </is>
      </c>
      <c r="X19" s="25" t="inlineStr"/>
      <c r="Y19" s="26" t="inlineStr">
        <is>
          <t>Reconciled item by item</t>
        </is>
      </c>
    </row>
    <row r="20">
      <c r="B20" s="24" t="inlineStr">
        <is>
          <t>FF-601</t>
        </is>
      </c>
      <c r="C20" s="24" t="inlineStr">
        <is>
          <t>FF&amp;E</t>
        </is>
      </c>
      <c r="D20" s="24" t="inlineStr"/>
      <c r="E20" s="25" t="inlineStr">
        <is>
          <t>ZZ</t>
        </is>
      </c>
      <c r="F20" s="26" t="inlineStr">
        <is>
          <t>Installed FF&amp;E and finishes reconciliation report (model vs Fohlio)</t>
        </is>
      </c>
      <c r="G20" s="24" t="inlineStr">
        <is>
          <t>Report</t>
        </is>
      </c>
      <c r="H20" s="25" t="inlineStr">
        <is>
          <t>RP</t>
        </is>
      </c>
      <c r="I20" s="24" t="inlineStr">
        <is>
          <t>3.2 FF&amp;E</t>
        </is>
      </c>
      <c r="J20" s="25" t="inlineStr">
        <is>
          <t>400</t>
        </is>
      </c>
      <c r="K20" s="24" t="inlineStr">
        <is>
          <t>XLSX/PDF</t>
        </is>
      </c>
      <c r="L20" s="25" t="inlineStr">
        <is>
          <t>S2</t>
        </is>
      </c>
      <c r="M20" s="25" t="inlineStr">
        <is>
          <t>Shared</t>
        </is>
      </c>
      <c r="N20" s="25" t="n">
        <v>47</v>
      </c>
      <c r="O20" s="25" t="n">
        <v>47</v>
      </c>
      <c r="P20" s="27" t="n"/>
      <c r="Q20" s="27" t="n"/>
      <c r="R20" s="24" t="n"/>
      <c r="S20" s="24" t="inlineStr">
        <is>
          <t>Information Manager</t>
        </is>
      </c>
      <c r="T20" s="24" t="inlineStr">
        <is>
          <t>TIDP-I</t>
        </is>
      </c>
      <c r="U20" s="25" t="inlineStr">
        <is>
          <t>Y</t>
        </is>
      </c>
      <c r="V20" s="25" t="inlineStr">
        <is>
          <t>N</t>
        </is>
      </c>
      <c r="W20" s="25" t="inlineStr">
        <is>
          <t>Y</t>
        </is>
      </c>
      <c r="X20" s="25" t="inlineStr"/>
      <c r="Y20" s="26" t="inlineStr">
        <is>
          <t>No unlinked items; O&amp;M data collected in Fohlio</t>
        </is>
      </c>
    </row>
    <row r="21">
      <c r="B21" s="18" t="n"/>
      <c r="C21" s="18" t="n"/>
      <c r="D21" s="18" t="n"/>
      <c r="E21" s="18" t="n"/>
      <c r="F21" s="18" t="n"/>
      <c r="G21" s="18" t="n"/>
      <c r="H21" s="18" t="n"/>
      <c r="I21" s="18" t="n"/>
      <c r="J21" s="18" t="n"/>
      <c r="K21" s="18" t="n"/>
      <c r="L21" s="18" t="n"/>
      <c r="M21" s="18" t="n"/>
      <c r="N21" s="18" t="n"/>
      <c r="O21" s="18" t="n"/>
      <c r="P21" s="20" t="n"/>
      <c r="Q21" s="20" t="n"/>
      <c r="R21" s="18" t="n"/>
      <c r="S21" s="18" t="n"/>
      <c r="T21" s="18" t="n"/>
      <c r="U21" s="18" t="n"/>
      <c r="V21" s="18" t="n"/>
      <c r="W21" s="18" t="n"/>
      <c r="X21" s="18" t="n"/>
      <c r="Y21" s="18" t="n"/>
    </row>
    <row r="22">
      <c r="B22" s="18" t="n"/>
      <c r="C22" s="18" t="n"/>
      <c r="D22" s="18" t="n"/>
      <c r="E22" s="18" t="n"/>
      <c r="F22" s="18" t="n"/>
      <c r="G22" s="18" t="n"/>
      <c r="H22" s="18" t="n"/>
      <c r="I22" s="18" t="n"/>
      <c r="J22" s="18" t="n"/>
      <c r="K22" s="18" t="n"/>
      <c r="L22" s="18" t="n"/>
      <c r="M22" s="18" t="n"/>
      <c r="N22" s="18" t="n"/>
      <c r="O22" s="18" t="n"/>
      <c r="P22" s="20" t="n"/>
      <c r="Q22" s="20" t="n"/>
      <c r="R22" s="18" t="n"/>
      <c r="S22" s="18" t="n"/>
      <c r="T22" s="18" t="n"/>
      <c r="U22" s="18" t="n"/>
      <c r="V22" s="18" t="n"/>
      <c r="W22" s="18" t="n"/>
      <c r="X22" s="18" t="n"/>
      <c r="Y22" s="18" t="n"/>
    </row>
    <row r="23">
      <c r="B23" s="18" t="n"/>
      <c r="C23" s="18" t="n"/>
      <c r="D23" s="18" t="n"/>
      <c r="E23" s="18" t="n"/>
      <c r="F23" s="18" t="n"/>
      <c r="G23" s="18" t="n"/>
      <c r="H23" s="18" t="n"/>
      <c r="I23" s="18" t="n"/>
      <c r="J23" s="18" t="n"/>
      <c r="K23" s="18" t="n"/>
      <c r="L23" s="18" t="n"/>
      <c r="M23" s="18" t="n"/>
      <c r="N23" s="18" t="n"/>
      <c r="O23" s="18" t="n"/>
      <c r="P23" s="20" t="n"/>
      <c r="Q23" s="20" t="n"/>
      <c r="R23" s="18" t="n"/>
      <c r="S23" s="18" t="n"/>
      <c r="T23" s="18" t="n"/>
      <c r="U23" s="18" t="n"/>
      <c r="V23" s="18" t="n"/>
      <c r="W23" s="18" t="n"/>
      <c r="X23" s="18" t="n"/>
      <c r="Y23" s="18" t="n"/>
    </row>
    <row r="24">
      <c r="B24" s="18" t="n"/>
      <c r="C24" s="18" t="n"/>
      <c r="D24" s="18" t="n"/>
      <c r="E24" s="18" t="n"/>
      <c r="F24" s="18" t="n"/>
      <c r="G24" s="18" t="n"/>
      <c r="H24" s="18" t="n"/>
      <c r="I24" s="18" t="n"/>
      <c r="J24" s="18" t="n"/>
      <c r="K24" s="18" t="n"/>
      <c r="L24" s="18" t="n"/>
      <c r="M24" s="18" t="n"/>
      <c r="N24" s="18" t="n"/>
      <c r="O24" s="18" t="n"/>
      <c r="P24" s="20" t="n"/>
      <c r="Q24" s="20" t="n"/>
      <c r="R24" s="18" t="n"/>
      <c r="S24" s="18" t="n"/>
      <c r="T24" s="18" t="n"/>
      <c r="U24" s="18" t="n"/>
      <c r="V24" s="18" t="n"/>
      <c r="W24" s="18" t="n"/>
      <c r="X24" s="18" t="n"/>
      <c r="Y24" s="18" t="n"/>
    </row>
    <row r="25">
      <c r="B25" s="18" t="n"/>
      <c r="C25" s="18" t="n"/>
      <c r="D25" s="18" t="n"/>
      <c r="E25" s="18" t="n"/>
      <c r="F25" s="18" t="n"/>
      <c r="G25" s="18" t="n"/>
      <c r="H25" s="18" t="n"/>
      <c r="I25" s="18" t="n"/>
      <c r="J25" s="18" t="n"/>
      <c r="K25" s="18" t="n"/>
      <c r="L25" s="18" t="n"/>
      <c r="M25" s="18" t="n"/>
      <c r="N25" s="18" t="n"/>
      <c r="O25" s="18" t="n"/>
      <c r="P25" s="20" t="n"/>
      <c r="Q25" s="20" t="n"/>
      <c r="R25" s="18" t="n"/>
      <c r="S25" s="18" t="n"/>
      <c r="T25" s="18" t="n"/>
      <c r="U25" s="18" t="n"/>
      <c r="V25" s="18" t="n"/>
      <c r="W25" s="18" t="n"/>
      <c r="X25" s="18" t="n"/>
      <c r="Y25" s="18" t="n"/>
    </row>
    <row r="26">
      <c r="B26" s="18" t="n"/>
      <c r="C26" s="18" t="n"/>
      <c r="D26" s="18" t="n"/>
      <c r="E26" s="18" t="n"/>
      <c r="F26" s="18" t="n"/>
      <c r="G26" s="18" t="n"/>
      <c r="H26" s="18" t="n"/>
      <c r="I26" s="18" t="n"/>
      <c r="J26" s="18" t="n"/>
      <c r="K26" s="18" t="n"/>
      <c r="L26" s="18" t="n"/>
      <c r="M26" s="18" t="n"/>
      <c r="N26" s="18" t="n"/>
      <c r="O26" s="18" t="n"/>
      <c r="P26" s="20" t="n"/>
      <c r="Q26" s="20" t="n"/>
      <c r="R26" s="18" t="n"/>
      <c r="S26" s="18" t="n"/>
      <c r="T26" s="18" t="n"/>
      <c r="U26" s="18" t="n"/>
      <c r="V26" s="18" t="n"/>
      <c r="W26" s="18" t="n"/>
      <c r="X26" s="18" t="n"/>
      <c r="Y26" s="18" t="n"/>
    </row>
    <row r="27">
      <c r="B27" s="18" t="n"/>
      <c r="C27" s="18" t="n"/>
      <c r="D27" s="18" t="n"/>
      <c r="E27" s="18" t="n"/>
      <c r="F27" s="18" t="n"/>
      <c r="G27" s="18" t="n"/>
      <c r="H27" s="18" t="n"/>
      <c r="I27" s="18" t="n"/>
      <c r="J27" s="18" t="n"/>
      <c r="K27" s="18" t="n"/>
      <c r="L27" s="18" t="n"/>
      <c r="M27" s="18" t="n"/>
      <c r="N27" s="18" t="n"/>
      <c r="O27" s="18" t="n"/>
      <c r="P27" s="20" t="n"/>
      <c r="Q27" s="20" t="n"/>
      <c r="R27" s="18" t="n"/>
      <c r="S27" s="18" t="n"/>
      <c r="T27" s="18" t="n"/>
      <c r="U27" s="18" t="n"/>
      <c r="V27" s="18" t="n"/>
      <c r="W27" s="18" t="n"/>
      <c r="X27" s="18" t="n"/>
      <c r="Y27" s="18" t="n"/>
    </row>
    <row r="28">
      <c r="B28" s="18" t="n"/>
      <c r="C28" s="18" t="n"/>
      <c r="D28" s="18" t="n"/>
      <c r="E28" s="18" t="n"/>
      <c r="F28" s="18" t="n"/>
      <c r="G28" s="18" t="n"/>
      <c r="H28" s="18" t="n"/>
      <c r="I28" s="18" t="n"/>
      <c r="J28" s="18" t="n"/>
      <c r="K28" s="18" t="n"/>
      <c r="L28" s="18" t="n"/>
      <c r="M28" s="18" t="n"/>
      <c r="N28" s="18" t="n"/>
      <c r="O28" s="18" t="n"/>
      <c r="P28" s="20" t="n"/>
      <c r="Q28" s="20" t="n"/>
      <c r="R28" s="18" t="n"/>
      <c r="S28" s="18" t="n"/>
      <c r="T28" s="18" t="n"/>
      <c r="U28" s="18" t="n"/>
      <c r="V28" s="18" t="n"/>
      <c r="W28" s="18" t="n"/>
      <c r="X28" s="18" t="n"/>
      <c r="Y28" s="18" t="n"/>
    </row>
    <row r="29">
      <c r="B29" s="18" t="n"/>
      <c r="C29" s="18" t="n"/>
      <c r="D29" s="18" t="n"/>
      <c r="E29" s="18" t="n"/>
      <c r="F29" s="18" t="n"/>
      <c r="G29" s="18" t="n"/>
      <c r="H29" s="18" t="n"/>
      <c r="I29" s="18" t="n"/>
      <c r="J29" s="18" t="n"/>
      <c r="K29" s="18" t="n"/>
      <c r="L29" s="18" t="n"/>
      <c r="M29" s="18" t="n"/>
      <c r="N29" s="18" t="n"/>
      <c r="O29" s="18" t="n"/>
      <c r="P29" s="20" t="n"/>
      <c r="Q29" s="20" t="n"/>
      <c r="R29" s="18" t="n"/>
      <c r="S29" s="18" t="n"/>
      <c r="T29" s="18" t="n"/>
      <c r="U29" s="18" t="n"/>
      <c r="V29" s="18" t="n"/>
      <c r="W29" s="18" t="n"/>
      <c r="X29" s="18" t="n"/>
      <c r="Y29" s="18" t="n"/>
    </row>
    <row r="30">
      <c r="B30" s="18" t="n"/>
      <c r="C30" s="18" t="n"/>
      <c r="D30" s="18" t="n"/>
      <c r="E30" s="18" t="n"/>
      <c r="F30" s="18" t="n"/>
      <c r="G30" s="18" t="n"/>
      <c r="H30" s="18" t="n"/>
      <c r="I30" s="18" t="n"/>
      <c r="J30" s="18" t="n"/>
      <c r="K30" s="18" t="n"/>
      <c r="L30" s="18" t="n"/>
      <c r="M30" s="18" t="n"/>
      <c r="N30" s="18" t="n"/>
      <c r="O30" s="18" t="n"/>
      <c r="P30" s="20" t="n"/>
      <c r="Q30" s="20" t="n"/>
      <c r="R30" s="18" t="n"/>
      <c r="S30" s="18" t="n"/>
      <c r="T30" s="18" t="n"/>
      <c r="U30" s="18" t="n"/>
      <c r="V30" s="18" t="n"/>
      <c r="W30" s="18" t="n"/>
      <c r="X30" s="18" t="n"/>
      <c r="Y30" s="18" t="n"/>
    </row>
    <row r="31">
      <c r="B31" s="18" t="n"/>
      <c r="C31" s="18" t="n"/>
      <c r="D31" s="18" t="n"/>
      <c r="E31" s="18" t="n"/>
      <c r="F31" s="18" t="n"/>
      <c r="G31" s="18" t="n"/>
      <c r="H31" s="18" t="n"/>
      <c r="I31" s="18" t="n"/>
      <c r="J31" s="18" t="n"/>
      <c r="K31" s="18" t="n"/>
      <c r="L31" s="18" t="n"/>
      <c r="M31" s="18" t="n"/>
      <c r="N31" s="18" t="n"/>
      <c r="O31" s="18" t="n"/>
      <c r="P31" s="20" t="n"/>
      <c r="Q31" s="20" t="n"/>
      <c r="R31" s="18" t="n"/>
      <c r="S31" s="18" t="n"/>
      <c r="T31" s="18" t="n"/>
      <c r="U31" s="18" t="n"/>
      <c r="V31" s="18" t="n"/>
      <c r="W31" s="18" t="n"/>
      <c r="X31" s="18" t="n"/>
      <c r="Y31" s="18" t="n"/>
    </row>
    <row r="32">
      <c r="B32" s="18" t="n"/>
      <c r="C32" s="18" t="n"/>
      <c r="D32" s="18" t="n"/>
      <c r="E32" s="18" t="n"/>
      <c r="F32" s="18" t="n"/>
      <c r="G32" s="18" t="n"/>
      <c r="H32" s="18" t="n"/>
      <c r="I32" s="18" t="n"/>
      <c r="J32" s="18" t="n"/>
      <c r="K32" s="18" t="n"/>
      <c r="L32" s="18" t="n"/>
      <c r="M32" s="18" t="n"/>
      <c r="N32" s="18" t="n"/>
      <c r="O32" s="18" t="n"/>
      <c r="P32" s="20" t="n"/>
      <c r="Q32" s="20" t="n"/>
      <c r="R32" s="18" t="n"/>
      <c r="S32" s="18" t="n"/>
      <c r="T32" s="18" t="n"/>
      <c r="U32" s="18" t="n"/>
      <c r="V32" s="18" t="n"/>
      <c r="W32" s="18" t="n"/>
      <c r="X32" s="18" t="n"/>
      <c r="Y32" s="18" t="n"/>
    </row>
    <row r="33">
      <c r="B33" s="18" t="n"/>
      <c r="C33" s="18" t="n"/>
      <c r="D33" s="18" t="n"/>
      <c r="E33" s="18" t="n"/>
      <c r="F33" s="18" t="n"/>
      <c r="G33" s="18" t="n"/>
      <c r="H33" s="18" t="n"/>
      <c r="I33" s="18" t="n"/>
      <c r="J33" s="18" t="n"/>
      <c r="K33" s="18" t="n"/>
      <c r="L33" s="18" t="n"/>
      <c r="M33" s="18" t="n"/>
      <c r="N33" s="18" t="n"/>
      <c r="O33" s="18" t="n"/>
      <c r="P33" s="20" t="n"/>
      <c r="Q33" s="20" t="n"/>
      <c r="R33" s="18" t="n"/>
      <c r="S33" s="18" t="n"/>
      <c r="T33" s="18" t="n"/>
      <c r="U33" s="18" t="n"/>
      <c r="V33" s="18" t="n"/>
      <c r="W33" s="18" t="n"/>
      <c r="X33" s="18" t="n"/>
      <c r="Y33" s="18" t="n"/>
    </row>
    <row r="34">
      <c r="B34" s="18" t="n"/>
      <c r="C34" s="18" t="n"/>
      <c r="D34" s="18" t="n"/>
      <c r="E34" s="18" t="n"/>
      <c r="F34" s="18" t="n"/>
      <c r="G34" s="18" t="n"/>
      <c r="H34" s="18" t="n"/>
      <c r="I34" s="18" t="n"/>
      <c r="J34" s="18" t="n"/>
      <c r="K34" s="18" t="n"/>
      <c r="L34" s="18" t="n"/>
      <c r="M34" s="18" t="n"/>
      <c r="N34" s="18" t="n"/>
      <c r="O34" s="18" t="n"/>
      <c r="P34" s="20" t="n"/>
      <c r="Q34" s="20" t="n"/>
      <c r="R34" s="18" t="n"/>
      <c r="S34" s="18" t="n"/>
      <c r="T34" s="18" t="n"/>
      <c r="U34" s="18" t="n"/>
      <c r="V34" s="18" t="n"/>
      <c r="W34" s="18" t="n"/>
      <c r="X34" s="18" t="n"/>
      <c r="Y34" s="18" t="n"/>
    </row>
    <row r="35">
      <c r="B35" s="18" t="n"/>
      <c r="C35" s="18" t="n"/>
      <c r="D35" s="18" t="n"/>
      <c r="E35" s="18" t="n"/>
      <c r="F35" s="18" t="n"/>
      <c r="G35" s="18" t="n"/>
      <c r="H35" s="18" t="n"/>
      <c r="I35" s="18" t="n"/>
      <c r="J35" s="18" t="n"/>
      <c r="K35" s="18" t="n"/>
      <c r="L35" s="18" t="n"/>
      <c r="M35" s="18" t="n"/>
      <c r="N35" s="18" t="n"/>
      <c r="O35" s="18" t="n"/>
      <c r="P35" s="20" t="n"/>
      <c r="Q35" s="20" t="n"/>
      <c r="R35" s="18" t="n"/>
      <c r="S35" s="18" t="n"/>
      <c r="T35" s="18" t="n"/>
      <c r="U35" s="18" t="n"/>
      <c r="V35" s="18" t="n"/>
      <c r="W35" s="18" t="n"/>
      <c r="X35" s="18" t="n"/>
      <c r="Y35" s="18" t="n"/>
    </row>
  </sheetData>
  <autoFilter ref="A16:X35"/>
  <mergeCells count="1">
    <mergeCell ref="B4:H5"/>
  </mergeCells>
  <dataValidations count="12">
    <dataValidation sqref="C17:C35" showDropDown="0" showInputMessage="0" showErrorMessage="0" allowBlank="1" type="list">
      <formula1>'Lists'!$A$2:$A$30</formula1>
    </dataValidation>
    <dataValidation sqref="E17:E35" showDropDown="0" showInputMessage="0" showErrorMessage="0" allowBlank="1" type="list">
      <formula1>'Lists'!$I$2:$I$30</formula1>
    </dataValidation>
    <dataValidation sqref="G17:G35" showDropDown="0" showInputMessage="0" showErrorMessage="0" allowBlank="1" type="list">
      <formula1>'Lists'!$C$2:$C$30</formula1>
    </dataValidation>
    <dataValidation sqref="H17:H35" showDropDown="0" showInputMessage="0" showErrorMessage="0" allowBlank="1" type="list">
      <formula1>'Lists'!$J$2:$J$30</formula1>
    </dataValidation>
    <dataValidation sqref="I17:I35" showDropDown="0" showInputMessage="0" showErrorMessage="0" allowBlank="1" type="list">
      <formula1>'Lists'!$D$2:$D$30</formula1>
    </dataValidation>
    <dataValidation sqref="J17:J35" showDropDown="0" showInputMessage="0" showErrorMessage="0" allowBlank="1" type="list">
      <formula1>'Lists'!$E$2:$E$30</formula1>
    </dataValidation>
    <dataValidation sqref="L17:L35" showDropDown="0" showInputMessage="0" showErrorMessage="0" allowBlank="1" type="list">
      <formula1>'Lists'!$F$2:$F$30</formula1>
    </dataValidation>
    <dataValidation sqref="M17:M35" showDropDown="0" showInputMessage="0" showErrorMessage="0" allowBlank="1" type="list">
      <formula1>'Lists'!$G$2:$G$30</formula1>
    </dataValidation>
    <dataValidation sqref="U17:U35" showDropDown="0" showInputMessage="0" showErrorMessage="0" allowBlank="1" type="list">
      <formula1>'Lists'!$K$2:$K$30</formula1>
    </dataValidation>
    <dataValidation sqref="V17:V35" showDropDown="0" showInputMessage="0" showErrorMessage="0" allowBlank="1" type="list">
      <formula1>'Lists'!$K$2:$K$30</formula1>
    </dataValidation>
    <dataValidation sqref="W17:W35" showDropDown="0" showInputMessage="0" showErrorMessage="0" allowBlank="1" type="list">
      <formula1>'Lists'!$K$2:$K$30</formula1>
    </dataValidation>
    <dataValidation sqref="X17:X35" showDropDown="0" showInputMessage="0" showErrorMessage="0" allowBlank="1" type="list">
      <formula1>'Lists'!$H$2:$H$30</formula1>
    </dataValidation>
  </dataValidations>
  <hyperlinks>
    <hyperlink xmlns:r="http://schemas.openxmlformats.org/officeDocument/2006/relationships" ref="A1" r:id="rId1"/>
  </hyperlinks>
  <pageMargins left="0.75" right="0.75" top="1" bottom="1" header="0.5" footer="0.5"/>
  <pageSetup orientation="landscape" fitToWidth="1"/>
  <headerFooter>
    <oddHeader>&amp;L&amp;"Calibri,Bold"&amp;9KAMPALA UGANDA TEMPLE&amp;C&amp;"Calibri,Bold"&amp;9&amp;A&amp;R&amp;9KUT-SMB-ZZ-ZZ-SH-Z-0001   Rev P01</oddHeader>
    <oddFooter>&amp;L&amp;9&amp;KC00000DRAFT - not issued (S0, work in progress)&amp;C&amp;8Symbion Consulting Group Studios - Information Manager&amp;R&amp;9&amp;A   Page &amp;P of &amp;N</oddFooter>
    <evenHeader/>
    <evenFooter/>
    <firstHeader/>
    <firstFooter/>
  </headerFooter>
</worksheet>
</file>

<file path=xl/worksheets/sheet15.xml><?xml version="1.0" encoding="utf-8"?>
<worksheet xmlns="http://schemas.openxmlformats.org/spreadsheetml/2006/main">
  <sheetPr>
    <tabColor rgb="00444F5C"/>
    <outlinePr summaryBelow="1" summaryRight="1"/>
    <pageSetUpPr fitToPage="1"/>
  </sheetPr>
  <dimension ref="A1:Y35"/>
  <sheetViews>
    <sheetView showGridLines="0" workbookViewId="0">
      <pane ySplit="16" topLeftCell="A17" activePane="bottomLeft" state="frozen"/>
      <selection pane="bottomLeft" activeCell="A1" sqref="A1"/>
    </sheetView>
  </sheetViews>
  <sheetFormatPr baseColWidth="8" defaultRowHeight="15"/>
  <cols>
    <col width="3" customWidth="1" min="1" max="1"/>
    <col width="10" customWidth="1" min="2" max="2"/>
    <col width="20" customWidth="1" min="3" max="3"/>
    <col width="12" customWidth="1" min="4" max="4"/>
    <col width="8" customWidth="1" min="5" max="5"/>
    <col width="44" customWidth="1" min="6" max="6"/>
    <col width="15" customWidth="1" min="7" max="7"/>
    <col width="10" customWidth="1" min="8" max="8"/>
    <col width="20" customWidth="1" min="9" max="9"/>
    <col width="7" customWidth="1" min="10" max="10"/>
    <col width="15" customWidth="1" min="11" max="11"/>
    <col width="11" customWidth="1" min="12" max="12"/>
    <col width="12" customWidth="1" min="13" max="13"/>
    <col width="11" customWidth="1" min="14" max="14"/>
    <col width="10" customWidth="1" min="15" max="15"/>
    <col width="13" customWidth="1" min="16" max="16"/>
    <col width="13" customWidth="1" min="17" max="17"/>
    <col width="14" customWidth="1" min="18" max="18"/>
    <col width="20" customWidth="1" min="19" max="19"/>
    <col width="10" customWidth="1" min="20" max="20"/>
    <col width="9" customWidth="1" min="21" max="21"/>
    <col width="9" customWidth="1" min="22" max="22"/>
    <col width="7" customWidth="1" min="23" max="23"/>
    <col width="11" customWidth="1" min="24" max="24"/>
    <col width="40" customWidth="1" min="25" max="25"/>
  </cols>
  <sheetData>
    <row r="1">
      <c r="A1" s="13" t="inlineStr">
        <is>
          <t>&lt; Cover</t>
        </is>
      </c>
    </row>
    <row r="2">
      <c r="B2" s="14" t="inlineStr">
        <is>
          <t>Task Information Delivery Plan — Contractor and specialists</t>
        </is>
      </c>
    </row>
    <row r="4">
      <c r="B4" s="7" t="inlineStr">
        <is>
          <t>The deliverables below are those already assigned to you in the Master Information Delivery Plan. Confirm the planned dates, add any deliverable your scope requires that is not listed, and return this sheet to the Information Manager. Rows are merged back into the register by reference. Use the drop-down lists; if a value you need is not offered, raise it rather than typing a variant.</t>
        </is>
      </c>
    </row>
    <row r="5"/>
    <row r="7">
      <c r="B7" s="4" t="inlineStr">
        <is>
          <t>Task Information Delivery Plan</t>
        </is>
      </c>
      <c r="C7" s="5" t="inlineStr">
        <is>
          <t>TIDP-W</t>
        </is>
      </c>
    </row>
    <row r="8">
      <c r="B8" s="4" t="inlineStr">
        <is>
          <t>Scope</t>
        </is>
      </c>
      <c r="C8" s="5" t="inlineStr">
        <is>
          <t>Contractor and specialists</t>
        </is>
      </c>
    </row>
    <row r="9">
      <c r="B9" s="4" t="inlineStr">
        <is>
          <t>Appointed party</t>
        </is>
      </c>
      <c r="C9" s="5" t="inlineStr">
        <is>
          <t>[FILL — main contractor]</t>
        </is>
      </c>
    </row>
    <row r="10">
      <c r="B10" s="4" t="inlineStr">
        <is>
          <t>Originator code</t>
        </is>
      </c>
      <c r="C10" s="5" t="inlineStr">
        <is>
          <t>[FILL — once the register is issued]</t>
        </is>
      </c>
    </row>
    <row r="11">
      <c r="B11" s="4" t="inlineStr">
        <is>
          <t>Task Team Manager</t>
        </is>
      </c>
      <c r="C11" s="5" t="inlineStr">
        <is>
          <t>[FILL]</t>
        </is>
      </c>
    </row>
    <row r="12">
      <c r="B12" s="4" t="inlineStr">
        <is>
          <t>Contact</t>
        </is>
      </c>
      <c r="C12" s="5" t="inlineStr">
        <is>
          <t>[FILL]</t>
        </is>
      </c>
    </row>
    <row r="13">
      <c r="B13" s="4" t="inlineStr">
        <is>
          <t>Revision</t>
        </is>
      </c>
      <c r="C13" s="5" t="inlineStr">
        <is>
          <t>P01</t>
        </is>
      </c>
    </row>
    <row r="14">
      <c r="B14" s="4" t="inlineStr">
        <is>
          <t>Date</t>
        </is>
      </c>
      <c r="C14" s="5" t="inlineStr">
        <is>
          <t>[FILL]</t>
        </is>
      </c>
    </row>
    <row r="16" ht="30" customHeight="1">
      <c r="A16" s="17" t="n"/>
      <c r="B16" s="17" t="inlineStr">
        <is>
          <t>Ref</t>
        </is>
      </c>
      <c r="C16" s="17" t="inlineStr">
        <is>
          <t>Discipline</t>
        </is>
      </c>
      <c r="D16" s="17" t="inlineStr">
        <is>
          <t>Originator</t>
        </is>
      </c>
      <c r="E16" s="17" t="inlineStr">
        <is>
          <t>Volume</t>
        </is>
      </c>
      <c r="F16" s="17" t="inlineStr">
        <is>
          <t>Deliverable</t>
        </is>
      </c>
      <c r="G16" s="17" t="inlineStr">
        <is>
          <t>Type</t>
        </is>
      </c>
      <c r="H16" s="17" t="inlineStr">
        <is>
          <t>Type code</t>
        </is>
      </c>
      <c r="I16" s="17" t="inlineStr">
        <is>
          <t>Stage</t>
        </is>
      </c>
      <c r="J16" s="17" t="inlineStr">
        <is>
          <t>LOD</t>
        </is>
      </c>
      <c r="K16" s="17" t="inlineStr">
        <is>
          <t>Format</t>
        </is>
      </c>
      <c r="L16" s="17" t="inlineStr">
        <is>
          <t>Suitability</t>
        </is>
      </c>
      <c r="M16" s="17" t="inlineStr">
        <is>
          <t>CDE State</t>
        </is>
      </c>
      <c r="N16" s="17" t="inlineStr">
        <is>
          <t>Month from</t>
        </is>
      </c>
      <c r="O16" s="17" t="inlineStr">
        <is>
          <t>Month to</t>
        </is>
      </c>
      <c r="P16" s="17" t="inlineStr">
        <is>
          <t>Planned date</t>
        </is>
      </c>
      <c r="Q16" s="17" t="inlineStr">
        <is>
          <t>Actual date</t>
        </is>
      </c>
      <c r="R16" s="17" t="inlineStr">
        <is>
          <t>Variance (days)</t>
        </is>
      </c>
      <c r="S16" s="17" t="inlineStr">
        <is>
          <t>Responsible</t>
        </is>
      </c>
      <c r="T16" s="17" t="inlineStr">
        <is>
          <t>TIDP ref</t>
        </is>
      </c>
      <c r="U16" s="17" t="inlineStr">
        <is>
          <t>Critical</t>
        </is>
      </c>
      <c r="V16" s="17" t="inlineStr">
        <is>
          <t>As-built</t>
        </is>
      </c>
      <c r="W16" s="17" t="inlineStr">
        <is>
          <t>O&amp;M</t>
        </is>
      </c>
      <c r="X16" s="17" t="inlineStr">
        <is>
          <t>RAG</t>
        </is>
      </c>
      <c r="Y16" s="17" t="inlineStr">
        <is>
          <t>Notes</t>
        </is>
      </c>
    </row>
    <row r="17">
      <c r="B17" s="24" t="inlineStr">
        <is>
          <t>C-500</t>
        </is>
      </c>
      <c r="C17" s="24" t="inlineStr">
        <is>
          <t>Contractor</t>
        </is>
      </c>
      <c r="D17" s="24" t="inlineStr"/>
      <c r="E17" s="25" t="inlineStr">
        <is>
          <t>ZZ</t>
        </is>
      </c>
      <c r="F17" s="26" t="inlineStr">
        <is>
          <t>Shop drawings and fabrication models (steel, MEP modules, façade)</t>
        </is>
      </c>
      <c r="G17" s="24" t="inlineStr">
        <is>
          <t>Model/Drawing</t>
        </is>
      </c>
      <c r="H17" s="25" t="inlineStr">
        <is>
          <t>M3</t>
        </is>
      </c>
      <c r="I17" s="24" t="inlineStr">
        <is>
          <t>3.1 Construction</t>
        </is>
      </c>
      <c r="J17" s="25" t="inlineStr">
        <is>
          <t>400</t>
        </is>
      </c>
      <c r="K17" s="24" t="inlineStr">
        <is>
          <t>RVT/IFC/PDF</t>
        </is>
      </c>
      <c r="L17" s="25" t="inlineStr">
        <is>
          <t>S2</t>
        </is>
      </c>
      <c r="M17" s="25" t="inlineStr">
        <is>
          <t>Shared</t>
        </is>
      </c>
      <c r="N17" s="25" t="n">
        <v>12</v>
      </c>
      <c r="O17" s="25" t="n">
        <v>43</v>
      </c>
      <c r="P17" s="27" t="n"/>
      <c r="Q17" s="27" t="n"/>
      <c r="R17" s="24" t="n"/>
      <c r="S17" s="24" t="inlineStr">
        <is>
          <t>Contractor</t>
        </is>
      </c>
      <c r="T17" s="24" t="inlineStr">
        <is>
          <t>TIDP-W</t>
        </is>
      </c>
      <c r="U17" s="25" t="inlineStr">
        <is>
          <t>Y</t>
        </is>
      </c>
      <c r="V17" s="25" t="inlineStr">
        <is>
          <t>Y</t>
        </is>
      </c>
      <c r="W17" s="25" t="inlineStr">
        <is>
          <t>N</t>
        </is>
      </c>
      <c r="X17" s="25" t="inlineStr"/>
      <c r="Y17" s="26" t="inlineStr">
        <is>
          <t>Linked into the federation</t>
        </is>
      </c>
    </row>
    <row r="18">
      <c r="B18" s="24" t="inlineStr">
        <is>
          <t>Z-512</t>
        </is>
      </c>
      <c r="C18" s="24" t="inlineStr">
        <is>
          <t>Contractor</t>
        </is>
      </c>
      <c r="D18" s="24" t="inlineStr"/>
      <c r="E18" s="25" t="inlineStr">
        <is>
          <t>ZZ</t>
        </is>
      </c>
      <c r="F18" s="26" t="inlineStr">
        <is>
          <t>As-built capture (progressive)</t>
        </is>
      </c>
      <c r="G18" s="24" t="inlineStr">
        <is>
          <t>Model</t>
        </is>
      </c>
      <c r="H18" s="25" t="inlineStr">
        <is>
          <t>M3</t>
        </is>
      </c>
      <c r="I18" s="24" t="inlineStr">
        <is>
          <t>3.1 Construction</t>
        </is>
      </c>
      <c r="J18" s="25" t="inlineStr">
        <is>
          <t>400</t>
        </is>
      </c>
      <c r="K18" s="24" t="inlineStr">
        <is>
          <t>RVT/IFC</t>
        </is>
      </c>
      <c r="L18" s="25" t="inlineStr">
        <is>
          <t>S2</t>
        </is>
      </c>
      <c r="M18" s="25" t="inlineStr">
        <is>
          <t>Shared</t>
        </is>
      </c>
      <c r="N18" s="25" t="n">
        <v>12</v>
      </c>
      <c r="O18" s="25" t="n">
        <v>43</v>
      </c>
      <c r="P18" s="27" t="n"/>
      <c r="Q18" s="27" t="n"/>
      <c r="R18" s="24" t="n"/>
      <c r="S18" s="24" t="inlineStr">
        <is>
          <t>Contractor</t>
        </is>
      </c>
      <c r="T18" s="24" t="inlineStr">
        <is>
          <t>TIDP-W</t>
        </is>
      </c>
      <c r="U18" s="25" t="inlineStr">
        <is>
          <t>Y</t>
        </is>
      </c>
      <c r="V18" s="25" t="inlineStr">
        <is>
          <t>Y</t>
        </is>
      </c>
      <c r="W18" s="25" t="inlineStr">
        <is>
          <t>N</t>
        </is>
      </c>
      <c r="X18" s="25" t="inlineStr"/>
      <c r="Y18" s="26" t="inlineStr">
        <is>
          <t>Clouded changes in official documentation; current to within one month</t>
        </is>
      </c>
    </row>
    <row r="19">
      <c r="B19" s="24" t="inlineStr">
        <is>
          <t>Z-513</t>
        </is>
      </c>
      <c r="C19" s="24" t="inlineStr">
        <is>
          <t>Contractor</t>
        </is>
      </c>
      <c r="D19" s="24" t="inlineStr"/>
      <c r="E19" s="25" t="inlineStr">
        <is>
          <t>ZZ</t>
        </is>
      </c>
      <c r="F19" s="26" t="inlineStr">
        <is>
          <t>Asset data capture (tiered schedule, BEP 14)</t>
        </is>
      </c>
      <c r="G19" s="24" t="inlineStr">
        <is>
          <t>Schedule</t>
        </is>
      </c>
      <c r="H19" s="25" t="inlineStr">
        <is>
          <t>SH</t>
        </is>
      </c>
      <c r="I19" s="24" t="inlineStr">
        <is>
          <t>3.1 Construction</t>
        </is>
      </c>
      <c r="J19" s="25" t="inlineStr">
        <is>
          <t>400</t>
        </is>
      </c>
      <c r="K19" s="24" t="inlineStr">
        <is>
          <t>XLSX</t>
        </is>
      </c>
      <c r="L19" s="25" t="inlineStr">
        <is>
          <t>S2</t>
        </is>
      </c>
      <c r="M19" s="25" t="inlineStr">
        <is>
          <t>Shared</t>
        </is>
      </c>
      <c r="N19" s="25" t="n">
        <v>12</v>
      </c>
      <c r="O19" s="25" t="n">
        <v>47</v>
      </c>
      <c r="P19" s="27" t="n"/>
      <c r="Q19" s="27" t="n"/>
      <c r="R19" s="24" t="n"/>
      <c r="S19" s="24" t="inlineStr">
        <is>
          <t>Contractor</t>
        </is>
      </c>
      <c r="T19" s="24" t="inlineStr">
        <is>
          <t>TIDP-W</t>
        </is>
      </c>
      <c r="U19" s="25" t="inlineStr">
        <is>
          <t>Y</t>
        </is>
      </c>
      <c r="V19" s="25" t="inlineStr">
        <is>
          <t>Y</t>
        </is>
      </c>
      <c r="W19" s="25" t="inlineStr">
        <is>
          <t>Y</t>
        </is>
      </c>
      <c r="X19" s="25" t="inlineStr"/>
      <c r="Y19" s="26" t="inlineStr">
        <is>
          <t>Tier A serialised plant, B maintainable devices, C warranted fabric</t>
        </is>
      </c>
    </row>
    <row r="20">
      <c r="B20" s="24" t="inlineStr">
        <is>
          <t>C-700</t>
        </is>
      </c>
      <c r="C20" s="24" t="inlineStr">
        <is>
          <t>Contractor</t>
        </is>
      </c>
      <c r="D20" s="24" t="inlineStr"/>
      <c r="E20" s="25" t="inlineStr">
        <is>
          <t>ZZ</t>
        </is>
      </c>
      <c r="F20" s="26" t="inlineStr">
        <is>
          <t>Final as-built documentation, commissioning records, warranties and O&amp;M documents</t>
        </is>
      </c>
      <c r="G20" s="24" t="inlineStr">
        <is>
          <t>Document</t>
        </is>
      </c>
      <c r="H20" s="25" t="inlineStr">
        <is>
          <t>RP</t>
        </is>
      </c>
      <c r="I20" s="24" t="inlineStr">
        <is>
          <t>3.3 Deliverable D</t>
        </is>
      </c>
      <c r="J20" s="25" t="inlineStr">
        <is>
          <t>500</t>
        </is>
      </c>
      <c r="K20" s="24" t="inlineStr">
        <is>
          <t>PDF</t>
        </is>
      </c>
      <c r="L20" s="25" t="inlineStr">
        <is>
          <t>A1</t>
        </is>
      </c>
      <c r="M20" s="25" t="inlineStr">
        <is>
          <t>Published</t>
        </is>
      </c>
      <c r="N20" s="25" t="n">
        <v>48</v>
      </c>
      <c r="O20" s="25" t="n">
        <v>48</v>
      </c>
      <c r="P20" s="27" t="n"/>
      <c r="Q20" s="27" t="n"/>
      <c r="R20" s="24" t="n"/>
      <c r="S20" s="24" t="inlineStr">
        <is>
          <t>Contractor</t>
        </is>
      </c>
      <c r="T20" s="24" t="inlineStr">
        <is>
          <t>TIDP-W</t>
        </is>
      </c>
      <c r="U20" s="25" t="inlineStr">
        <is>
          <t>Y</t>
        </is>
      </c>
      <c r="V20" s="25" t="inlineStr">
        <is>
          <t>Y</t>
        </is>
      </c>
      <c r="W20" s="25" t="inlineStr">
        <is>
          <t>Y</t>
        </is>
      </c>
      <c r="X20" s="25" t="inlineStr"/>
      <c r="Y20" s="26" t="inlineStr">
        <is>
          <t>Input to the record model verification</t>
        </is>
      </c>
    </row>
    <row r="21">
      <c r="B21" s="18" t="n"/>
      <c r="C21" s="18" t="n"/>
      <c r="D21" s="18" t="n"/>
      <c r="E21" s="18" t="n"/>
      <c r="F21" s="18" t="n"/>
      <c r="G21" s="18" t="n"/>
      <c r="H21" s="18" t="n"/>
      <c r="I21" s="18" t="n"/>
      <c r="J21" s="18" t="n"/>
      <c r="K21" s="18" t="n"/>
      <c r="L21" s="18" t="n"/>
      <c r="M21" s="18" t="n"/>
      <c r="N21" s="18" t="n"/>
      <c r="O21" s="18" t="n"/>
      <c r="P21" s="20" t="n"/>
      <c r="Q21" s="20" t="n"/>
      <c r="R21" s="18" t="n"/>
      <c r="S21" s="18" t="n"/>
      <c r="T21" s="18" t="n"/>
      <c r="U21" s="18" t="n"/>
      <c r="V21" s="18" t="n"/>
      <c r="W21" s="18" t="n"/>
      <c r="X21" s="18" t="n"/>
      <c r="Y21" s="18" t="n"/>
    </row>
    <row r="22">
      <c r="B22" s="18" t="n"/>
      <c r="C22" s="18" t="n"/>
      <c r="D22" s="18" t="n"/>
      <c r="E22" s="18" t="n"/>
      <c r="F22" s="18" t="n"/>
      <c r="G22" s="18" t="n"/>
      <c r="H22" s="18" t="n"/>
      <c r="I22" s="18" t="n"/>
      <c r="J22" s="18" t="n"/>
      <c r="K22" s="18" t="n"/>
      <c r="L22" s="18" t="n"/>
      <c r="M22" s="18" t="n"/>
      <c r="N22" s="18" t="n"/>
      <c r="O22" s="18" t="n"/>
      <c r="P22" s="20" t="n"/>
      <c r="Q22" s="20" t="n"/>
      <c r="R22" s="18" t="n"/>
      <c r="S22" s="18" t="n"/>
      <c r="T22" s="18" t="n"/>
      <c r="U22" s="18" t="n"/>
      <c r="V22" s="18" t="n"/>
      <c r="W22" s="18" t="n"/>
      <c r="X22" s="18" t="n"/>
      <c r="Y22" s="18" t="n"/>
    </row>
    <row r="23">
      <c r="B23" s="18" t="n"/>
      <c r="C23" s="18" t="n"/>
      <c r="D23" s="18" t="n"/>
      <c r="E23" s="18" t="n"/>
      <c r="F23" s="18" t="n"/>
      <c r="G23" s="18" t="n"/>
      <c r="H23" s="18" t="n"/>
      <c r="I23" s="18" t="n"/>
      <c r="J23" s="18" t="n"/>
      <c r="K23" s="18" t="n"/>
      <c r="L23" s="18" t="n"/>
      <c r="M23" s="18" t="n"/>
      <c r="N23" s="18" t="n"/>
      <c r="O23" s="18" t="n"/>
      <c r="P23" s="20" t="n"/>
      <c r="Q23" s="20" t="n"/>
      <c r="R23" s="18" t="n"/>
      <c r="S23" s="18" t="n"/>
      <c r="T23" s="18" t="n"/>
      <c r="U23" s="18" t="n"/>
      <c r="V23" s="18" t="n"/>
      <c r="W23" s="18" t="n"/>
      <c r="X23" s="18" t="n"/>
      <c r="Y23" s="18" t="n"/>
    </row>
    <row r="24">
      <c r="B24" s="18" t="n"/>
      <c r="C24" s="18" t="n"/>
      <c r="D24" s="18" t="n"/>
      <c r="E24" s="18" t="n"/>
      <c r="F24" s="18" t="n"/>
      <c r="G24" s="18" t="n"/>
      <c r="H24" s="18" t="n"/>
      <c r="I24" s="18" t="n"/>
      <c r="J24" s="18" t="n"/>
      <c r="K24" s="18" t="n"/>
      <c r="L24" s="18" t="n"/>
      <c r="M24" s="18" t="n"/>
      <c r="N24" s="18" t="n"/>
      <c r="O24" s="18" t="n"/>
      <c r="P24" s="20" t="n"/>
      <c r="Q24" s="20" t="n"/>
      <c r="R24" s="18" t="n"/>
      <c r="S24" s="18" t="n"/>
      <c r="T24" s="18" t="n"/>
      <c r="U24" s="18" t="n"/>
      <c r="V24" s="18" t="n"/>
      <c r="W24" s="18" t="n"/>
      <c r="X24" s="18" t="n"/>
      <c r="Y24" s="18" t="n"/>
    </row>
    <row r="25">
      <c r="B25" s="18" t="n"/>
      <c r="C25" s="18" t="n"/>
      <c r="D25" s="18" t="n"/>
      <c r="E25" s="18" t="n"/>
      <c r="F25" s="18" t="n"/>
      <c r="G25" s="18" t="n"/>
      <c r="H25" s="18" t="n"/>
      <c r="I25" s="18" t="n"/>
      <c r="J25" s="18" t="n"/>
      <c r="K25" s="18" t="n"/>
      <c r="L25" s="18" t="n"/>
      <c r="M25" s="18" t="n"/>
      <c r="N25" s="18" t="n"/>
      <c r="O25" s="18" t="n"/>
      <c r="P25" s="20" t="n"/>
      <c r="Q25" s="20" t="n"/>
      <c r="R25" s="18" t="n"/>
      <c r="S25" s="18" t="n"/>
      <c r="T25" s="18" t="n"/>
      <c r="U25" s="18" t="n"/>
      <c r="V25" s="18" t="n"/>
      <c r="W25" s="18" t="n"/>
      <c r="X25" s="18" t="n"/>
      <c r="Y25" s="18" t="n"/>
    </row>
    <row r="26">
      <c r="B26" s="18" t="n"/>
      <c r="C26" s="18" t="n"/>
      <c r="D26" s="18" t="n"/>
      <c r="E26" s="18" t="n"/>
      <c r="F26" s="18" t="n"/>
      <c r="G26" s="18" t="n"/>
      <c r="H26" s="18" t="n"/>
      <c r="I26" s="18" t="n"/>
      <c r="J26" s="18" t="n"/>
      <c r="K26" s="18" t="n"/>
      <c r="L26" s="18" t="n"/>
      <c r="M26" s="18" t="n"/>
      <c r="N26" s="18" t="n"/>
      <c r="O26" s="18" t="n"/>
      <c r="P26" s="20" t="n"/>
      <c r="Q26" s="20" t="n"/>
      <c r="R26" s="18" t="n"/>
      <c r="S26" s="18" t="n"/>
      <c r="T26" s="18" t="n"/>
      <c r="U26" s="18" t="n"/>
      <c r="V26" s="18" t="n"/>
      <c r="W26" s="18" t="n"/>
      <c r="X26" s="18" t="n"/>
      <c r="Y26" s="18" t="n"/>
    </row>
    <row r="27">
      <c r="B27" s="18" t="n"/>
      <c r="C27" s="18" t="n"/>
      <c r="D27" s="18" t="n"/>
      <c r="E27" s="18" t="n"/>
      <c r="F27" s="18" t="n"/>
      <c r="G27" s="18" t="n"/>
      <c r="H27" s="18" t="n"/>
      <c r="I27" s="18" t="n"/>
      <c r="J27" s="18" t="n"/>
      <c r="K27" s="18" t="n"/>
      <c r="L27" s="18" t="n"/>
      <c r="M27" s="18" t="n"/>
      <c r="N27" s="18" t="n"/>
      <c r="O27" s="18" t="n"/>
      <c r="P27" s="20" t="n"/>
      <c r="Q27" s="20" t="n"/>
      <c r="R27" s="18" t="n"/>
      <c r="S27" s="18" t="n"/>
      <c r="T27" s="18" t="n"/>
      <c r="U27" s="18" t="n"/>
      <c r="V27" s="18" t="n"/>
      <c r="W27" s="18" t="n"/>
      <c r="X27" s="18" t="n"/>
      <c r="Y27" s="18" t="n"/>
    </row>
    <row r="28">
      <c r="B28" s="18" t="n"/>
      <c r="C28" s="18" t="n"/>
      <c r="D28" s="18" t="n"/>
      <c r="E28" s="18" t="n"/>
      <c r="F28" s="18" t="n"/>
      <c r="G28" s="18" t="n"/>
      <c r="H28" s="18" t="n"/>
      <c r="I28" s="18" t="n"/>
      <c r="J28" s="18" t="n"/>
      <c r="K28" s="18" t="n"/>
      <c r="L28" s="18" t="n"/>
      <c r="M28" s="18" t="n"/>
      <c r="N28" s="18" t="n"/>
      <c r="O28" s="18" t="n"/>
      <c r="P28" s="20" t="n"/>
      <c r="Q28" s="20" t="n"/>
      <c r="R28" s="18" t="n"/>
      <c r="S28" s="18" t="n"/>
      <c r="T28" s="18" t="n"/>
      <c r="U28" s="18" t="n"/>
      <c r="V28" s="18" t="n"/>
      <c r="W28" s="18" t="n"/>
      <c r="X28" s="18" t="n"/>
      <c r="Y28" s="18" t="n"/>
    </row>
    <row r="29">
      <c r="B29" s="18" t="n"/>
      <c r="C29" s="18" t="n"/>
      <c r="D29" s="18" t="n"/>
      <c r="E29" s="18" t="n"/>
      <c r="F29" s="18" t="n"/>
      <c r="G29" s="18" t="n"/>
      <c r="H29" s="18" t="n"/>
      <c r="I29" s="18" t="n"/>
      <c r="J29" s="18" t="n"/>
      <c r="K29" s="18" t="n"/>
      <c r="L29" s="18" t="n"/>
      <c r="M29" s="18" t="n"/>
      <c r="N29" s="18" t="n"/>
      <c r="O29" s="18" t="n"/>
      <c r="P29" s="20" t="n"/>
      <c r="Q29" s="20" t="n"/>
      <c r="R29" s="18" t="n"/>
      <c r="S29" s="18" t="n"/>
      <c r="T29" s="18" t="n"/>
      <c r="U29" s="18" t="n"/>
      <c r="V29" s="18" t="n"/>
      <c r="W29" s="18" t="n"/>
      <c r="X29" s="18" t="n"/>
      <c r="Y29" s="18" t="n"/>
    </row>
    <row r="30">
      <c r="B30" s="18" t="n"/>
      <c r="C30" s="18" t="n"/>
      <c r="D30" s="18" t="n"/>
      <c r="E30" s="18" t="n"/>
      <c r="F30" s="18" t="n"/>
      <c r="G30" s="18" t="n"/>
      <c r="H30" s="18" t="n"/>
      <c r="I30" s="18" t="n"/>
      <c r="J30" s="18" t="n"/>
      <c r="K30" s="18" t="n"/>
      <c r="L30" s="18" t="n"/>
      <c r="M30" s="18" t="n"/>
      <c r="N30" s="18" t="n"/>
      <c r="O30" s="18" t="n"/>
      <c r="P30" s="20" t="n"/>
      <c r="Q30" s="20" t="n"/>
      <c r="R30" s="18" t="n"/>
      <c r="S30" s="18" t="n"/>
      <c r="T30" s="18" t="n"/>
      <c r="U30" s="18" t="n"/>
      <c r="V30" s="18" t="n"/>
      <c r="W30" s="18" t="n"/>
      <c r="X30" s="18" t="n"/>
      <c r="Y30" s="18" t="n"/>
    </row>
    <row r="31">
      <c r="B31" s="18" t="n"/>
      <c r="C31" s="18" t="n"/>
      <c r="D31" s="18" t="n"/>
      <c r="E31" s="18" t="n"/>
      <c r="F31" s="18" t="n"/>
      <c r="G31" s="18" t="n"/>
      <c r="H31" s="18" t="n"/>
      <c r="I31" s="18" t="n"/>
      <c r="J31" s="18" t="n"/>
      <c r="K31" s="18" t="n"/>
      <c r="L31" s="18" t="n"/>
      <c r="M31" s="18" t="n"/>
      <c r="N31" s="18" t="n"/>
      <c r="O31" s="18" t="n"/>
      <c r="P31" s="20" t="n"/>
      <c r="Q31" s="20" t="n"/>
      <c r="R31" s="18" t="n"/>
      <c r="S31" s="18" t="n"/>
      <c r="T31" s="18" t="n"/>
      <c r="U31" s="18" t="n"/>
      <c r="V31" s="18" t="n"/>
      <c r="W31" s="18" t="n"/>
      <c r="X31" s="18" t="n"/>
      <c r="Y31" s="18" t="n"/>
    </row>
    <row r="32">
      <c r="B32" s="18" t="n"/>
      <c r="C32" s="18" t="n"/>
      <c r="D32" s="18" t="n"/>
      <c r="E32" s="18" t="n"/>
      <c r="F32" s="18" t="n"/>
      <c r="G32" s="18" t="n"/>
      <c r="H32" s="18" t="n"/>
      <c r="I32" s="18" t="n"/>
      <c r="J32" s="18" t="n"/>
      <c r="K32" s="18" t="n"/>
      <c r="L32" s="18" t="n"/>
      <c r="M32" s="18" t="n"/>
      <c r="N32" s="18" t="n"/>
      <c r="O32" s="18" t="n"/>
      <c r="P32" s="20" t="n"/>
      <c r="Q32" s="20" t="n"/>
      <c r="R32" s="18" t="n"/>
      <c r="S32" s="18" t="n"/>
      <c r="T32" s="18" t="n"/>
      <c r="U32" s="18" t="n"/>
      <c r="V32" s="18" t="n"/>
      <c r="W32" s="18" t="n"/>
      <c r="X32" s="18" t="n"/>
      <c r="Y32" s="18" t="n"/>
    </row>
    <row r="33">
      <c r="B33" s="18" t="n"/>
      <c r="C33" s="18" t="n"/>
      <c r="D33" s="18" t="n"/>
      <c r="E33" s="18" t="n"/>
      <c r="F33" s="18" t="n"/>
      <c r="G33" s="18" t="n"/>
      <c r="H33" s="18" t="n"/>
      <c r="I33" s="18" t="n"/>
      <c r="J33" s="18" t="n"/>
      <c r="K33" s="18" t="n"/>
      <c r="L33" s="18" t="n"/>
      <c r="M33" s="18" t="n"/>
      <c r="N33" s="18" t="n"/>
      <c r="O33" s="18" t="n"/>
      <c r="P33" s="20" t="n"/>
      <c r="Q33" s="20" t="n"/>
      <c r="R33" s="18" t="n"/>
      <c r="S33" s="18" t="n"/>
      <c r="T33" s="18" t="n"/>
      <c r="U33" s="18" t="n"/>
      <c r="V33" s="18" t="n"/>
      <c r="W33" s="18" t="n"/>
      <c r="X33" s="18" t="n"/>
      <c r="Y33" s="18" t="n"/>
    </row>
    <row r="34">
      <c r="B34" s="18" t="n"/>
      <c r="C34" s="18" t="n"/>
      <c r="D34" s="18" t="n"/>
      <c r="E34" s="18" t="n"/>
      <c r="F34" s="18" t="n"/>
      <c r="G34" s="18" t="n"/>
      <c r="H34" s="18" t="n"/>
      <c r="I34" s="18" t="n"/>
      <c r="J34" s="18" t="n"/>
      <c r="K34" s="18" t="n"/>
      <c r="L34" s="18" t="n"/>
      <c r="M34" s="18" t="n"/>
      <c r="N34" s="18" t="n"/>
      <c r="O34" s="18" t="n"/>
      <c r="P34" s="20" t="n"/>
      <c r="Q34" s="20" t="n"/>
      <c r="R34" s="18" t="n"/>
      <c r="S34" s="18" t="n"/>
      <c r="T34" s="18" t="n"/>
      <c r="U34" s="18" t="n"/>
      <c r="V34" s="18" t="n"/>
      <c r="W34" s="18" t="n"/>
      <c r="X34" s="18" t="n"/>
      <c r="Y34" s="18" t="n"/>
    </row>
    <row r="35">
      <c r="B35" s="18" t="n"/>
      <c r="C35" s="18" t="n"/>
      <c r="D35" s="18" t="n"/>
      <c r="E35" s="18" t="n"/>
      <c r="F35" s="18" t="n"/>
      <c r="G35" s="18" t="n"/>
      <c r="H35" s="18" t="n"/>
      <c r="I35" s="18" t="n"/>
      <c r="J35" s="18" t="n"/>
      <c r="K35" s="18" t="n"/>
      <c r="L35" s="18" t="n"/>
      <c r="M35" s="18" t="n"/>
      <c r="N35" s="18" t="n"/>
      <c r="O35" s="18" t="n"/>
      <c r="P35" s="20" t="n"/>
      <c r="Q35" s="20" t="n"/>
      <c r="R35" s="18" t="n"/>
      <c r="S35" s="18" t="n"/>
      <c r="T35" s="18" t="n"/>
      <c r="U35" s="18" t="n"/>
      <c r="V35" s="18" t="n"/>
      <c r="W35" s="18" t="n"/>
      <c r="X35" s="18" t="n"/>
      <c r="Y35" s="18" t="n"/>
    </row>
  </sheetData>
  <autoFilter ref="A16:X35"/>
  <mergeCells count="1">
    <mergeCell ref="B4:H5"/>
  </mergeCells>
  <dataValidations count="12">
    <dataValidation sqref="C17:C35" showDropDown="0" showInputMessage="0" showErrorMessage="0" allowBlank="1" type="list">
      <formula1>'Lists'!$A$2:$A$30</formula1>
    </dataValidation>
    <dataValidation sqref="E17:E35" showDropDown="0" showInputMessage="0" showErrorMessage="0" allowBlank="1" type="list">
      <formula1>'Lists'!$I$2:$I$30</formula1>
    </dataValidation>
    <dataValidation sqref="G17:G35" showDropDown="0" showInputMessage="0" showErrorMessage="0" allowBlank="1" type="list">
      <formula1>'Lists'!$C$2:$C$30</formula1>
    </dataValidation>
    <dataValidation sqref="H17:H35" showDropDown="0" showInputMessage="0" showErrorMessage="0" allowBlank="1" type="list">
      <formula1>'Lists'!$J$2:$J$30</formula1>
    </dataValidation>
    <dataValidation sqref="I17:I35" showDropDown="0" showInputMessage="0" showErrorMessage="0" allowBlank="1" type="list">
      <formula1>'Lists'!$D$2:$D$30</formula1>
    </dataValidation>
    <dataValidation sqref="J17:J35" showDropDown="0" showInputMessage="0" showErrorMessage="0" allowBlank="1" type="list">
      <formula1>'Lists'!$E$2:$E$30</formula1>
    </dataValidation>
    <dataValidation sqref="L17:L35" showDropDown="0" showInputMessage="0" showErrorMessage="0" allowBlank="1" type="list">
      <formula1>'Lists'!$F$2:$F$30</formula1>
    </dataValidation>
    <dataValidation sqref="M17:M35" showDropDown="0" showInputMessage="0" showErrorMessage="0" allowBlank="1" type="list">
      <formula1>'Lists'!$G$2:$G$30</formula1>
    </dataValidation>
    <dataValidation sqref="U17:U35" showDropDown="0" showInputMessage="0" showErrorMessage="0" allowBlank="1" type="list">
      <formula1>'Lists'!$K$2:$K$30</formula1>
    </dataValidation>
    <dataValidation sqref="V17:V35" showDropDown="0" showInputMessage="0" showErrorMessage="0" allowBlank="1" type="list">
      <formula1>'Lists'!$K$2:$K$30</formula1>
    </dataValidation>
    <dataValidation sqref="W17:W35" showDropDown="0" showInputMessage="0" showErrorMessage="0" allowBlank="1" type="list">
      <formula1>'Lists'!$K$2:$K$30</formula1>
    </dataValidation>
    <dataValidation sqref="X17:X35" showDropDown="0" showInputMessage="0" showErrorMessage="0" allowBlank="1" type="list">
      <formula1>'Lists'!$H$2:$H$30</formula1>
    </dataValidation>
  </dataValidations>
  <hyperlinks>
    <hyperlink xmlns:r="http://schemas.openxmlformats.org/officeDocument/2006/relationships" ref="A1" r:id="rId1"/>
  </hyperlinks>
  <pageMargins left="0.75" right="0.75" top="1" bottom="1" header="0.5" footer="0.5"/>
  <pageSetup orientation="landscape" fitToWidth="1"/>
  <headerFooter>
    <oddHeader>&amp;L&amp;"Calibri,Bold"&amp;9KAMPALA UGANDA TEMPLE&amp;C&amp;"Calibri,Bold"&amp;9&amp;A&amp;R&amp;9KUT-SMB-ZZ-ZZ-SH-Z-0001   Rev P01</oddHeader>
    <oddFooter>&amp;L&amp;9&amp;KC00000DRAFT - not issued (S0, work in progress)&amp;C&amp;8Symbion Consulting Group Studios - Information Manager&amp;R&amp;9&amp;A   Page &amp;P of &amp;N</oddFooter>
    <evenHeader/>
    <evenFooter/>
    <firstHeader/>
    <firstFooter/>
  </headerFooter>
</worksheet>
</file>

<file path=xl/worksheets/sheet16.xml><?xml version="1.0" encoding="utf-8"?>
<worksheet xmlns="http://schemas.openxmlformats.org/spreadsheetml/2006/main">
  <sheetPr>
    <tabColor rgb="00444F5C"/>
    <outlinePr summaryBelow="1" summaryRight="1"/>
    <pageSetUpPr fitToPage="1"/>
  </sheetPr>
  <dimension ref="A1:Y34"/>
  <sheetViews>
    <sheetView showGridLines="0" workbookViewId="0">
      <pane ySplit="16" topLeftCell="A17" activePane="bottomLeft" state="frozen"/>
      <selection pane="bottomLeft" activeCell="A1" sqref="A1"/>
    </sheetView>
  </sheetViews>
  <sheetFormatPr baseColWidth="8" defaultRowHeight="15"/>
  <cols>
    <col width="3" customWidth="1" min="1" max="1"/>
    <col width="10" customWidth="1" min="2" max="2"/>
    <col width="20" customWidth="1" min="3" max="3"/>
    <col width="12" customWidth="1" min="4" max="4"/>
    <col width="8" customWidth="1" min="5" max="5"/>
    <col width="44" customWidth="1" min="6" max="6"/>
    <col width="15" customWidth="1" min="7" max="7"/>
    <col width="10" customWidth="1" min="8" max="8"/>
    <col width="20" customWidth="1" min="9" max="9"/>
    <col width="7" customWidth="1" min="10" max="10"/>
    <col width="15" customWidth="1" min="11" max="11"/>
    <col width="11" customWidth="1" min="12" max="12"/>
    <col width="12" customWidth="1" min="13" max="13"/>
    <col width="11" customWidth="1" min="14" max="14"/>
    <col width="10" customWidth="1" min="15" max="15"/>
    <col width="13" customWidth="1" min="16" max="16"/>
    <col width="13" customWidth="1" min="17" max="17"/>
    <col width="14" customWidth="1" min="18" max="18"/>
    <col width="20" customWidth="1" min="19" max="19"/>
    <col width="10" customWidth="1" min="20" max="20"/>
    <col width="9" customWidth="1" min="21" max="21"/>
    <col width="9" customWidth="1" min="22" max="22"/>
    <col width="7" customWidth="1" min="23" max="23"/>
    <col width="11" customWidth="1" min="24" max="24"/>
    <col width="40" customWidth="1" min="25" max="25"/>
  </cols>
  <sheetData>
    <row r="1">
      <c r="A1" s="13" t="inlineStr">
        <is>
          <t>&lt; Cover</t>
        </is>
      </c>
    </row>
    <row r="2">
      <c r="B2" s="14" t="inlineStr">
        <is>
          <t>Task Information Delivery Plan — Every appointed party</t>
        </is>
      </c>
    </row>
    <row r="4">
      <c r="B4" s="7" t="inlineStr">
        <is>
          <t>The deliverables below are those already assigned to you in the Master Information Delivery Plan. Confirm the planned dates, add any deliverable your scope requires that is not listed, and return this sheet to the Information Manager. Rows are merged back into the register by reference. Use the drop-down lists; if a value you need is not offered, raise it rather than typing a variant.</t>
        </is>
      </c>
    </row>
    <row r="5"/>
    <row r="7">
      <c r="B7" s="4" t="inlineStr">
        <is>
          <t>Task Information Delivery Plan</t>
        </is>
      </c>
      <c r="C7" s="5" t="inlineStr">
        <is>
          <t>TIDP-ALL</t>
        </is>
      </c>
    </row>
    <row r="8">
      <c r="B8" s="4" t="inlineStr">
        <is>
          <t>Scope</t>
        </is>
      </c>
      <c r="C8" s="5" t="inlineStr">
        <is>
          <t>Every appointed party</t>
        </is>
      </c>
    </row>
    <row r="9">
      <c r="B9" s="4" t="inlineStr">
        <is>
          <t>Appointed party</t>
        </is>
      </c>
      <c r="C9" s="5" t="inlineStr">
        <is>
          <t>All parties</t>
        </is>
      </c>
    </row>
    <row r="10">
      <c r="B10" s="4" t="inlineStr">
        <is>
          <t>Originator code</t>
        </is>
      </c>
      <c r="C10" s="5" t="inlineStr">
        <is>
          <t>[FILL — once the register is issued]</t>
        </is>
      </c>
    </row>
    <row r="11">
      <c r="B11" s="4" t="inlineStr">
        <is>
          <t>Task Team Manager</t>
        </is>
      </c>
      <c r="C11" s="5" t="inlineStr">
        <is>
          <t>[FILL]</t>
        </is>
      </c>
    </row>
    <row r="12">
      <c r="B12" s="4" t="inlineStr">
        <is>
          <t>Contact</t>
        </is>
      </c>
      <c r="C12" s="5" t="inlineStr">
        <is>
          <t>[FILL]</t>
        </is>
      </c>
    </row>
    <row r="13">
      <c r="B13" s="4" t="inlineStr">
        <is>
          <t>Revision</t>
        </is>
      </c>
      <c r="C13" s="5" t="inlineStr">
        <is>
          <t>P01</t>
        </is>
      </c>
    </row>
    <row r="14">
      <c r="B14" s="4" t="inlineStr">
        <is>
          <t>Date</t>
        </is>
      </c>
      <c r="C14" s="5" t="inlineStr">
        <is>
          <t>[FILL]</t>
        </is>
      </c>
    </row>
    <row r="16" ht="30" customHeight="1">
      <c r="A16" s="17" t="n"/>
      <c r="B16" s="17" t="inlineStr">
        <is>
          <t>Ref</t>
        </is>
      </c>
      <c r="C16" s="17" t="inlineStr">
        <is>
          <t>Discipline</t>
        </is>
      </c>
      <c r="D16" s="17" t="inlineStr">
        <is>
          <t>Originator</t>
        </is>
      </c>
      <c r="E16" s="17" t="inlineStr">
        <is>
          <t>Volume</t>
        </is>
      </c>
      <c r="F16" s="17" t="inlineStr">
        <is>
          <t>Deliverable</t>
        </is>
      </c>
      <c r="G16" s="17" t="inlineStr">
        <is>
          <t>Type</t>
        </is>
      </c>
      <c r="H16" s="17" t="inlineStr">
        <is>
          <t>Type code</t>
        </is>
      </c>
      <c r="I16" s="17" t="inlineStr">
        <is>
          <t>Stage</t>
        </is>
      </c>
      <c r="J16" s="17" t="inlineStr">
        <is>
          <t>LOD</t>
        </is>
      </c>
      <c r="K16" s="17" t="inlineStr">
        <is>
          <t>Format</t>
        </is>
      </c>
      <c r="L16" s="17" t="inlineStr">
        <is>
          <t>Suitability</t>
        </is>
      </c>
      <c r="M16" s="17" t="inlineStr">
        <is>
          <t>CDE State</t>
        </is>
      </c>
      <c r="N16" s="17" t="inlineStr">
        <is>
          <t>Month from</t>
        </is>
      </c>
      <c r="O16" s="17" t="inlineStr">
        <is>
          <t>Month to</t>
        </is>
      </c>
      <c r="P16" s="17" t="inlineStr">
        <is>
          <t>Planned date</t>
        </is>
      </c>
      <c r="Q16" s="17" t="inlineStr">
        <is>
          <t>Actual date</t>
        </is>
      </c>
      <c r="R16" s="17" t="inlineStr">
        <is>
          <t>Variance (days)</t>
        </is>
      </c>
      <c r="S16" s="17" t="inlineStr">
        <is>
          <t>Responsible</t>
        </is>
      </c>
      <c r="T16" s="17" t="inlineStr">
        <is>
          <t>TIDP ref</t>
        </is>
      </c>
      <c r="U16" s="17" t="inlineStr">
        <is>
          <t>Critical</t>
        </is>
      </c>
      <c r="V16" s="17" t="inlineStr">
        <is>
          <t>As-built</t>
        </is>
      </c>
      <c r="W16" s="17" t="inlineStr">
        <is>
          <t>O&amp;M</t>
        </is>
      </c>
      <c r="X16" s="17" t="inlineStr">
        <is>
          <t>RAG</t>
        </is>
      </c>
      <c r="Y16" s="17" t="inlineStr">
        <is>
          <t>Notes</t>
        </is>
      </c>
    </row>
    <row r="17">
      <c r="B17" s="24" t="inlineStr">
        <is>
          <t>Z-006</t>
        </is>
      </c>
      <c r="C17" s="24" t="inlineStr">
        <is>
          <t>All disciplines</t>
        </is>
      </c>
      <c r="D17" s="24" t="inlineStr"/>
      <c r="E17" s="25" t="inlineStr">
        <is>
          <t>ZZ</t>
        </is>
      </c>
      <c r="F17" s="26" t="inlineStr">
        <is>
          <t>Task Information Delivery Plan (one per appointed party)</t>
        </is>
      </c>
      <c r="G17" s="24" t="inlineStr">
        <is>
          <t>Schedule</t>
        </is>
      </c>
      <c r="H17" s="25" t="inlineStr">
        <is>
          <t>SH</t>
        </is>
      </c>
      <c r="I17" s="24" t="inlineStr">
        <is>
          <t>Mobilisation</t>
        </is>
      </c>
      <c r="J17" s="25" t="inlineStr">
        <is>
          <t>n/a</t>
        </is>
      </c>
      <c r="K17" s="24" t="inlineStr">
        <is>
          <t>XLSX</t>
        </is>
      </c>
      <c r="L17" s="25" t="inlineStr">
        <is>
          <t>S3</t>
        </is>
      </c>
      <c r="M17" s="25" t="inlineStr">
        <is>
          <t>Shared</t>
        </is>
      </c>
      <c r="N17" s="25" t="n">
        <v>0</v>
      </c>
      <c r="O17" s="25" t="n">
        <v>0</v>
      </c>
      <c r="P17" s="27" t="n"/>
      <c r="Q17" s="27" t="n"/>
      <c r="R17" s="24" t="n"/>
      <c r="S17" s="24" t="inlineStr">
        <is>
          <t>Task Team Managers</t>
        </is>
      </c>
      <c r="T17" s="24" t="inlineStr">
        <is>
          <t>TIDP-ALL</t>
        </is>
      </c>
      <c r="U17" s="25" t="inlineStr">
        <is>
          <t>N</t>
        </is>
      </c>
      <c r="V17" s="25" t="inlineStr">
        <is>
          <t>N</t>
        </is>
      </c>
      <c r="W17" s="25" t="inlineStr">
        <is>
          <t>N</t>
        </is>
      </c>
      <c r="X17" s="25" t="inlineStr"/>
      <c r="Y17" s="26" t="inlineStr">
        <is>
          <t>Returned to the Information Manager; merged into this MIDP</t>
        </is>
      </c>
    </row>
    <row r="18">
      <c r="B18" s="24" t="inlineStr">
        <is>
          <t>Z-311</t>
        </is>
      </c>
      <c r="C18" s="24" t="inlineStr">
        <is>
          <t>All disciplines</t>
        </is>
      </c>
      <c r="D18" s="24" t="inlineStr"/>
      <c r="E18" s="25" t="inlineStr">
        <is>
          <t>ZZ</t>
        </is>
      </c>
      <c r="F18" s="26" t="inlineStr">
        <is>
          <t>Specifications (RIB SpecLink, CSI MasterFormat)</t>
        </is>
      </c>
      <c r="G18" s="24" t="inlineStr">
        <is>
          <t>Specification</t>
        </is>
      </c>
      <c r="H18" s="25" t="inlineStr">
        <is>
          <t>SP</t>
        </is>
      </c>
      <c r="I18" s="24" t="inlineStr">
        <is>
          <t>2.3 Deliverable C</t>
        </is>
      </c>
      <c r="J18" s="25" t="inlineStr">
        <is>
          <t>350</t>
        </is>
      </c>
      <c r="K18" s="24" t="inlineStr">
        <is>
          <t>PDF</t>
        </is>
      </c>
      <c r="L18" s="25" t="inlineStr">
        <is>
          <t>S4</t>
        </is>
      </c>
      <c r="M18" s="25" t="inlineStr">
        <is>
          <t>Shared</t>
        </is>
      </c>
      <c r="N18" s="25" t="n">
        <v>8</v>
      </c>
      <c r="O18" s="25" t="n">
        <v>8</v>
      </c>
      <c r="P18" s="27" t="n"/>
      <c r="Q18" s="27" t="n"/>
      <c r="R18" s="24" t="n"/>
      <c r="S18" s="24" t="inlineStr">
        <is>
          <t>Task Team Managers</t>
        </is>
      </c>
      <c r="T18" s="24" t="inlineStr">
        <is>
          <t>TIDP-ALL</t>
        </is>
      </c>
      <c r="U18" s="25" t="inlineStr">
        <is>
          <t>Y</t>
        </is>
      </c>
      <c r="V18" s="25" t="inlineStr">
        <is>
          <t>N</t>
        </is>
      </c>
      <c r="W18" s="25" t="inlineStr">
        <is>
          <t>Y</t>
        </is>
      </c>
      <c r="X18" s="25" t="inlineStr"/>
      <c r="Y18" s="26" t="inlineStr">
        <is>
          <t>Issued sets archived with the milestone</t>
        </is>
      </c>
    </row>
    <row r="19">
      <c r="B19" s="24" t="inlineStr">
        <is>
          <t>Z-705</t>
        </is>
      </c>
      <c r="C19" s="24" t="inlineStr">
        <is>
          <t>All disciplines</t>
        </is>
      </c>
      <c r="D19" s="24" t="inlineStr"/>
      <c r="E19" s="25" t="inlineStr">
        <is>
          <t>ZZ</t>
        </is>
      </c>
      <c r="F19" s="26" t="inlineStr">
        <is>
          <t>Native design, calculation, energy and system program files (A1 Deliverable D)</t>
        </is>
      </c>
      <c r="G19" s="24" t="inlineStr">
        <is>
          <t>Document</t>
        </is>
      </c>
      <c r="H19" s="25" t="inlineStr">
        <is>
          <t>RP</t>
        </is>
      </c>
      <c r="I19" s="24" t="inlineStr">
        <is>
          <t>3.3 Deliverable D</t>
        </is>
      </c>
      <c r="J19" s="25" t="inlineStr">
        <is>
          <t>500</t>
        </is>
      </c>
      <c r="K19" s="24" t="inlineStr">
        <is>
          <t>Native</t>
        </is>
      </c>
      <c r="L19" s="25" t="inlineStr">
        <is>
          <t>A1</t>
        </is>
      </c>
      <c r="M19" s="25" t="inlineStr">
        <is>
          <t>Published</t>
        </is>
      </c>
      <c r="N19" s="25" t="n">
        <v>48</v>
      </c>
      <c r="O19" s="25" t="n">
        <v>49</v>
      </c>
      <c r="P19" s="27" t="n"/>
      <c r="Q19" s="27" t="n"/>
      <c r="R19" s="24" t="n"/>
      <c r="S19" s="24" t="inlineStr">
        <is>
          <t>Task Team Managers</t>
        </is>
      </c>
      <c r="T19" s="24" t="inlineStr">
        <is>
          <t>TIDP-ALL</t>
        </is>
      </c>
      <c r="U19" s="25" t="inlineStr">
        <is>
          <t>Y</t>
        </is>
      </c>
      <c r="V19" s="25" t="inlineStr">
        <is>
          <t>N</t>
        </is>
      </c>
      <c r="W19" s="25" t="inlineStr">
        <is>
          <t>Y</t>
        </is>
      </c>
      <c r="X19" s="25" t="inlineStr"/>
      <c r="Y19" s="26" t="inlineStr"/>
    </row>
    <row r="20">
      <c r="B20" s="18" t="n"/>
      <c r="C20" s="18" t="n"/>
      <c r="D20" s="18" t="n"/>
      <c r="E20" s="18" t="n"/>
      <c r="F20" s="18" t="n"/>
      <c r="G20" s="18" t="n"/>
      <c r="H20" s="18" t="n"/>
      <c r="I20" s="18" t="n"/>
      <c r="J20" s="18" t="n"/>
      <c r="K20" s="18" t="n"/>
      <c r="L20" s="18" t="n"/>
      <c r="M20" s="18" t="n"/>
      <c r="N20" s="18" t="n"/>
      <c r="O20" s="18" t="n"/>
      <c r="P20" s="20" t="n"/>
      <c r="Q20" s="20" t="n"/>
      <c r="R20" s="18" t="n"/>
      <c r="S20" s="18" t="n"/>
      <c r="T20" s="18" t="n"/>
      <c r="U20" s="18" t="n"/>
      <c r="V20" s="18" t="n"/>
      <c r="W20" s="18" t="n"/>
      <c r="X20" s="18" t="n"/>
      <c r="Y20" s="18" t="n"/>
    </row>
    <row r="21">
      <c r="B21" s="18" t="n"/>
      <c r="C21" s="18" t="n"/>
      <c r="D21" s="18" t="n"/>
      <c r="E21" s="18" t="n"/>
      <c r="F21" s="18" t="n"/>
      <c r="G21" s="18" t="n"/>
      <c r="H21" s="18" t="n"/>
      <c r="I21" s="18" t="n"/>
      <c r="J21" s="18" t="n"/>
      <c r="K21" s="18" t="n"/>
      <c r="L21" s="18" t="n"/>
      <c r="M21" s="18" t="n"/>
      <c r="N21" s="18" t="n"/>
      <c r="O21" s="18" t="n"/>
      <c r="P21" s="20" t="n"/>
      <c r="Q21" s="20" t="n"/>
      <c r="R21" s="18" t="n"/>
      <c r="S21" s="18" t="n"/>
      <c r="T21" s="18" t="n"/>
      <c r="U21" s="18" t="n"/>
      <c r="V21" s="18" t="n"/>
      <c r="W21" s="18" t="n"/>
      <c r="X21" s="18" t="n"/>
      <c r="Y21" s="18" t="n"/>
    </row>
    <row r="22">
      <c r="B22" s="18" t="n"/>
      <c r="C22" s="18" t="n"/>
      <c r="D22" s="18" t="n"/>
      <c r="E22" s="18" t="n"/>
      <c r="F22" s="18" t="n"/>
      <c r="G22" s="18" t="n"/>
      <c r="H22" s="18" t="n"/>
      <c r="I22" s="18" t="n"/>
      <c r="J22" s="18" t="n"/>
      <c r="K22" s="18" t="n"/>
      <c r="L22" s="18" t="n"/>
      <c r="M22" s="18" t="n"/>
      <c r="N22" s="18" t="n"/>
      <c r="O22" s="18" t="n"/>
      <c r="P22" s="20" t="n"/>
      <c r="Q22" s="20" t="n"/>
      <c r="R22" s="18" t="n"/>
      <c r="S22" s="18" t="n"/>
      <c r="T22" s="18" t="n"/>
      <c r="U22" s="18" t="n"/>
      <c r="V22" s="18" t="n"/>
      <c r="W22" s="18" t="n"/>
      <c r="X22" s="18" t="n"/>
      <c r="Y22" s="18" t="n"/>
    </row>
    <row r="23">
      <c r="B23" s="18" t="n"/>
      <c r="C23" s="18" t="n"/>
      <c r="D23" s="18" t="n"/>
      <c r="E23" s="18" t="n"/>
      <c r="F23" s="18" t="n"/>
      <c r="G23" s="18" t="n"/>
      <c r="H23" s="18" t="n"/>
      <c r="I23" s="18" t="n"/>
      <c r="J23" s="18" t="n"/>
      <c r="K23" s="18" t="n"/>
      <c r="L23" s="18" t="n"/>
      <c r="M23" s="18" t="n"/>
      <c r="N23" s="18" t="n"/>
      <c r="O23" s="18" t="n"/>
      <c r="P23" s="20" t="n"/>
      <c r="Q23" s="20" t="n"/>
      <c r="R23" s="18" t="n"/>
      <c r="S23" s="18" t="n"/>
      <c r="T23" s="18" t="n"/>
      <c r="U23" s="18" t="n"/>
      <c r="V23" s="18" t="n"/>
      <c r="W23" s="18" t="n"/>
      <c r="X23" s="18" t="n"/>
      <c r="Y23" s="18" t="n"/>
    </row>
    <row r="24">
      <c r="B24" s="18" t="n"/>
      <c r="C24" s="18" t="n"/>
      <c r="D24" s="18" t="n"/>
      <c r="E24" s="18" t="n"/>
      <c r="F24" s="18" t="n"/>
      <c r="G24" s="18" t="n"/>
      <c r="H24" s="18" t="n"/>
      <c r="I24" s="18" t="n"/>
      <c r="J24" s="18" t="n"/>
      <c r="K24" s="18" t="n"/>
      <c r="L24" s="18" t="n"/>
      <c r="M24" s="18" t="n"/>
      <c r="N24" s="18" t="n"/>
      <c r="O24" s="18" t="n"/>
      <c r="P24" s="20" t="n"/>
      <c r="Q24" s="20" t="n"/>
      <c r="R24" s="18" t="n"/>
      <c r="S24" s="18" t="n"/>
      <c r="T24" s="18" t="n"/>
      <c r="U24" s="18" t="n"/>
      <c r="V24" s="18" t="n"/>
      <c r="W24" s="18" t="n"/>
      <c r="X24" s="18" t="n"/>
      <c r="Y24" s="18" t="n"/>
    </row>
    <row r="25">
      <c r="B25" s="18" t="n"/>
      <c r="C25" s="18" t="n"/>
      <c r="D25" s="18" t="n"/>
      <c r="E25" s="18" t="n"/>
      <c r="F25" s="18" t="n"/>
      <c r="G25" s="18" t="n"/>
      <c r="H25" s="18" t="n"/>
      <c r="I25" s="18" t="n"/>
      <c r="J25" s="18" t="n"/>
      <c r="K25" s="18" t="n"/>
      <c r="L25" s="18" t="n"/>
      <c r="M25" s="18" t="n"/>
      <c r="N25" s="18" t="n"/>
      <c r="O25" s="18" t="n"/>
      <c r="P25" s="20" t="n"/>
      <c r="Q25" s="20" t="n"/>
      <c r="R25" s="18" t="n"/>
      <c r="S25" s="18" t="n"/>
      <c r="T25" s="18" t="n"/>
      <c r="U25" s="18" t="n"/>
      <c r="V25" s="18" t="n"/>
      <c r="W25" s="18" t="n"/>
      <c r="X25" s="18" t="n"/>
      <c r="Y25" s="18" t="n"/>
    </row>
    <row r="26">
      <c r="B26" s="18" t="n"/>
      <c r="C26" s="18" t="n"/>
      <c r="D26" s="18" t="n"/>
      <c r="E26" s="18" t="n"/>
      <c r="F26" s="18" t="n"/>
      <c r="G26" s="18" t="n"/>
      <c r="H26" s="18" t="n"/>
      <c r="I26" s="18" t="n"/>
      <c r="J26" s="18" t="n"/>
      <c r="K26" s="18" t="n"/>
      <c r="L26" s="18" t="n"/>
      <c r="M26" s="18" t="n"/>
      <c r="N26" s="18" t="n"/>
      <c r="O26" s="18" t="n"/>
      <c r="P26" s="20" t="n"/>
      <c r="Q26" s="20" t="n"/>
      <c r="R26" s="18" t="n"/>
      <c r="S26" s="18" t="n"/>
      <c r="T26" s="18" t="n"/>
      <c r="U26" s="18" t="n"/>
      <c r="V26" s="18" t="n"/>
      <c r="W26" s="18" t="n"/>
      <c r="X26" s="18" t="n"/>
      <c r="Y26" s="18" t="n"/>
    </row>
    <row r="27">
      <c r="B27" s="18" t="n"/>
      <c r="C27" s="18" t="n"/>
      <c r="D27" s="18" t="n"/>
      <c r="E27" s="18" t="n"/>
      <c r="F27" s="18" t="n"/>
      <c r="G27" s="18" t="n"/>
      <c r="H27" s="18" t="n"/>
      <c r="I27" s="18" t="n"/>
      <c r="J27" s="18" t="n"/>
      <c r="K27" s="18" t="n"/>
      <c r="L27" s="18" t="n"/>
      <c r="M27" s="18" t="n"/>
      <c r="N27" s="18" t="n"/>
      <c r="O27" s="18" t="n"/>
      <c r="P27" s="20" t="n"/>
      <c r="Q27" s="20" t="n"/>
      <c r="R27" s="18" t="n"/>
      <c r="S27" s="18" t="n"/>
      <c r="T27" s="18" t="n"/>
      <c r="U27" s="18" t="n"/>
      <c r="V27" s="18" t="n"/>
      <c r="W27" s="18" t="n"/>
      <c r="X27" s="18" t="n"/>
      <c r="Y27" s="18" t="n"/>
    </row>
    <row r="28">
      <c r="B28" s="18" t="n"/>
      <c r="C28" s="18" t="n"/>
      <c r="D28" s="18" t="n"/>
      <c r="E28" s="18" t="n"/>
      <c r="F28" s="18" t="n"/>
      <c r="G28" s="18" t="n"/>
      <c r="H28" s="18" t="n"/>
      <c r="I28" s="18" t="n"/>
      <c r="J28" s="18" t="n"/>
      <c r="K28" s="18" t="n"/>
      <c r="L28" s="18" t="n"/>
      <c r="M28" s="18" t="n"/>
      <c r="N28" s="18" t="n"/>
      <c r="O28" s="18" t="n"/>
      <c r="P28" s="20" t="n"/>
      <c r="Q28" s="20" t="n"/>
      <c r="R28" s="18" t="n"/>
      <c r="S28" s="18" t="n"/>
      <c r="T28" s="18" t="n"/>
      <c r="U28" s="18" t="n"/>
      <c r="V28" s="18" t="n"/>
      <c r="W28" s="18" t="n"/>
      <c r="X28" s="18" t="n"/>
      <c r="Y28" s="18" t="n"/>
    </row>
    <row r="29">
      <c r="B29" s="18" t="n"/>
      <c r="C29" s="18" t="n"/>
      <c r="D29" s="18" t="n"/>
      <c r="E29" s="18" t="n"/>
      <c r="F29" s="18" t="n"/>
      <c r="G29" s="18" t="n"/>
      <c r="H29" s="18" t="n"/>
      <c r="I29" s="18" t="n"/>
      <c r="J29" s="18" t="n"/>
      <c r="K29" s="18" t="n"/>
      <c r="L29" s="18" t="n"/>
      <c r="M29" s="18" t="n"/>
      <c r="N29" s="18" t="n"/>
      <c r="O29" s="18" t="n"/>
      <c r="P29" s="20" t="n"/>
      <c r="Q29" s="20" t="n"/>
      <c r="R29" s="18" t="n"/>
      <c r="S29" s="18" t="n"/>
      <c r="T29" s="18" t="n"/>
      <c r="U29" s="18" t="n"/>
      <c r="V29" s="18" t="n"/>
      <c r="W29" s="18" t="n"/>
      <c r="X29" s="18" t="n"/>
      <c r="Y29" s="18" t="n"/>
    </row>
    <row r="30">
      <c r="B30" s="18" t="n"/>
      <c r="C30" s="18" t="n"/>
      <c r="D30" s="18" t="n"/>
      <c r="E30" s="18" t="n"/>
      <c r="F30" s="18" t="n"/>
      <c r="G30" s="18" t="n"/>
      <c r="H30" s="18" t="n"/>
      <c r="I30" s="18" t="n"/>
      <c r="J30" s="18" t="n"/>
      <c r="K30" s="18" t="n"/>
      <c r="L30" s="18" t="n"/>
      <c r="M30" s="18" t="n"/>
      <c r="N30" s="18" t="n"/>
      <c r="O30" s="18" t="n"/>
      <c r="P30" s="20" t="n"/>
      <c r="Q30" s="20" t="n"/>
      <c r="R30" s="18" t="n"/>
      <c r="S30" s="18" t="n"/>
      <c r="T30" s="18" t="n"/>
      <c r="U30" s="18" t="n"/>
      <c r="V30" s="18" t="n"/>
      <c r="W30" s="18" t="n"/>
      <c r="X30" s="18" t="n"/>
      <c r="Y30" s="18" t="n"/>
    </row>
    <row r="31">
      <c r="B31" s="18" t="n"/>
      <c r="C31" s="18" t="n"/>
      <c r="D31" s="18" t="n"/>
      <c r="E31" s="18" t="n"/>
      <c r="F31" s="18" t="n"/>
      <c r="G31" s="18" t="n"/>
      <c r="H31" s="18" t="n"/>
      <c r="I31" s="18" t="n"/>
      <c r="J31" s="18" t="n"/>
      <c r="K31" s="18" t="n"/>
      <c r="L31" s="18" t="n"/>
      <c r="M31" s="18" t="n"/>
      <c r="N31" s="18" t="n"/>
      <c r="O31" s="18" t="n"/>
      <c r="P31" s="20" t="n"/>
      <c r="Q31" s="20" t="n"/>
      <c r="R31" s="18" t="n"/>
      <c r="S31" s="18" t="n"/>
      <c r="T31" s="18" t="n"/>
      <c r="U31" s="18" t="n"/>
      <c r="V31" s="18" t="n"/>
      <c r="W31" s="18" t="n"/>
      <c r="X31" s="18" t="n"/>
      <c r="Y31" s="18" t="n"/>
    </row>
    <row r="32">
      <c r="B32" s="18" t="n"/>
      <c r="C32" s="18" t="n"/>
      <c r="D32" s="18" t="n"/>
      <c r="E32" s="18" t="n"/>
      <c r="F32" s="18" t="n"/>
      <c r="G32" s="18" t="n"/>
      <c r="H32" s="18" t="n"/>
      <c r="I32" s="18" t="n"/>
      <c r="J32" s="18" t="n"/>
      <c r="K32" s="18" t="n"/>
      <c r="L32" s="18" t="n"/>
      <c r="M32" s="18" t="n"/>
      <c r="N32" s="18" t="n"/>
      <c r="O32" s="18" t="n"/>
      <c r="P32" s="20" t="n"/>
      <c r="Q32" s="20" t="n"/>
      <c r="R32" s="18" t="n"/>
      <c r="S32" s="18" t="n"/>
      <c r="T32" s="18" t="n"/>
      <c r="U32" s="18" t="n"/>
      <c r="V32" s="18" t="n"/>
      <c r="W32" s="18" t="n"/>
      <c r="X32" s="18" t="n"/>
      <c r="Y32" s="18" t="n"/>
    </row>
    <row r="33">
      <c r="B33" s="18" t="n"/>
      <c r="C33" s="18" t="n"/>
      <c r="D33" s="18" t="n"/>
      <c r="E33" s="18" t="n"/>
      <c r="F33" s="18" t="n"/>
      <c r="G33" s="18" t="n"/>
      <c r="H33" s="18" t="n"/>
      <c r="I33" s="18" t="n"/>
      <c r="J33" s="18" t="n"/>
      <c r="K33" s="18" t="n"/>
      <c r="L33" s="18" t="n"/>
      <c r="M33" s="18" t="n"/>
      <c r="N33" s="18" t="n"/>
      <c r="O33" s="18" t="n"/>
      <c r="P33" s="20" t="n"/>
      <c r="Q33" s="20" t="n"/>
      <c r="R33" s="18" t="n"/>
      <c r="S33" s="18" t="n"/>
      <c r="T33" s="18" t="n"/>
      <c r="U33" s="18" t="n"/>
      <c r="V33" s="18" t="n"/>
      <c r="W33" s="18" t="n"/>
      <c r="X33" s="18" t="n"/>
      <c r="Y33" s="18" t="n"/>
    </row>
    <row r="34">
      <c r="B34" s="18" t="n"/>
      <c r="C34" s="18" t="n"/>
      <c r="D34" s="18" t="n"/>
      <c r="E34" s="18" t="n"/>
      <c r="F34" s="18" t="n"/>
      <c r="G34" s="18" t="n"/>
      <c r="H34" s="18" t="n"/>
      <c r="I34" s="18" t="n"/>
      <c r="J34" s="18" t="n"/>
      <c r="K34" s="18" t="n"/>
      <c r="L34" s="18" t="n"/>
      <c r="M34" s="18" t="n"/>
      <c r="N34" s="18" t="n"/>
      <c r="O34" s="18" t="n"/>
      <c r="P34" s="20" t="n"/>
      <c r="Q34" s="20" t="n"/>
      <c r="R34" s="18" t="n"/>
      <c r="S34" s="18" t="n"/>
      <c r="T34" s="18" t="n"/>
      <c r="U34" s="18" t="n"/>
      <c r="V34" s="18" t="n"/>
      <c r="W34" s="18" t="n"/>
      <c r="X34" s="18" t="n"/>
      <c r="Y34" s="18" t="n"/>
    </row>
  </sheetData>
  <autoFilter ref="A16:X34"/>
  <mergeCells count="1">
    <mergeCell ref="B4:H5"/>
  </mergeCells>
  <dataValidations count="12">
    <dataValidation sqref="C17:C34" showDropDown="0" showInputMessage="0" showErrorMessage="0" allowBlank="1" type="list">
      <formula1>'Lists'!$A$2:$A$30</formula1>
    </dataValidation>
    <dataValidation sqref="E17:E34" showDropDown="0" showInputMessage="0" showErrorMessage="0" allowBlank="1" type="list">
      <formula1>'Lists'!$I$2:$I$30</formula1>
    </dataValidation>
    <dataValidation sqref="G17:G34" showDropDown="0" showInputMessage="0" showErrorMessage="0" allowBlank="1" type="list">
      <formula1>'Lists'!$C$2:$C$30</formula1>
    </dataValidation>
    <dataValidation sqref="H17:H34" showDropDown="0" showInputMessage="0" showErrorMessage="0" allowBlank="1" type="list">
      <formula1>'Lists'!$J$2:$J$30</formula1>
    </dataValidation>
    <dataValidation sqref="I17:I34" showDropDown="0" showInputMessage="0" showErrorMessage="0" allowBlank="1" type="list">
      <formula1>'Lists'!$D$2:$D$30</formula1>
    </dataValidation>
    <dataValidation sqref="J17:J34" showDropDown="0" showInputMessage="0" showErrorMessage="0" allowBlank="1" type="list">
      <formula1>'Lists'!$E$2:$E$30</formula1>
    </dataValidation>
    <dataValidation sqref="L17:L34" showDropDown="0" showInputMessage="0" showErrorMessage="0" allowBlank="1" type="list">
      <formula1>'Lists'!$F$2:$F$30</formula1>
    </dataValidation>
    <dataValidation sqref="M17:M34" showDropDown="0" showInputMessage="0" showErrorMessage="0" allowBlank="1" type="list">
      <formula1>'Lists'!$G$2:$G$30</formula1>
    </dataValidation>
    <dataValidation sqref="U17:U34" showDropDown="0" showInputMessage="0" showErrorMessage="0" allowBlank="1" type="list">
      <formula1>'Lists'!$K$2:$K$30</formula1>
    </dataValidation>
    <dataValidation sqref="V17:V34" showDropDown="0" showInputMessage="0" showErrorMessage="0" allowBlank="1" type="list">
      <formula1>'Lists'!$K$2:$K$30</formula1>
    </dataValidation>
    <dataValidation sqref="W17:W34" showDropDown="0" showInputMessage="0" showErrorMessage="0" allowBlank="1" type="list">
      <formula1>'Lists'!$K$2:$K$30</formula1>
    </dataValidation>
    <dataValidation sqref="X17:X34" showDropDown="0" showInputMessage="0" showErrorMessage="0" allowBlank="1" type="list">
      <formula1>'Lists'!$H$2:$H$30</formula1>
    </dataValidation>
  </dataValidations>
  <hyperlinks>
    <hyperlink xmlns:r="http://schemas.openxmlformats.org/officeDocument/2006/relationships" ref="A1" r:id="rId1"/>
  </hyperlinks>
  <pageMargins left="0.75" right="0.75" top="1" bottom="1" header="0.5" footer="0.5"/>
  <pageSetup orientation="landscape" fitToWidth="1"/>
  <headerFooter>
    <oddHeader>&amp;L&amp;"Calibri,Bold"&amp;9KAMPALA UGANDA TEMPLE&amp;C&amp;"Calibri,Bold"&amp;9&amp;A&amp;R&amp;9KUT-SMB-ZZ-ZZ-SH-Z-0001   Rev P01</oddHeader>
    <oddFooter>&amp;L&amp;9&amp;KC00000DRAFT - not issued (S0, work in progress)&amp;C&amp;8Symbion Consulting Group Studios - Information Manager&amp;R&amp;9&amp;A   Page &amp;P of &amp;N</oddFooter>
    <evenHeader/>
    <evenFooter/>
    <firstHeader/>
    <firstFooter/>
  </headerFooter>
</worksheet>
</file>

<file path=xl/worksheets/sheet17.xml><?xml version="1.0" encoding="utf-8"?>
<worksheet xmlns="http://schemas.openxmlformats.org/spreadsheetml/2006/main">
  <sheetPr>
    <tabColor rgb="002E7D32"/>
    <outlinePr summaryBelow="1" summaryRight="1"/>
    <pageSetUpPr fitToPage="1"/>
  </sheetPr>
  <dimension ref="A1:G60"/>
  <sheetViews>
    <sheetView showGridLines="0" workbookViewId="0">
      <selection activeCell="A1" sqref="A1"/>
    </sheetView>
  </sheetViews>
  <sheetFormatPr baseColWidth="8" defaultRowHeight="15"/>
  <cols>
    <col width="3" customWidth="1" min="1" max="1"/>
    <col width="30" customWidth="1" min="2" max="2"/>
    <col width="14" customWidth="1" min="3" max="3"/>
    <col width="14" customWidth="1" min="4" max="4"/>
    <col width="14" customWidth="1" min="5" max="5"/>
    <col width="14" customWidth="1" min="6" max="6"/>
    <col width="14" customWidth="1" min="7" max="7"/>
  </cols>
  <sheetData>
    <row r="1">
      <c r="A1" s="13" t="inlineStr">
        <is>
          <t>&lt; Cover</t>
        </is>
      </c>
    </row>
    <row r="2">
      <c r="B2" s="14" t="inlineStr">
        <is>
          <t>Delivery summary</t>
        </is>
      </c>
    </row>
    <row r="3">
      <c r="B3" s="10" t="inlineStr">
        <is>
          <t>Calculated from the MIDP sheet. Do not type in this sheet.</t>
        </is>
      </c>
    </row>
    <row r="5">
      <c r="B5" s="6" t="inlineStr">
        <is>
          <t>By stage</t>
        </is>
      </c>
    </row>
    <row r="6" ht="30" customHeight="1">
      <c r="A6" s="17" t="n"/>
      <c r="B6" s="17" t="inlineStr">
        <is>
          <t>Stage</t>
        </is>
      </c>
      <c r="C6" s="17" t="inlineStr">
        <is>
          <t>Deliverables</t>
        </is>
      </c>
      <c r="D6" s="17" t="inlineStr">
        <is>
          <t>Complete</t>
        </is>
      </c>
      <c r="E6" s="17" t="inlineStr">
        <is>
          <t>Red</t>
        </is>
      </c>
      <c r="F6" s="17" t="inlineStr">
        <is>
          <t>Amber</t>
        </is>
      </c>
      <c r="G6" s="17" t="inlineStr">
        <is>
          <t>Outstanding</t>
        </is>
      </c>
    </row>
    <row r="7">
      <c r="B7" s="18" t="inlineStr">
        <is>
          <t>Mobilisation</t>
        </is>
      </c>
      <c r="C7" s="19">
        <f>COUNTIF(MIDP!$H:$H,$B7)</f>
        <v/>
      </c>
      <c r="D7" s="19">
        <f>COUNTIFS(MIDP!$H:$H,$B7,MIDP!$W:$W,"Complete")</f>
        <v/>
      </c>
      <c r="E7" s="19">
        <f>COUNTIFS(MIDP!$H:$H,$B7,MIDP!$W:$W,"Red")</f>
        <v/>
      </c>
      <c r="F7" s="19">
        <f>COUNTIFS(MIDP!$H:$H,$B7,MIDP!$W:$W,"Amber")</f>
        <v/>
      </c>
      <c r="G7" s="19">
        <f>C7-D7</f>
        <v/>
      </c>
    </row>
    <row r="8">
      <c r="B8" s="18" t="inlineStr">
        <is>
          <t>2.1 Deliverable A</t>
        </is>
      </c>
      <c r="C8" s="19">
        <f>COUNTIF(MIDP!$H:$H,$B8)</f>
        <v/>
      </c>
      <c r="D8" s="19">
        <f>COUNTIFS(MIDP!$H:$H,$B8,MIDP!$W:$W,"Complete")</f>
        <v/>
      </c>
      <c r="E8" s="19">
        <f>COUNTIFS(MIDP!$H:$H,$B8,MIDP!$W:$W,"Red")</f>
        <v/>
      </c>
      <c r="F8" s="19">
        <f>COUNTIFS(MIDP!$H:$H,$B8,MIDP!$W:$W,"Amber")</f>
        <v/>
      </c>
      <c r="G8" s="19">
        <f>C8-D8</f>
        <v/>
      </c>
    </row>
    <row r="9">
      <c r="B9" s="18" t="inlineStr">
        <is>
          <t>2.2 Deliverable B</t>
        </is>
      </c>
      <c r="C9" s="19">
        <f>COUNTIF(MIDP!$H:$H,$B9)</f>
        <v/>
      </c>
      <c r="D9" s="19">
        <f>COUNTIFS(MIDP!$H:$H,$B9,MIDP!$W:$W,"Complete")</f>
        <v/>
      </c>
      <c r="E9" s="19">
        <f>COUNTIFS(MIDP!$H:$H,$B9,MIDP!$W:$W,"Red")</f>
        <v/>
      </c>
      <c r="F9" s="19">
        <f>COUNTIFS(MIDP!$H:$H,$B9,MIDP!$W:$W,"Amber")</f>
        <v/>
      </c>
      <c r="G9" s="19">
        <f>C9-D9</f>
        <v/>
      </c>
    </row>
    <row r="10">
      <c r="B10" s="18" t="inlineStr">
        <is>
          <t>2.3 Deliverable C</t>
        </is>
      </c>
      <c r="C10" s="19">
        <f>COUNTIF(MIDP!$H:$H,$B10)</f>
        <v/>
      </c>
      <c r="D10" s="19">
        <f>COUNTIFS(MIDP!$H:$H,$B10,MIDP!$W:$W,"Complete")</f>
        <v/>
      </c>
      <c r="E10" s="19">
        <f>COUNTIFS(MIDP!$H:$H,$B10,MIDP!$W:$W,"Red")</f>
        <v/>
      </c>
      <c r="F10" s="19">
        <f>COUNTIFS(MIDP!$H:$H,$B10,MIDP!$W:$W,"Amber")</f>
        <v/>
      </c>
      <c r="G10" s="19">
        <f>C10-D10</f>
        <v/>
      </c>
    </row>
    <row r="11">
      <c r="B11" s="18" t="inlineStr">
        <is>
          <t>2.4 Tender</t>
        </is>
      </c>
      <c r="C11" s="19">
        <f>COUNTIF(MIDP!$H:$H,$B11)</f>
        <v/>
      </c>
      <c r="D11" s="19">
        <f>COUNTIFS(MIDP!$H:$H,$B11,MIDP!$W:$W,"Complete")</f>
        <v/>
      </c>
      <c r="E11" s="19">
        <f>COUNTIFS(MIDP!$H:$H,$B11,MIDP!$W:$W,"Red")</f>
        <v/>
      </c>
      <c r="F11" s="19">
        <f>COUNTIFS(MIDP!$H:$H,$B11,MIDP!$W:$W,"Amber")</f>
        <v/>
      </c>
      <c r="G11" s="19">
        <f>C11-D11</f>
        <v/>
      </c>
    </row>
    <row r="12">
      <c r="B12" s="18" t="inlineStr">
        <is>
          <t>2.5 Conformed set</t>
        </is>
      </c>
      <c r="C12" s="19">
        <f>COUNTIF(MIDP!$H:$H,$B12)</f>
        <v/>
      </c>
      <c r="D12" s="19">
        <f>COUNTIFS(MIDP!$H:$H,$B12,MIDP!$W:$W,"Complete")</f>
        <v/>
      </c>
      <c r="E12" s="19">
        <f>COUNTIFS(MIDP!$H:$H,$B12,MIDP!$W:$W,"Red")</f>
        <v/>
      </c>
      <c r="F12" s="19">
        <f>COUNTIFS(MIDP!$H:$H,$B12,MIDP!$W:$W,"Amber")</f>
        <v/>
      </c>
      <c r="G12" s="19">
        <f>C12-D12</f>
        <v/>
      </c>
    </row>
    <row r="13">
      <c r="B13" s="18" t="inlineStr">
        <is>
          <t>3.1 Construction</t>
        </is>
      </c>
      <c r="C13" s="19">
        <f>COUNTIF(MIDP!$H:$H,$B13)</f>
        <v/>
      </c>
      <c r="D13" s="19">
        <f>COUNTIFS(MIDP!$H:$H,$B13,MIDP!$W:$W,"Complete")</f>
        <v/>
      </c>
      <c r="E13" s="19">
        <f>COUNTIFS(MIDP!$H:$H,$B13,MIDP!$W:$W,"Red")</f>
        <v/>
      </c>
      <c r="F13" s="19">
        <f>COUNTIFS(MIDP!$H:$H,$B13,MIDP!$W:$W,"Amber")</f>
        <v/>
      </c>
      <c r="G13" s="19">
        <f>C13-D13</f>
        <v/>
      </c>
    </row>
    <row r="14">
      <c r="B14" s="18" t="inlineStr">
        <is>
          <t>3.2 FF&amp;E</t>
        </is>
      </c>
      <c r="C14" s="19">
        <f>COUNTIF(MIDP!$H:$H,$B14)</f>
        <v/>
      </c>
      <c r="D14" s="19">
        <f>COUNTIFS(MIDP!$H:$H,$B14,MIDP!$W:$W,"Complete")</f>
        <v/>
      </c>
      <c r="E14" s="19">
        <f>COUNTIFS(MIDP!$H:$H,$B14,MIDP!$W:$W,"Red")</f>
        <v/>
      </c>
      <c r="F14" s="19">
        <f>COUNTIFS(MIDP!$H:$H,$B14,MIDP!$W:$W,"Amber")</f>
        <v/>
      </c>
      <c r="G14" s="19">
        <f>C14-D14</f>
        <v/>
      </c>
    </row>
    <row r="15">
      <c r="B15" s="18" t="inlineStr">
        <is>
          <t>3.3 Deliverable D</t>
        </is>
      </c>
      <c r="C15" s="19">
        <f>COUNTIF(MIDP!$H:$H,$B15)</f>
        <v/>
      </c>
      <c r="D15" s="19">
        <f>COUNTIFS(MIDP!$H:$H,$B15,MIDP!$W:$W,"Complete")</f>
        <v/>
      </c>
      <c r="E15" s="19">
        <f>COUNTIFS(MIDP!$H:$H,$B15,MIDP!$W:$W,"Red")</f>
        <v/>
      </c>
      <c r="F15" s="19">
        <f>COUNTIFS(MIDP!$H:$H,$B15,MIDP!$W:$W,"Amber")</f>
        <v/>
      </c>
      <c r="G15" s="19">
        <f>C15-D15</f>
        <v/>
      </c>
    </row>
    <row r="16">
      <c r="B16" s="21" t="inlineStr">
        <is>
          <t>Total</t>
        </is>
      </c>
      <c r="C16" s="23">
        <f>SUM(C7:C15)</f>
        <v/>
      </c>
      <c r="D16" s="23">
        <f>SUM(D7:D15)</f>
        <v/>
      </c>
      <c r="E16" s="23">
        <f>SUM(E7:E15)</f>
        <v/>
      </c>
      <c r="F16" s="23">
        <f>SUM(F7:F15)</f>
        <v/>
      </c>
      <c r="G16" s="23">
        <f>SUM(G7:G15)</f>
        <v/>
      </c>
    </row>
    <row r="19">
      <c r="B19" s="6" t="inlineStr">
        <is>
          <t>By discipline</t>
        </is>
      </c>
    </row>
    <row r="20" ht="30" customHeight="1">
      <c r="A20" s="17" t="n"/>
      <c r="B20" s="17" t="inlineStr">
        <is>
          <t>Discipline</t>
        </is>
      </c>
      <c r="C20" s="17" t="inlineStr">
        <is>
          <t>Deliverables</t>
        </is>
      </c>
      <c r="D20" s="17" t="inlineStr">
        <is>
          <t>Complete</t>
        </is>
      </c>
      <c r="E20" s="17" t="inlineStr">
        <is>
          <t>Red</t>
        </is>
      </c>
      <c r="F20" s="17" t="inlineStr">
        <is>
          <t>Amber</t>
        </is>
      </c>
      <c r="G20" s="17" t="inlineStr">
        <is>
          <t>Outstanding</t>
        </is>
      </c>
    </row>
    <row r="21">
      <c r="B21" s="18" t="inlineStr">
        <is>
          <t>Information Management</t>
        </is>
      </c>
      <c r="C21" s="19">
        <f>COUNTIF(MIDP!$B:$B,$B21)</f>
        <v/>
      </c>
      <c r="D21" s="19">
        <f>COUNTIFS(MIDP!$B:$B,$B21,MIDP!$W:$W,"Complete")</f>
        <v/>
      </c>
      <c r="E21" s="19">
        <f>COUNTIFS(MIDP!$B:$B,$B21,MIDP!$W:$W,"Red")</f>
        <v/>
      </c>
      <c r="F21" s="19">
        <f>COUNTIFS(MIDP!$B:$B,$B21,MIDP!$W:$W,"Amber")</f>
        <v/>
      </c>
      <c r="G21" s="19">
        <f>C21-D21</f>
        <v/>
      </c>
    </row>
    <row r="22">
      <c r="B22" s="18" t="inlineStr">
        <is>
          <t>Architecture</t>
        </is>
      </c>
      <c r="C22" s="19">
        <f>COUNTIF(MIDP!$B:$B,$B22)</f>
        <v/>
      </c>
      <c r="D22" s="19">
        <f>COUNTIFS(MIDP!$B:$B,$B22,MIDP!$W:$W,"Complete")</f>
        <v/>
      </c>
      <c r="E22" s="19">
        <f>COUNTIFS(MIDP!$B:$B,$B22,MIDP!$W:$W,"Red")</f>
        <v/>
      </c>
      <c r="F22" s="19">
        <f>COUNTIFS(MIDP!$B:$B,$B22,MIDP!$W:$W,"Amber")</f>
        <v/>
      </c>
      <c r="G22" s="19">
        <f>C22-D22</f>
        <v/>
      </c>
    </row>
    <row r="23">
      <c r="B23" s="18" t="inlineStr">
        <is>
          <t>Interiors</t>
        </is>
      </c>
      <c r="C23" s="19">
        <f>COUNTIF(MIDP!$B:$B,$B23)</f>
        <v/>
      </c>
      <c r="D23" s="19">
        <f>COUNTIFS(MIDP!$B:$B,$B23,MIDP!$W:$W,"Complete")</f>
        <v/>
      </c>
      <c r="E23" s="19">
        <f>COUNTIFS(MIDP!$B:$B,$B23,MIDP!$W:$W,"Red")</f>
        <v/>
      </c>
      <c r="F23" s="19">
        <f>COUNTIFS(MIDP!$B:$B,$B23,MIDP!$W:$W,"Amber")</f>
        <v/>
      </c>
      <c r="G23" s="19">
        <f>C23-D23</f>
        <v/>
      </c>
    </row>
    <row r="24">
      <c r="B24" s="18" t="inlineStr">
        <is>
          <t>Structure</t>
        </is>
      </c>
      <c r="C24" s="19">
        <f>COUNTIF(MIDP!$B:$B,$B24)</f>
        <v/>
      </c>
      <c r="D24" s="19">
        <f>COUNTIFS(MIDP!$B:$B,$B24,MIDP!$W:$W,"Complete")</f>
        <v/>
      </c>
      <c r="E24" s="19">
        <f>COUNTIFS(MIDP!$B:$B,$B24,MIDP!$W:$W,"Red")</f>
        <v/>
      </c>
      <c r="F24" s="19">
        <f>COUNTIFS(MIDP!$B:$B,$B24,MIDP!$W:$W,"Amber")</f>
        <v/>
      </c>
      <c r="G24" s="19">
        <f>C24-D24</f>
        <v/>
      </c>
    </row>
    <row r="25">
      <c r="B25" s="18" t="inlineStr">
        <is>
          <t>Mechanical</t>
        </is>
      </c>
      <c r="C25" s="19">
        <f>COUNTIF(MIDP!$B:$B,$B25)</f>
        <v/>
      </c>
      <c r="D25" s="19">
        <f>COUNTIFS(MIDP!$B:$B,$B25,MIDP!$W:$W,"Complete")</f>
        <v/>
      </c>
      <c r="E25" s="19">
        <f>COUNTIFS(MIDP!$B:$B,$B25,MIDP!$W:$W,"Red")</f>
        <v/>
      </c>
      <c r="F25" s="19">
        <f>COUNTIFS(MIDP!$B:$B,$B25,MIDP!$W:$W,"Amber")</f>
        <v/>
      </c>
      <c r="G25" s="19">
        <f>C25-D25</f>
        <v/>
      </c>
    </row>
    <row r="26">
      <c r="B26" s="18" t="inlineStr">
        <is>
          <t>Electrical</t>
        </is>
      </c>
      <c r="C26" s="19">
        <f>COUNTIF(MIDP!$B:$B,$B26)</f>
        <v/>
      </c>
      <c r="D26" s="19">
        <f>COUNTIFS(MIDP!$B:$B,$B26,MIDP!$W:$W,"Complete")</f>
        <v/>
      </c>
      <c r="E26" s="19">
        <f>COUNTIFS(MIDP!$B:$B,$B26,MIDP!$W:$W,"Red")</f>
        <v/>
      </c>
      <c r="F26" s="19">
        <f>COUNTIFS(MIDP!$B:$B,$B26,MIDP!$W:$W,"Amber")</f>
        <v/>
      </c>
      <c r="G26" s="19">
        <f>C26-D26</f>
        <v/>
      </c>
    </row>
    <row r="27">
      <c r="B27" s="18" t="inlineStr">
        <is>
          <t>Public Health</t>
        </is>
      </c>
      <c r="C27" s="19">
        <f>COUNTIF(MIDP!$B:$B,$B27)</f>
        <v/>
      </c>
      <c r="D27" s="19">
        <f>COUNTIFS(MIDP!$B:$B,$B27,MIDP!$W:$W,"Complete")</f>
        <v/>
      </c>
      <c r="E27" s="19">
        <f>COUNTIFS(MIDP!$B:$B,$B27,MIDP!$W:$W,"Red")</f>
        <v/>
      </c>
      <c r="F27" s="19">
        <f>COUNTIFS(MIDP!$B:$B,$B27,MIDP!$W:$W,"Amber")</f>
        <v/>
      </c>
      <c r="G27" s="19">
        <f>C27-D27</f>
        <v/>
      </c>
    </row>
    <row r="28">
      <c r="B28" s="18" t="inlineStr">
        <is>
          <t>Fire Protection</t>
        </is>
      </c>
      <c r="C28" s="19">
        <f>COUNTIF(MIDP!$B:$B,$B28)</f>
        <v/>
      </c>
      <c r="D28" s="19">
        <f>COUNTIFS(MIDP!$B:$B,$B28,MIDP!$W:$W,"Complete")</f>
        <v/>
      </c>
      <c r="E28" s="19">
        <f>COUNTIFS(MIDP!$B:$B,$B28,MIDP!$W:$W,"Red")</f>
        <v/>
      </c>
      <c r="F28" s="19">
        <f>COUNTIFS(MIDP!$B:$B,$B28,MIDP!$W:$W,"Amber")</f>
        <v/>
      </c>
      <c r="G28" s="19">
        <f>C28-D28</f>
        <v/>
      </c>
    </row>
    <row r="29">
      <c r="B29" s="18" t="inlineStr">
        <is>
          <t>Low Voltage</t>
        </is>
      </c>
      <c r="C29" s="19">
        <f>COUNTIF(MIDP!$B:$B,$B29)</f>
        <v/>
      </c>
      <c r="D29" s="19">
        <f>COUNTIFS(MIDP!$B:$B,$B29,MIDP!$W:$W,"Complete")</f>
        <v/>
      </c>
      <c r="E29" s="19">
        <f>COUNTIFS(MIDP!$B:$B,$B29,MIDP!$W:$W,"Red")</f>
        <v/>
      </c>
      <c r="F29" s="19">
        <f>COUNTIFS(MIDP!$B:$B,$B29,MIDP!$W:$W,"Amber")</f>
        <v/>
      </c>
      <c r="G29" s="19">
        <f>C29-D29</f>
        <v/>
      </c>
    </row>
    <row r="30">
      <c r="B30" s="18" t="inlineStr">
        <is>
          <t>Civil and Site</t>
        </is>
      </c>
      <c r="C30" s="19">
        <f>COUNTIF(MIDP!$B:$B,$B30)</f>
        <v/>
      </c>
      <c r="D30" s="19">
        <f>COUNTIFS(MIDP!$B:$B,$B30,MIDP!$W:$W,"Complete")</f>
        <v/>
      </c>
      <c r="E30" s="19">
        <f>COUNTIFS(MIDP!$B:$B,$B30,MIDP!$W:$W,"Red")</f>
        <v/>
      </c>
      <c r="F30" s="19">
        <f>COUNTIFS(MIDP!$B:$B,$B30,MIDP!$W:$W,"Amber")</f>
        <v/>
      </c>
      <c r="G30" s="19">
        <f>C30-D30</f>
        <v/>
      </c>
    </row>
    <row r="31">
      <c r="B31" s="18" t="inlineStr">
        <is>
          <t>QS / Cost</t>
        </is>
      </c>
      <c r="C31" s="19">
        <f>COUNTIF(MIDP!$B:$B,$B31)</f>
        <v/>
      </c>
      <c r="D31" s="19">
        <f>COUNTIFS(MIDP!$B:$B,$B31,MIDP!$W:$W,"Complete")</f>
        <v/>
      </c>
      <c r="E31" s="19">
        <f>COUNTIFS(MIDP!$B:$B,$B31,MIDP!$W:$W,"Red")</f>
        <v/>
      </c>
      <c r="F31" s="19">
        <f>COUNTIFS(MIDP!$B:$B,$B31,MIDP!$W:$W,"Amber")</f>
        <v/>
      </c>
      <c r="G31" s="19">
        <f>C31-D31</f>
        <v/>
      </c>
    </row>
    <row r="32">
      <c r="B32" s="18" t="inlineStr">
        <is>
          <t>FF&amp;E</t>
        </is>
      </c>
      <c r="C32" s="19">
        <f>COUNTIF(MIDP!$B:$B,$B32)</f>
        <v/>
      </c>
      <c r="D32" s="19">
        <f>COUNTIFS(MIDP!$B:$B,$B32,MIDP!$W:$W,"Complete")</f>
        <v/>
      </c>
      <c r="E32" s="19">
        <f>COUNTIFS(MIDP!$B:$B,$B32,MIDP!$W:$W,"Red")</f>
        <v/>
      </c>
      <c r="F32" s="19">
        <f>COUNTIFS(MIDP!$B:$B,$B32,MIDP!$W:$W,"Amber")</f>
        <v/>
      </c>
      <c r="G32" s="19">
        <f>C32-D32</f>
        <v/>
      </c>
    </row>
    <row r="33">
      <c r="B33" s="18" t="inlineStr">
        <is>
          <t>Contractor</t>
        </is>
      </c>
      <c r="C33" s="19">
        <f>COUNTIF(MIDP!$B:$B,$B33)</f>
        <v/>
      </c>
      <c r="D33" s="19">
        <f>COUNTIFS(MIDP!$B:$B,$B33,MIDP!$W:$W,"Complete")</f>
        <v/>
      </c>
      <c r="E33" s="19">
        <f>COUNTIFS(MIDP!$B:$B,$B33,MIDP!$W:$W,"Red")</f>
        <v/>
      </c>
      <c r="F33" s="19">
        <f>COUNTIFS(MIDP!$B:$B,$B33,MIDP!$W:$W,"Amber")</f>
        <v/>
      </c>
      <c r="G33" s="19">
        <f>C33-D33</f>
        <v/>
      </c>
    </row>
    <row r="34">
      <c r="B34" s="18" t="inlineStr">
        <is>
          <t>All disciplines</t>
        </is>
      </c>
      <c r="C34" s="19">
        <f>COUNTIF(MIDP!$B:$B,$B34)</f>
        <v/>
      </c>
      <c r="D34" s="19">
        <f>COUNTIFS(MIDP!$B:$B,$B34,MIDP!$W:$W,"Complete")</f>
        <v/>
      </c>
      <c r="E34" s="19">
        <f>COUNTIFS(MIDP!$B:$B,$B34,MIDP!$W:$W,"Red")</f>
        <v/>
      </c>
      <c r="F34" s="19">
        <f>COUNTIFS(MIDP!$B:$B,$B34,MIDP!$W:$W,"Amber")</f>
        <v/>
      </c>
      <c r="G34" s="19">
        <f>C34-D34</f>
        <v/>
      </c>
    </row>
    <row r="35">
      <c r="B35" s="21" t="inlineStr">
        <is>
          <t>Total</t>
        </is>
      </c>
      <c r="C35" s="23">
        <f>SUM(C21:C34)</f>
        <v/>
      </c>
      <c r="D35" s="23">
        <f>SUM(D21:D34)</f>
        <v/>
      </c>
      <c r="E35" s="23">
        <f>SUM(E21:E34)</f>
        <v/>
      </c>
      <c r="F35" s="23">
        <f>SUM(F21:F34)</f>
        <v/>
      </c>
      <c r="G35" s="23">
        <f>SUM(G21:G34)</f>
        <v/>
      </c>
    </row>
    <row r="38">
      <c r="B38" s="6" t="inlineStr">
        <is>
          <t>By Task Information Delivery Plan</t>
        </is>
      </c>
    </row>
    <row r="39" ht="30" customHeight="1">
      <c r="A39" s="17" t="n"/>
      <c r="B39" s="17" t="inlineStr">
        <is>
          <t>TIDP</t>
        </is>
      </c>
      <c r="C39" s="17" t="inlineStr">
        <is>
          <t>Deliverables</t>
        </is>
      </c>
      <c r="D39" s="17" t="inlineStr">
        <is>
          <t>Complete</t>
        </is>
      </c>
      <c r="E39" s="17" t="inlineStr">
        <is>
          <t>Red</t>
        </is>
      </c>
      <c r="F39" s="17" t="inlineStr">
        <is>
          <t>Amber</t>
        </is>
      </c>
      <c r="G39" s="17" t="inlineStr">
        <is>
          <t>Outstanding</t>
        </is>
      </c>
    </row>
    <row r="40">
      <c r="B40" s="18" t="inlineStr">
        <is>
          <t>TIDP-Z</t>
        </is>
      </c>
      <c r="C40" s="19">
        <f>COUNTIF(MIDP!$S:$S,$B40)</f>
        <v/>
      </c>
      <c r="D40" s="19">
        <f>COUNTIFS(MIDP!$S:$S,$B40,MIDP!$W:$W,"Complete")</f>
        <v/>
      </c>
      <c r="E40" s="19">
        <f>COUNTIFS(MIDP!$S:$S,$B40,MIDP!$W:$W,"Red")</f>
        <v/>
      </c>
      <c r="F40" s="19">
        <f>COUNTIFS(MIDP!$S:$S,$B40,MIDP!$W:$W,"Amber")</f>
        <v/>
      </c>
      <c r="G40" s="19">
        <f>C40-D40</f>
        <v/>
      </c>
    </row>
    <row r="41">
      <c r="B41" s="18" t="inlineStr">
        <is>
          <t>TIDP-A</t>
        </is>
      </c>
      <c r="C41" s="19">
        <f>COUNTIF(MIDP!$S:$S,$B41)</f>
        <v/>
      </c>
      <c r="D41" s="19">
        <f>COUNTIFS(MIDP!$S:$S,$B41,MIDP!$W:$W,"Complete")</f>
        <v/>
      </c>
      <c r="E41" s="19">
        <f>COUNTIFS(MIDP!$S:$S,$B41,MIDP!$W:$W,"Red")</f>
        <v/>
      </c>
      <c r="F41" s="19">
        <f>COUNTIFS(MIDP!$S:$S,$B41,MIDP!$W:$W,"Amber")</f>
        <v/>
      </c>
      <c r="G41" s="19">
        <f>C41-D41</f>
        <v/>
      </c>
    </row>
    <row r="42">
      <c r="B42" s="18" t="inlineStr">
        <is>
          <t>TIDP-S</t>
        </is>
      </c>
      <c r="C42" s="19">
        <f>COUNTIF(MIDP!$S:$S,$B42)</f>
        <v/>
      </c>
      <c r="D42" s="19">
        <f>COUNTIFS(MIDP!$S:$S,$B42,MIDP!$W:$W,"Complete")</f>
        <v/>
      </c>
      <c r="E42" s="19">
        <f>COUNTIFS(MIDP!$S:$S,$B42,MIDP!$W:$W,"Red")</f>
        <v/>
      </c>
      <c r="F42" s="19">
        <f>COUNTIFS(MIDP!$S:$S,$B42,MIDP!$W:$W,"Amber")</f>
        <v/>
      </c>
      <c r="G42" s="19">
        <f>C42-D42</f>
        <v/>
      </c>
    </row>
    <row r="43">
      <c r="B43" s="18" t="inlineStr">
        <is>
          <t>TIDP-M</t>
        </is>
      </c>
      <c r="C43" s="19">
        <f>COUNTIF(MIDP!$S:$S,$B43)</f>
        <v/>
      </c>
      <c r="D43" s="19">
        <f>COUNTIFS(MIDP!$S:$S,$B43,MIDP!$W:$W,"Complete")</f>
        <v/>
      </c>
      <c r="E43" s="19">
        <f>COUNTIFS(MIDP!$S:$S,$B43,MIDP!$W:$W,"Red")</f>
        <v/>
      </c>
      <c r="F43" s="19">
        <f>COUNTIFS(MIDP!$S:$S,$B43,MIDP!$W:$W,"Amber")</f>
        <v/>
      </c>
      <c r="G43" s="19">
        <f>C43-D43</f>
        <v/>
      </c>
    </row>
    <row r="44">
      <c r="B44" s="18" t="inlineStr">
        <is>
          <t>TIDP-E</t>
        </is>
      </c>
      <c r="C44" s="19">
        <f>COUNTIF(MIDP!$S:$S,$B44)</f>
        <v/>
      </c>
      <c r="D44" s="19">
        <f>COUNTIFS(MIDP!$S:$S,$B44,MIDP!$W:$W,"Complete")</f>
        <v/>
      </c>
      <c r="E44" s="19">
        <f>COUNTIFS(MIDP!$S:$S,$B44,MIDP!$W:$W,"Red")</f>
        <v/>
      </c>
      <c r="F44" s="19">
        <f>COUNTIFS(MIDP!$S:$S,$B44,MIDP!$W:$W,"Amber")</f>
        <v/>
      </c>
      <c r="G44" s="19">
        <f>C44-D44</f>
        <v/>
      </c>
    </row>
    <row r="45">
      <c r="B45" s="18" t="inlineStr">
        <is>
          <t>TIDP-P</t>
        </is>
      </c>
      <c r="C45" s="19">
        <f>COUNTIF(MIDP!$S:$S,$B45)</f>
        <v/>
      </c>
      <c r="D45" s="19">
        <f>COUNTIFS(MIDP!$S:$S,$B45,MIDP!$W:$W,"Complete")</f>
        <v/>
      </c>
      <c r="E45" s="19">
        <f>COUNTIFS(MIDP!$S:$S,$B45,MIDP!$W:$W,"Red")</f>
        <v/>
      </c>
      <c r="F45" s="19">
        <f>COUNTIFS(MIDP!$S:$S,$B45,MIDP!$W:$W,"Amber")</f>
        <v/>
      </c>
      <c r="G45" s="19">
        <f>C45-D45</f>
        <v/>
      </c>
    </row>
    <row r="46">
      <c r="B46" s="18" t="inlineStr">
        <is>
          <t>TIDP-Y-FP</t>
        </is>
      </c>
      <c r="C46" s="19">
        <f>COUNTIF(MIDP!$S:$S,$B46)</f>
        <v/>
      </c>
      <c r="D46" s="19">
        <f>COUNTIFS(MIDP!$S:$S,$B46,MIDP!$W:$W,"Complete")</f>
        <v/>
      </c>
      <c r="E46" s="19">
        <f>COUNTIFS(MIDP!$S:$S,$B46,MIDP!$W:$W,"Red")</f>
        <v/>
      </c>
      <c r="F46" s="19">
        <f>COUNTIFS(MIDP!$S:$S,$B46,MIDP!$W:$W,"Amber")</f>
        <v/>
      </c>
      <c r="G46" s="19">
        <f>C46-D46</f>
        <v/>
      </c>
    </row>
    <row r="47">
      <c r="B47" s="18" t="inlineStr">
        <is>
          <t>TIDP-Y-LV</t>
        </is>
      </c>
      <c r="C47" s="19">
        <f>COUNTIF(MIDP!$S:$S,$B47)</f>
        <v/>
      </c>
      <c r="D47" s="19">
        <f>COUNTIFS(MIDP!$S:$S,$B47,MIDP!$W:$W,"Complete")</f>
        <v/>
      </c>
      <c r="E47" s="19">
        <f>COUNTIFS(MIDP!$S:$S,$B47,MIDP!$W:$W,"Red")</f>
        <v/>
      </c>
      <c r="F47" s="19">
        <f>COUNTIFS(MIDP!$S:$S,$B47,MIDP!$W:$W,"Amber")</f>
        <v/>
      </c>
      <c r="G47" s="19">
        <f>C47-D47</f>
        <v/>
      </c>
    </row>
    <row r="48">
      <c r="B48" s="18" t="inlineStr">
        <is>
          <t>TIDP-C</t>
        </is>
      </c>
      <c r="C48" s="19">
        <f>COUNTIF(MIDP!$S:$S,$B48)</f>
        <v/>
      </c>
      <c r="D48" s="19">
        <f>COUNTIFS(MIDP!$S:$S,$B48,MIDP!$W:$W,"Complete")</f>
        <v/>
      </c>
      <c r="E48" s="19">
        <f>COUNTIFS(MIDP!$S:$S,$B48,MIDP!$W:$W,"Red")</f>
        <v/>
      </c>
      <c r="F48" s="19">
        <f>COUNTIFS(MIDP!$S:$S,$B48,MIDP!$W:$W,"Amber")</f>
        <v/>
      </c>
      <c r="G48" s="19">
        <f>C48-D48</f>
        <v/>
      </c>
    </row>
    <row r="49">
      <c r="B49" s="18" t="inlineStr">
        <is>
          <t>TIDP-Q</t>
        </is>
      </c>
      <c r="C49" s="19">
        <f>COUNTIF(MIDP!$S:$S,$B49)</f>
        <v/>
      </c>
      <c r="D49" s="19">
        <f>COUNTIFS(MIDP!$S:$S,$B49,MIDP!$W:$W,"Complete")</f>
        <v/>
      </c>
      <c r="E49" s="19">
        <f>COUNTIFS(MIDP!$S:$S,$B49,MIDP!$W:$W,"Red")</f>
        <v/>
      </c>
      <c r="F49" s="19">
        <f>COUNTIFS(MIDP!$S:$S,$B49,MIDP!$W:$W,"Amber")</f>
        <v/>
      </c>
      <c r="G49" s="19">
        <f>C49-D49</f>
        <v/>
      </c>
    </row>
    <row r="50">
      <c r="B50" s="18" t="inlineStr">
        <is>
          <t>TIDP-I</t>
        </is>
      </c>
      <c r="C50" s="19">
        <f>COUNTIF(MIDP!$S:$S,$B50)</f>
        <v/>
      </c>
      <c r="D50" s="19">
        <f>COUNTIFS(MIDP!$S:$S,$B50,MIDP!$W:$W,"Complete")</f>
        <v/>
      </c>
      <c r="E50" s="19">
        <f>COUNTIFS(MIDP!$S:$S,$B50,MIDP!$W:$W,"Red")</f>
        <v/>
      </c>
      <c r="F50" s="19">
        <f>COUNTIFS(MIDP!$S:$S,$B50,MIDP!$W:$W,"Amber")</f>
        <v/>
      </c>
      <c r="G50" s="19">
        <f>C50-D50</f>
        <v/>
      </c>
    </row>
    <row r="51">
      <c r="B51" s="18" t="inlineStr">
        <is>
          <t>TIDP-W</t>
        </is>
      </c>
      <c r="C51" s="19">
        <f>COUNTIF(MIDP!$S:$S,$B51)</f>
        <v/>
      </c>
      <c r="D51" s="19">
        <f>COUNTIFS(MIDP!$S:$S,$B51,MIDP!$W:$W,"Complete")</f>
        <v/>
      </c>
      <c r="E51" s="19">
        <f>COUNTIFS(MIDP!$S:$S,$B51,MIDP!$W:$W,"Red")</f>
        <v/>
      </c>
      <c r="F51" s="19">
        <f>COUNTIFS(MIDP!$S:$S,$B51,MIDP!$W:$W,"Amber")</f>
        <v/>
      </c>
      <c r="G51" s="19">
        <f>C51-D51</f>
        <v/>
      </c>
    </row>
    <row r="52">
      <c r="B52" s="18" t="inlineStr">
        <is>
          <t>TIDP-ALL</t>
        </is>
      </c>
      <c r="C52" s="19">
        <f>COUNTIF(MIDP!$S:$S,$B52)</f>
        <v/>
      </c>
      <c r="D52" s="19">
        <f>COUNTIFS(MIDP!$S:$S,$B52,MIDP!$W:$W,"Complete")</f>
        <v/>
      </c>
      <c r="E52" s="19">
        <f>COUNTIFS(MIDP!$S:$S,$B52,MIDP!$W:$W,"Red")</f>
        <v/>
      </c>
      <c r="F52" s="19">
        <f>COUNTIFS(MIDP!$S:$S,$B52,MIDP!$W:$W,"Amber")</f>
        <v/>
      </c>
      <c r="G52" s="19">
        <f>C52-D52</f>
        <v/>
      </c>
    </row>
    <row r="53">
      <c r="B53" s="21" t="inlineStr">
        <is>
          <t>Total</t>
        </is>
      </c>
      <c r="C53" s="23">
        <f>SUM(C40:C52)</f>
        <v/>
      </c>
      <c r="D53" s="23">
        <f>SUM(D40:D52)</f>
        <v/>
      </c>
      <c r="E53" s="23">
        <f>SUM(E40:E52)</f>
        <v/>
      </c>
      <c r="F53" s="23">
        <f>SUM(F40:F52)</f>
        <v/>
      </c>
      <c r="G53" s="23">
        <f>SUM(G40:G52)</f>
        <v/>
      </c>
    </row>
    <row r="56">
      <c r="B56" s="6" t="inlineStr">
        <is>
          <t>Deliverable classes</t>
        </is>
      </c>
    </row>
    <row r="57" ht="30" customHeight="1">
      <c r="A57" s="17" t="n"/>
      <c r="B57" s="17" t="inlineStr">
        <is>
          <t>Class</t>
        </is>
      </c>
      <c r="C57" s="17" t="inlineStr">
        <is>
          <t>Deliverables</t>
        </is>
      </c>
    </row>
    <row r="58">
      <c r="B58" s="18" t="inlineStr">
        <is>
          <t>On the critical path</t>
        </is>
      </c>
      <c r="C58" s="19">
        <f>COUNTIF(MIDP!$T:$T,"Y")</f>
        <v/>
      </c>
    </row>
    <row r="59">
      <c r="B59" s="18" t="inlineStr">
        <is>
          <t>Feeding the as-built model</t>
        </is>
      </c>
      <c r="C59" s="19">
        <f>COUNTIF(MIDP!$U:$U,"Y")</f>
        <v/>
      </c>
    </row>
    <row r="60">
      <c r="B60" s="18" t="inlineStr">
        <is>
          <t>Feeding the O&amp;M / asset data pack</t>
        </is>
      </c>
      <c r="C60" s="19">
        <f>COUNTIF(MIDP!$V:$V,"Y")</f>
        <v/>
      </c>
    </row>
  </sheetData>
  <hyperlinks>
    <hyperlink xmlns:r="http://schemas.openxmlformats.org/officeDocument/2006/relationships" ref="A1" r:id="rId1"/>
  </hyperlinks>
  <pageMargins left="0.75" right="0.75" top="1" bottom="1" header="0.5" footer="0.5"/>
  <pageSetup orientation="portrait" fitToWidth="1"/>
  <headerFooter>
    <oddHeader>&amp;L&amp;"Calibri,Bold"&amp;9KAMPALA UGANDA TEMPLE&amp;C&amp;"Calibri,Bold"&amp;9&amp;A&amp;R&amp;9KUT-SMB-ZZ-ZZ-SH-Z-0001   Rev P01</oddHeader>
    <oddFooter>&amp;L&amp;9&amp;KC00000DRAFT - not issued (S0, work in progress)&amp;C&amp;8Symbion Consulting Group Studios - Information Manager&amp;R&amp;9&amp;A   Page &amp;P of &amp;N</oddFooter>
    <evenHeader/>
    <evenFooter/>
    <firstHeader/>
    <firstFooter/>
  </headerFooter>
</worksheet>
</file>

<file path=xl/worksheets/sheet18.xml><?xml version="1.0" encoding="utf-8"?>
<worksheet xmlns="http://schemas.openxmlformats.org/spreadsheetml/2006/main">
  <sheetPr>
    <tabColor rgb="002E7D32"/>
    <outlinePr summaryBelow="1" summaryRight="1"/>
    <pageSetUpPr fitToPage="1"/>
  </sheetPr>
  <dimension ref="A1:F51"/>
  <sheetViews>
    <sheetView showGridLines="0" workbookViewId="0">
      <pane ySplit="6" topLeftCell="A7" activePane="bottomLeft" state="frozen"/>
      <selection pane="bottomLeft" activeCell="A1" sqref="A1"/>
    </sheetView>
  </sheetViews>
  <sheetFormatPr baseColWidth="8" defaultRowHeight="15"/>
  <cols>
    <col width="3" customWidth="1" min="1" max="1"/>
    <col width="10" customWidth="1" min="2" max="2"/>
    <col width="30" customWidth="1" min="3" max="3"/>
    <col width="16" customWidth="1" min="4" max="4"/>
    <col width="10" customWidth="1" min="5" max="5"/>
    <col width="58" customWidth="1" min="6" max="6"/>
  </cols>
  <sheetData>
    <row r="1">
      <c r="A1" s="13" t="inlineStr">
        <is>
          <t>&lt; Cover</t>
        </is>
      </c>
    </row>
    <row r="2">
      <c r="B2" s="14" t="inlineStr">
        <is>
          <t>Planned drawing schedule</t>
        </is>
      </c>
    </row>
    <row r="3">
      <c r="B3" s="16" t="inlineStr">
        <is>
          <t>Indicative sheet counts by volume and role, carried forward from the June information delivery plan. Confirmed against each Task Information Delivery Plan at mobilisation and rebaselined at Deliverable B.</t>
        </is>
      </c>
    </row>
    <row r="4"/>
    <row r="6" ht="30" customHeight="1">
      <c r="A6" s="17" t="n"/>
      <c r="B6" s="17" t="inlineStr">
        <is>
          <t>Volume</t>
        </is>
      </c>
      <c r="C6" s="17" t="inlineStr">
        <is>
          <t>Building</t>
        </is>
      </c>
      <c r="D6" s="17" t="inlineStr">
        <is>
          <t>Role</t>
        </is>
      </c>
      <c r="E6" s="17" t="inlineStr">
        <is>
          <t>Sheets</t>
        </is>
      </c>
      <c r="F6" s="17" t="inlineStr">
        <is>
          <t>Content</t>
        </is>
      </c>
    </row>
    <row r="7">
      <c r="B7" s="29" t="inlineStr">
        <is>
          <t>01</t>
        </is>
      </c>
      <c r="C7" s="30" t="inlineStr">
        <is>
          <t>Temple (2,449 m²)</t>
        </is>
      </c>
      <c r="D7" s="30" t="inlineStr">
        <is>
          <t>A</t>
        </is>
      </c>
      <c r="E7" s="29" t="n">
        <v>28</v>
      </c>
      <c r="F7" s="31" t="inlineStr">
        <is>
          <t>GA plans, RCPs, elevations, sections, details, door/window schedules</t>
        </is>
      </c>
    </row>
    <row r="8">
      <c r="B8" s="29" t="inlineStr">
        <is>
          <t>01</t>
        </is>
      </c>
      <c r="C8" s="30" t="inlineStr">
        <is>
          <t>Temple (2,449 m²)</t>
        </is>
      </c>
      <c r="D8" s="30" t="inlineStr">
        <is>
          <t>S</t>
        </is>
      </c>
      <c r="E8" s="29" t="n">
        <v>17</v>
      </c>
      <c r="F8" s="31" t="inlineStr">
        <is>
          <t>Foundations, framing plans, sections, details, schedules</t>
        </is>
      </c>
    </row>
    <row r="9">
      <c r="B9" s="29" t="inlineStr">
        <is>
          <t>01</t>
        </is>
      </c>
      <c r="C9" s="30" t="inlineStr">
        <is>
          <t>Temple (2,449 m²)</t>
        </is>
      </c>
      <c r="D9" s="30" t="inlineStr">
        <is>
          <t>M</t>
        </is>
      </c>
      <c r="E9" s="29" t="n">
        <v>14</v>
      </c>
      <c r="F9" s="31" t="inlineStr">
        <is>
          <t>HVAC plans, schematics, equipment schedules, details</t>
        </is>
      </c>
    </row>
    <row r="10">
      <c r="B10" s="29" t="inlineStr">
        <is>
          <t>01</t>
        </is>
      </c>
      <c r="C10" s="30" t="inlineStr">
        <is>
          <t>Temple (2,449 m²)</t>
        </is>
      </c>
      <c r="D10" s="30" t="inlineStr">
        <is>
          <t>E</t>
        </is>
      </c>
      <c r="E10" s="29" t="n">
        <v>24</v>
      </c>
      <c r="F10" s="31" t="inlineStr">
        <is>
          <t>Power, lighting (17 + 7 lighting sheets), single-line, panel schedules, details</t>
        </is>
      </c>
    </row>
    <row r="11">
      <c r="B11" s="29" t="inlineStr">
        <is>
          <t>01</t>
        </is>
      </c>
      <c r="C11" s="30" t="inlineStr">
        <is>
          <t>Temple (2,449 m²)</t>
        </is>
      </c>
      <c r="D11" s="30" t="inlineStr">
        <is>
          <t>P</t>
        </is>
      </c>
      <c r="E11" s="29" t="n">
        <v>11</v>
      </c>
      <c r="F11" s="31" t="inlineStr">
        <is>
          <t>Water, drainage, schematics, details</t>
        </is>
      </c>
    </row>
    <row r="12">
      <c r="B12" s="29" t="inlineStr">
        <is>
          <t>01</t>
        </is>
      </c>
      <c r="C12" s="30" t="inlineStr">
        <is>
          <t>Temple (2,449 m²)</t>
        </is>
      </c>
      <c r="D12" s="30" t="inlineStr">
        <is>
          <t>FP</t>
        </is>
      </c>
      <c r="E12" s="29" t="n">
        <v>6</v>
      </c>
      <c r="F12" s="31" t="inlineStr">
        <is>
          <t>Fire strategy, sprinkler and detection layout</t>
        </is>
      </c>
    </row>
    <row r="13">
      <c r="B13" s="29" t="inlineStr">
        <is>
          <t>01</t>
        </is>
      </c>
      <c r="C13" s="30" t="inlineStr">
        <is>
          <t>Temple (2,449 m²)</t>
        </is>
      </c>
      <c r="D13" s="30" t="inlineStr">
        <is>
          <t>A (interiors)</t>
        </is>
      </c>
      <c r="E13" s="29" t="n">
        <v>8</v>
      </c>
      <c r="F13" s="31" t="inlineStr">
        <is>
          <t>FF&amp;E layouts, finishes, joinery</t>
        </is>
      </c>
    </row>
    <row r="14">
      <c r="B14" s="29" t="inlineStr">
        <is>
          <t>02</t>
        </is>
      </c>
      <c r="C14" s="30" t="inlineStr">
        <is>
          <t>Meetinghouse (1,312 m²)</t>
        </is>
      </c>
      <c r="D14" s="30" t="inlineStr">
        <is>
          <t>A</t>
        </is>
      </c>
      <c r="E14" s="29" t="n">
        <v>20</v>
      </c>
      <c r="F14" s="31" t="inlineStr">
        <is>
          <t>GA plans, RCPs, elevations, sections, details, door/window schedules</t>
        </is>
      </c>
    </row>
    <row r="15">
      <c r="B15" s="29" t="inlineStr">
        <is>
          <t>02</t>
        </is>
      </c>
      <c r="C15" s="30" t="inlineStr">
        <is>
          <t>Meetinghouse (1,312 m²)</t>
        </is>
      </c>
      <c r="D15" s="30" t="inlineStr">
        <is>
          <t>S</t>
        </is>
      </c>
      <c r="E15" s="29" t="n">
        <v>12</v>
      </c>
      <c r="F15" s="31" t="inlineStr">
        <is>
          <t>Foundations, framing plans, sections, details, schedules</t>
        </is>
      </c>
    </row>
    <row r="16">
      <c r="B16" s="29" t="inlineStr">
        <is>
          <t>02</t>
        </is>
      </c>
      <c r="C16" s="30" t="inlineStr">
        <is>
          <t>Meetinghouse (1,312 m²)</t>
        </is>
      </c>
      <c r="D16" s="30" t="inlineStr">
        <is>
          <t>M</t>
        </is>
      </c>
      <c r="E16" s="29" t="n">
        <v>10</v>
      </c>
      <c r="F16" s="31" t="inlineStr">
        <is>
          <t>HVAC plans, schematics, equipment schedules, details</t>
        </is>
      </c>
    </row>
    <row r="17">
      <c r="B17" s="29" t="inlineStr">
        <is>
          <t>02</t>
        </is>
      </c>
      <c r="C17" s="30" t="inlineStr">
        <is>
          <t>Meetinghouse (1,312 m²)</t>
        </is>
      </c>
      <c r="D17" s="30" t="inlineStr">
        <is>
          <t>E</t>
        </is>
      </c>
      <c r="E17" s="29" t="n">
        <v>17</v>
      </c>
      <c r="F17" s="31" t="inlineStr">
        <is>
          <t>Power, lighting (12 + 5), single-line, panel schedules, details</t>
        </is>
      </c>
    </row>
    <row r="18">
      <c r="B18" s="29" t="inlineStr">
        <is>
          <t>02</t>
        </is>
      </c>
      <c r="C18" s="30" t="inlineStr">
        <is>
          <t>Meetinghouse (1,312 m²)</t>
        </is>
      </c>
      <c r="D18" s="30" t="inlineStr">
        <is>
          <t>P</t>
        </is>
      </c>
      <c r="E18" s="29" t="n">
        <v>8</v>
      </c>
      <c r="F18" s="31" t="inlineStr">
        <is>
          <t>Water, drainage, schematics, details</t>
        </is>
      </c>
    </row>
    <row r="19">
      <c r="B19" s="29" t="inlineStr">
        <is>
          <t>02</t>
        </is>
      </c>
      <c r="C19" s="30" t="inlineStr">
        <is>
          <t>Meetinghouse (1,312 m²)</t>
        </is>
      </c>
      <c r="D19" s="30" t="inlineStr">
        <is>
          <t>FP</t>
        </is>
      </c>
      <c r="E19" s="29" t="n">
        <v>4</v>
      </c>
      <c r="F19" s="31" t="inlineStr">
        <is>
          <t>Fire strategy, sprinkler and detection layout</t>
        </is>
      </c>
    </row>
    <row r="20">
      <c r="B20" s="29" t="inlineStr">
        <is>
          <t>02</t>
        </is>
      </c>
      <c r="C20" s="30" t="inlineStr">
        <is>
          <t>Meetinghouse (1,312 m²)</t>
        </is>
      </c>
      <c r="D20" s="30" t="inlineStr">
        <is>
          <t>A (interiors)</t>
        </is>
      </c>
      <c r="E20" s="29" t="n">
        <v>6</v>
      </c>
      <c r="F20" s="31" t="inlineStr">
        <is>
          <t>FF&amp;E layouts, finishes, joinery</t>
        </is>
      </c>
    </row>
    <row r="21">
      <c r="B21" s="29" t="inlineStr">
        <is>
          <t>03</t>
        </is>
      </c>
      <c r="C21" s="30" t="inlineStr">
        <is>
          <t>Housing / ancillary (2,554 m²)</t>
        </is>
      </c>
      <c r="D21" s="30" t="inlineStr">
        <is>
          <t>A</t>
        </is>
      </c>
      <c r="E21" s="29" t="n">
        <v>24</v>
      </c>
      <c r="F21" s="31" t="inlineStr">
        <is>
          <t>GA plans, RCPs, elevations, sections, details, door/window schedules</t>
        </is>
      </c>
    </row>
    <row r="22">
      <c r="B22" s="29" t="inlineStr">
        <is>
          <t>03</t>
        </is>
      </c>
      <c r="C22" s="30" t="inlineStr">
        <is>
          <t>Housing / ancillary (2,554 m²)</t>
        </is>
      </c>
      <c r="D22" s="30" t="inlineStr">
        <is>
          <t>S</t>
        </is>
      </c>
      <c r="E22" s="29" t="n">
        <v>14</v>
      </c>
      <c r="F22" s="31" t="inlineStr">
        <is>
          <t>Foundations, framing plans, sections, details, schedules</t>
        </is>
      </c>
    </row>
    <row r="23">
      <c r="B23" s="29" t="inlineStr">
        <is>
          <t>03</t>
        </is>
      </c>
      <c r="C23" s="30" t="inlineStr">
        <is>
          <t>Housing / ancillary (2,554 m²)</t>
        </is>
      </c>
      <c r="D23" s="30" t="inlineStr">
        <is>
          <t>M</t>
        </is>
      </c>
      <c r="E23" s="29" t="n">
        <v>12</v>
      </c>
      <c r="F23" s="31" t="inlineStr">
        <is>
          <t>HVAC plans, schematics, equipment schedules, details</t>
        </is>
      </c>
    </row>
    <row r="24">
      <c r="B24" s="29" t="inlineStr">
        <is>
          <t>03</t>
        </is>
      </c>
      <c r="C24" s="30" t="inlineStr">
        <is>
          <t>Housing / ancillary (2,554 m²)</t>
        </is>
      </c>
      <c r="D24" s="30" t="inlineStr">
        <is>
          <t>E</t>
        </is>
      </c>
      <c r="E24" s="29" t="n">
        <v>20</v>
      </c>
      <c r="F24" s="31" t="inlineStr">
        <is>
          <t>Power, lighting (14 + 6), single-line, panel schedules, details</t>
        </is>
      </c>
    </row>
    <row r="25">
      <c r="B25" s="29" t="inlineStr">
        <is>
          <t>03</t>
        </is>
      </c>
      <c r="C25" s="30" t="inlineStr">
        <is>
          <t>Housing / ancillary (2,554 m²)</t>
        </is>
      </c>
      <c r="D25" s="30" t="inlineStr">
        <is>
          <t>P</t>
        </is>
      </c>
      <c r="E25" s="29" t="n">
        <v>10</v>
      </c>
      <c r="F25" s="31" t="inlineStr">
        <is>
          <t>Water, drainage, schematics, details</t>
        </is>
      </c>
    </row>
    <row r="26">
      <c r="B26" s="29" t="inlineStr">
        <is>
          <t>03</t>
        </is>
      </c>
      <c r="C26" s="30" t="inlineStr">
        <is>
          <t>Housing / ancillary (2,554 m²)</t>
        </is>
      </c>
      <c r="D26" s="30" t="inlineStr">
        <is>
          <t>FP</t>
        </is>
      </c>
      <c r="E26" s="29" t="n">
        <v>5</v>
      </c>
      <c r="F26" s="31" t="inlineStr">
        <is>
          <t>Fire strategy, sprinkler and detection layout</t>
        </is>
      </c>
    </row>
    <row r="27">
      <c r="B27" s="29" t="inlineStr">
        <is>
          <t>03</t>
        </is>
      </c>
      <c r="C27" s="30" t="inlineStr">
        <is>
          <t>Housing / ancillary (2,554 m²)</t>
        </is>
      </c>
      <c r="D27" s="30" t="inlineStr">
        <is>
          <t>A (interiors)</t>
        </is>
      </c>
      <c r="E27" s="29" t="n">
        <v>7</v>
      </c>
      <c r="F27" s="31" t="inlineStr">
        <is>
          <t>FF&amp;E layouts, finishes, joinery</t>
        </is>
      </c>
    </row>
    <row r="28">
      <c r="B28" s="29" t="inlineStr">
        <is>
          <t>04</t>
        </is>
      </c>
      <c r="C28" s="30" t="inlineStr">
        <is>
          <t>Grounds building (93 m²)</t>
        </is>
      </c>
      <c r="D28" s="30" t="inlineStr">
        <is>
          <t>A</t>
        </is>
      </c>
      <c r="E28" s="29" t="n">
        <v>7</v>
      </c>
      <c r="F28" s="31" t="inlineStr">
        <is>
          <t>GA plans, RCPs, elevations, sections, details</t>
        </is>
      </c>
    </row>
    <row r="29">
      <c r="B29" s="29" t="inlineStr">
        <is>
          <t>04</t>
        </is>
      </c>
      <c r="C29" s="30" t="inlineStr">
        <is>
          <t>Grounds building (93 m²)</t>
        </is>
      </c>
      <c r="D29" s="30" t="inlineStr">
        <is>
          <t>S</t>
        </is>
      </c>
      <c r="E29" s="29" t="n">
        <v>4</v>
      </c>
      <c r="F29" s="31" t="inlineStr">
        <is>
          <t>Foundations, framing, sections, details</t>
        </is>
      </c>
    </row>
    <row r="30">
      <c r="B30" s="29" t="inlineStr">
        <is>
          <t>04</t>
        </is>
      </c>
      <c r="C30" s="30" t="inlineStr">
        <is>
          <t>Grounds building (93 m²)</t>
        </is>
      </c>
      <c r="D30" s="30" t="inlineStr">
        <is>
          <t>M</t>
        </is>
      </c>
      <c r="E30" s="29" t="n">
        <v>4</v>
      </c>
      <c r="F30" s="31" t="inlineStr">
        <is>
          <t>HVAC plans, schematics, details</t>
        </is>
      </c>
    </row>
    <row r="31">
      <c r="B31" s="29" t="inlineStr">
        <is>
          <t>04</t>
        </is>
      </c>
      <c r="C31" s="30" t="inlineStr">
        <is>
          <t>Grounds building (93 m²)</t>
        </is>
      </c>
      <c r="D31" s="30" t="inlineStr">
        <is>
          <t>E</t>
        </is>
      </c>
      <c r="E31" s="29" t="n">
        <v>4</v>
      </c>
      <c r="F31" s="31" t="inlineStr">
        <is>
          <t>Power, lighting, single-line, details</t>
        </is>
      </c>
    </row>
    <row r="32">
      <c r="B32" s="29" t="inlineStr">
        <is>
          <t>04</t>
        </is>
      </c>
      <c r="C32" s="30" t="inlineStr">
        <is>
          <t>Grounds building (93 m²)</t>
        </is>
      </c>
      <c r="D32" s="30" t="inlineStr">
        <is>
          <t>P</t>
        </is>
      </c>
      <c r="E32" s="29" t="n">
        <v>3</v>
      </c>
      <c r="F32" s="31" t="inlineStr">
        <is>
          <t>Water, drainage, details</t>
        </is>
      </c>
    </row>
    <row r="33">
      <c r="B33" s="29" t="inlineStr">
        <is>
          <t>05</t>
        </is>
      </c>
      <c r="C33" s="30" t="inlineStr">
        <is>
          <t>Utility building (166 m²)</t>
        </is>
      </c>
      <c r="D33" s="30" t="inlineStr">
        <is>
          <t>A</t>
        </is>
      </c>
      <c r="E33" s="29" t="n">
        <v>9</v>
      </c>
      <c r="F33" s="31" t="inlineStr">
        <is>
          <t>GA plans, RCPs, elevations, sections, details</t>
        </is>
      </c>
    </row>
    <row r="34">
      <c r="B34" s="29" t="inlineStr">
        <is>
          <t>05</t>
        </is>
      </c>
      <c r="C34" s="30" t="inlineStr">
        <is>
          <t>Utility building (166 m²)</t>
        </is>
      </c>
      <c r="D34" s="30" t="inlineStr">
        <is>
          <t>S</t>
        </is>
      </c>
      <c r="E34" s="29" t="n">
        <v>5</v>
      </c>
      <c r="F34" s="31" t="inlineStr">
        <is>
          <t>Foundations, framing, sections, details</t>
        </is>
      </c>
    </row>
    <row r="35">
      <c r="B35" s="29" t="inlineStr">
        <is>
          <t>05</t>
        </is>
      </c>
      <c r="C35" s="30" t="inlineStr">
        <is>
          <t>Utility building (166 m²)</t>
        </is>
      </c>
      <c r="D35" s="30" t="inlineStr">
        <is>
          <t>M</t>
        </is>
      </c>
      <c r="E35" s="29" t="n">
        <v>4</v>
      </c>
      <c r="F35" s="31" t="inlineStr">
        <is>
          <t>HVAC plans, schematics, details</t>
        </is>
      </c>
    </row>
    <row r="36">
      <c r="B36" s="29" t="inlineStr">
        <is>
          <t>05</t>
        </is>
      </c>
      <c r="C36" s="30" t="inlineStr">
        <is>
          <t>Utility building (166 m²)</t>
        </is>
      </c>
      <c r="D36" s="30" t="inlineStr">
        <is>
          <t>E</t>
        </is>
      </c>
      <c r="E36" s="29" t="n">
        <v>7</v>
      </c>
      <c r="F36" s="31" t="inlineStr">
        <is>
          <t>Power, lighting (5 + 2), single-line, details</t>
        </is>
      </c>
    </row>
    <row r="37">
      <c r="B37" s="29" t="inlineStr">
        <is>
          <t>05</t>
        </is>
      </c>
      <c r="C37" s="30" t="inlineStr">
        <is>
          <t>Utility building (166 m²)</t>
        </is>
      </c>
      <c r="D37" s="30" t="inlineStr">
        <is>
          <t>P</t>
        </is>
      </c>
      <c r="E37" s="29" t="n">
        <v>4</v>
      </c>
      <c r="F37" s="31" t="inlineStr">
        <is>
          <t>Water, drainage, details</t>
        </is>
      </c>
    </row>
    <row r="38">
      <c r="B38" s="29" t="inlineStr">
        <is>
          <t>05</t>
        </is>
      </c>
      <c r="C38" s="30" t="inlineStr">
        <is>
          <t>Utility building (166 m²)</t>
        </is>
      </c>
      <c r="D38" s="30" t="inlineStr">
        <is>
          <t>FP</t>
        </is>
      </c>
      <c r="E38" s="29" t="n">
        <v>2</v>
      </c>
      <c r="F38" s="31" t="inlineStr">
        <is>
          <t>Fire strategy, sprinkler and detection layout</t>
        </is>
      </c>
    </row>
    <row r="39">
      <c r="B39" s="29" t="inlineStr">
        <is>
          <t>05</t>
        </is>
      </c>
      <c r="C39" s="30" t="inlineStr">
        <is>
          <t>Utility building (166 m²)</t>
        </is>
      </c>
      <c r="D39" s="30" t="inlineStr">
        <is>
          <t>A (interiors)</t>
        </is>
      </c>
      <c r="E39" s="29" t="n">
        <v>3</v>
      </c>
      <c r="F39" s="31" t="inlineStr">
        <is>
          <t>FF&amp;E layouts, finishes</t>
        </is>
      </c>
    </row>
    <row r="40">
      <c r="B40" s="29" t="inlineStr">
        <is>
          <t>06</t>
        </is>
      </c>
      <c r="C40" s="30" t="inlineStr">
        <is>
          <t>Guard house (23 m²)</t>
        </is>
      </c>
      <c r="D40" s="30" t="inlineStr">
        <is>
          <t>A</t>
        </is>
      </c>
      <c r="E40" s="29" t="n">
        <v>4</v>
      </c>
      <c r="F40" s="31" t="inlineStr">
        <is>
          <t>GA plans, elevations, sections, details</t>
        </is>
      </c>
    </row>
    <row r="41">
      <c r="B41" s="29" t="inlineStr">
        <is>
          <t>06</t>
        </is>
      </c>
      <c r="C41" s="30" t="inlineStr">
        <is>
          <t>Guard house (23 m²)</t>
        </is>
      </c>
      <c r="D41" s="30" t="inlineStr">
        <is>
          <t>S</t>
        </is>
      </c>
      <c r="E41" s="29" t="n">
        <v>2</v>
      </c>
      <c r="F41" s="31" t="inlineStr">
        <is>
          <t>Foundations, framing</t>
        </is>
      </c>
    </row>
    <row r="42">
      <c r="B42" s="29" t="inlineStr">
        <is>
          <t>06</t>
        </is>
      </c>
      <c r="C42" s="30" t="inlineStr">
        <is>
          <t>Guard house (23 m²)</t>
        </is>
      </c>
      <c r="D42" s="30" t="inlineStr">
        <is>
          <t>M</t>
        </is>
      </c>
      <c r="E42" s="29" t="n">
        <v>2</v>
      </c>
      <c r="F42" s="31" t="inlineStr">
        <is>
          <t>HVAC plan, details</t>
        </is>
      </c>
    </row>
    <row r="43">
      <c r="B43" s="29" t="inlineStr">
        <is>
          <t>06</t>
        </is>
      </c>
      <c r="C43" s="30" t="inlineStr">
        <is>
          <t>Guard house (23 m²)</t>
        </is>
      </c>
      <c r="D43" s="30" t="inlineStr">
        <is>
          <t>E</t>
        </is>
      </c>
      <c r="E43" s="29" t="n">
        <v>2</v>
      </c>
      <c r="F43" s="31" t="inlineStr">
        <is>
          <t>Power and lighting, single-line</t>
        </is>
      </c>
    </row>
    <row r="44">
      <c r="B44" s="29" t="inlineStr">
        <is>
          <t>06</t>
        </is>
      </c>
      <c r="C44" s="30" t="inlineStr">
        <is>
          <t>Guard house (23 m²)</t>
        </is>
      </c>
      <c r="D44" s="30" t="inlineStr">
        <is>
          <t>P</t>
        </is>
      </c>
      <c r="E44" s="29" t="n">
        <v>2</v>
      </c>
      <c r="F44" s="31" t="inlineStr">
        <is>
          <t>Water, drainage</t>
        </is>
      </c>
    </row>
    <row r="45">
      <c r="B45" s="29" t="inlineStr">
        <is>
          <t>00</t>
        </is>
      </c>
      <c r="C45" s="30" t="inlineStr">
        <is>
          <t>Site-wide / external works</t>
        </is>
      </c>
      <c r="D45" s="30" t="inlineStr">
        <is>
          <t>G</t>
        </is>
      </c>
      <c r="E45" s="29" t="n">
        <v>4</v>
      </c>
      <c r="F45" s="31" t="inlineStr">
        <is>
          <t>Grading and levels</t>
        </is>
      </c>
    </row>
    <row r="46">
      <c r="B46" s="29" t="inlineStr">
        <is>
          <t>00</t>
        </is>
      </c>
      <c r="C46" s="30" t="inlineStr">
        <is>
          <t>Site-wide / external works</t>
        </is>
      </c>
      <c r="D46" s="30" t="inlineStr">
        <is>
          <t>G</t>
        </is>
      </c>
      <c r="E46" s="29" t="n">
        <v>4</v>
      </c>
      <c r="F46" s="31" t="inlineStr">
        <is>
          <t>Drainage and stormwater</t>
        </is>
      </c>
    </row>
    <row r="47">
      <c r="B47" s="29" t="inlineStr">
        <is>
          <t>00</t>
        </is>
      </c>
      <c r="C47" s="30" t="inlineStr">
        <is>
          <t>Site-wide / external works</t>
        </is>
      </c>
      <c r="D47" s="30" t="inlineStr">
        <is>
          <t>G</t>
        </is>
      </c>
      <c r="E47" s="29" t="n">
        <v>3</v>
      </c>
      <c r="F47" s="31" t="inlineStr">
        <is>
          <t>Utilities and services</t>
        </is>
      </c>
    </row>
    <row r="48">
      <c r="B48" s="29" t="inlineStr">
        <is>
          <t>00</t>
        </is>
      </c>
      <c r="C48" s="30" t="inlineStr">
        <is>
          <t>Site-wide / external works</t>
        </is>
      </c>
      <c r="D48" s="30" t="inlineStr">
        <is>
          <t>G</t>
        </is>
      </c>
      <c r="E48" s="29" t="n">
        <v>2</v>
      </c>
      <c r="F48" s="31" t="inlineStr">
        <is>
          <t>Roads, paving and parking</t>
        </is>
      </c>
    </row>
    <row r="49">
      <c r="B49" s="29" t="inlineStr">
        <is>
          <t>00</t>
        </is>
      </c>
      <c r="C49" s="30" t="inlineStr">
        <is>
          <t>Site-wide / external works</t>
        </is>
      </c>
      <c r="D49" s="30" t="inlineStr">
        <is>
          <t>G</t>
        </is>
      </c>
      <c r="E49" s="29" t="n">
        <v>3</v>
      </c>
      <c r="F49" s="31" t="inlineStr">
        <is>
          <t>External works and landscape</t>
        </is>
      </c>
    </row>
    <row r="50">
      <c r="B50" s="29" t="inlineStr">
        <is>
          <t>00</t>
        </is>
      </c>
      <c r="C50" s="30" t="inlineStr">
        <is>
          <t>Site-wide / external works</t>
        </is>
      </c>
      <c r="D50" s="30" t="inlineStr">
        <is>
          <t>G</t>
        </is>
      </c>
      <c r="E50" s="29" t="n">
        <v>4</v>
      </c>
      <c r="F50" s="31" t="inlineStr">
        <is>
          <t>Civil details and sections</t>
        </is>
      </c>
    </row>
    <row r="51">
      <c r="B51" s="22" t="n"/>
      <c r="C51" s="21" t="inlineStr">
        <is>
          <t>Total sheets</t>
        </is>
      </c>
      <c r="D51" s="22" t="n"/>
      <c r="E51" s="23">
        <f>SUM(E7:E50)</f>
        <v/>
      </c>
      <c r="F51" s="22" t="n"/>
    </row>
  </sheetData>
  <autoFilter ref="B6:F50"/>
  <mergeCells count="1">
    <mergeCell ref="B3:F4"/>
  </mergeCells>
  <hyperlinks>
    <hyperlink xmlns:r="http://schemas.openxmlformats.org/officeDocument/2006/relationships" ref="A1" r:id="rId1"/>
  </hyperlinks>
  <pageMargins left="0.75" right="0.75" top="1" bottom="1" header="0.5" footer="0.5"/>
  <pageSetup orientation="landscape" fitToWidth="1"/>
  <headerFooter>
    <oddHeader>&amp;L&amp;"Calibri,Bold"&amp;9KAMPALA UGANDA TEMPLE&amp;C&amp;"Calibri,Bold"&amp;9&amp;A&amp;R&amp;9KUT-SMB-ZZ-ZZ-SH-Z-0001   Rev P01</oddHeader>
    <oddFooter>&amp;L&amp;9&amp;KC00000DRAFT - not issued (S0, work in progress)&amp;C&amp;8Symbion Consulting Group Studios - Information Manager&amp;R&amp;9&amp;A   Page &amp;P of &amp;N</oddFooter>
    <evenHeader/>
    <evenFooter/>
    <firstHeader/>
    <firstFooter/>
  </headerFooter>
</worksheet>
</file>

<file path=xl/worksheets/sheet19.xml><?xml version="1.0" encoding="utf-8"?>
<worksheet xmlns="http://schemas.openxmlformats.org/spreadsheetml/2006/main">
  <sheetPr>
    <tabColor rgb="007A7A7A"/>
    <outlinePr summaryBelow="1" summaryRight="1"/>
    <pageSetUpPr fitToPage="1"/>
  </sheetPr>
  <dimension ref="A1:E104"/>
  <sheetViews>
    <sheetView showGridLines="0" workbookViewId="0">
      <selection activeCell="A1" sqref="A1"/>
    </sheetView>
  </sheetViews>
  <sheetFormatPr baseColWidth="8" defaultRowHeight="15"/>
  <cols>
    <col width="3" customWidth="1" min="1" max="1"/>
    <col width="12" customWidth="1" min="2" max="2"/>
    <col width="12" customWidth="1" min="3" max="3"/>
    <col width="44" customWidth="1" min="4" max="4"/>
    <col width="62" customWidth="1" min="5" max="5"/>
  </cols>
  <sheetData>
    <row r="1">
      <c r="A1" s="13" t="inlineStr">
        <is>
          <t>&lt; Cover</t>
        </is>
      </c>
    </row>
    <row r="2">
      <c r="B2" s="14" t="inlineStr">
        <is>
          <t>Change log</t>
        </is>
      </c>
    </row>
    <row r="3">
      <c r="B3" s="16" t="inlineStr">
        <is>
          <t>What changed between the previous issue of this register and this one, and why. "Restored" rows were carried by the June plan and dropped by the August issue.</t>
        </is>
      </c>
    </row>
    <row r="4"/>
    <row r="6">
      <c r="B6" s="6" t="inlineStr">
        <is>
          <t>Counts</t>
        </is>
      </c>
    </row>
    <row r="7" ht="30" customHeight="1">
      <c r="A7" s="17" t="n"/>
      <c r="B7" s="17" t="inlineStr">
        <is>
          <t>Change</t>
        </is>
      </c>
      <c r="C7" s="17" t="inlineStr">
        <is>
          <t>Deliverables</t>
        </is>
      </c>
    </row>
    <row r="8">
      <c r="B8" s="18" t="inlineStr">
        <is>
          <t>Carried forward</t>
        </is>
      </c>
      <c r="C8" s="19" t="n">
        <v>78</v>
      </c>
    </row>
    <row r="9">
      <c r="B9" s="18" t="inlineStr">
        <is>
          <t>Restored</t>
        </is>
      </c>
      <c r="C9" s="19" t="n">
        <v>22</v>
      </c>
    </row>
    <row r="10">
      <c r="B10" s="18" t="inlineStr">
        <is>
          <t>Added</t>
        </is>
      </c>
      <c r="C10" s="19" t="n">
        <v>21</v>
      </c>
    </row>
    <row r="11">
      <c r="B11" s="21" t="inlineStr">
        <is>
          <t>Total</t>
        </is>
      </c>
      <c r="C11" s="23" t="n">
        <v>121</v>
      </c>
    </row>
    <row r="14">
      <c r="B14" s="6" t="inlineStr">
        <is>
          <t>Rows added or restored</t>
        </is>
      </c>
    </row>
    <row r="15" ht="30" customHeight="1">
      <c r="A15" s="17" t="n"/>
      <c r="B15" s="17" t="inlineStr">
        <is>
          <t>Ref</t>
        </is>
      </c>
      <c r="C15" s="17" t="inlineStr">
        <is>
          <t>Change</t>
        </is>
      </c>
      <c r="D15" s="17" t="inlineStr">
        <is>
          <t>Deliverable</t>
        </is>
      </c>
      <c r="E15" s="17" t="inlineStr">
        <is>
          <t>Reason</t>
        </is>
      </c>
    </row>
    <row r="16">
      <c r="B16" s="24" t="inlineStr">
        <is>
          <t>Z-000</t>
        </is>
      </c>
      <c r="C16" s="24" t="inlineStr">
        <is>
          <t>Carried forward</t>
        </is>
      </c>
      <c r="D16" s="26" t="inlineStr">
        <is>
          <t>BIM Execution Plan</t>
        </is>
      </c>
      <c r="E16" s="26" t="inlineStr">
        <is>
          <t>Reference KUT-SMB-ZZ-ZZ-RP-Z-0001 (I-01)</t>
        </is>
      </c>
    </row>
    <row r="17">
      <c r="B17" s="24" t="inlineStr">
        <is>
          <t>Z-001</t>
        </is>
      </c>
      <c r="C17" s="24" t="inlineStr">
        <is>
          <t>Carried forward</t>
        </is>
      </c>
      <c r="D17" s="26" t="inlineStr">
        <is>
          <t>Master Information Delivery Plan</t>
        </is>
      </c>
      <c r="E17" s="26" t="inlineStr">
        <is>
          <t>Type Document → Schedule; reference SH-Z-0001</t>
        </is>
      </c>
    </row>
    <row r="18">
      <c r="B18" s="24" t="inlineStr">
        <is>
          <t>Z-003</t>
        </is>
      </c>
      <c r="C18" s="24" t="inlineStr">
        <is>
          <t>Carried forward</t>
        </is>
      </c>
      <c r="D18" s="26" t="inlineStr">
        <is>
          <t>Responsibility matrix (RACI)</t>
        </is>
      </c>
      <c r="E18" s="26" t="inlineStr">
        <is>
          <t>June ref Z-002; reissued with P02 codes</t>
        </is>
      </c>
    </row>
    <row r="19">
      <c r="B19" s="24" t="inlineStr">
        <is>
          <t>Z-004</t>
        </is>
      </c>
      <c r="C19" s="24" t="inlineStr">
        <is>
          <t>Carried forward</t>
        </is>
      </c>
      <c r="D19" s="26" t="inlineStr">
        <is>
          <t>Project template, family library and title blocks</t>
        </is>
      </c>
      <c r="E19" s="26" t="inlineStr">
        <is>
          <t>June ref Z-006</t>
        </is>
      </c>
    </row>
    <row r="20">
      <c r="B20" s="24" t="inlineStr">
        <is>
          <t>Z-005</t>
        </is>
      </c>
      <c r="C20" s="24" t="inlineStr">
        <is>
          <t>Carried forward</t>
        </is>
      </c>
      <c r="D20" s="26" t="inlineStr">
        <is>
          <t>Originator code register</t>
        </is>
      </c>
      <c r="E20" s="26" t="inlineStr">
        <is>
          <t>Responsible: Appointing Party → Lead Appointed Party (B-02)</t>
        </is>
      </c>
    </row>
    <row r="21">
      <c r="B21" s="24" t="inlineStr">
        <is>
          <t>Z-007</t>
        </is>
      </c>
      <c r="C21" s="24" t="inlineStr">
        <is>
          <t>Carried forward</t>
        </is>
      </c>
      <c r="D21" s="26" t="inlineStr">
        <is>
          <t>Standards reconciliation schedule (BEP 4.1.3)</t>
        </is>
      </c>
      <c r="E21" s="26" t="inlineStr">
        <is>
          <t>End month set to M8: closed before Technical Design</t>
        </is>
      </c>
    </row>
    <row r="22">
      <c r="B22" s="24" t="inlineStr">
        <is>
          <t>Z-012</t>
        </is>
      </c>
      <c r="C22" s="24" t="inlineStr">
        <is>
          <t>Carried forward</t>
        </is>
      </c>
      <c r="D22" s="26" t="inlineStr">
        <is>
          <t>CDE folder structure and permission matrix</t>
        </is>
      </c>
      <c r="E22" s="26" t="inlineStr">
        <is>
          <t>June ref Z-005 "CDE setup"</t>
        </is>
      </c>
    </row>
    <row r="23">
      <c r="B23" s="24" t="inlineStr">
        <is>
          <t>Z-018</t>
        </is>
      </c>
      <c r="C23" s="24" t="inlineStr">
        <is>
          <t>Added</t>
        </is>
      </c>
      <c r="D23" s="26" t="inlineStr">
        <is>
          <t>Standards localisation note (Owner standards to Ugandan practice)</t>
        </is>
      </c>
      <c r="E23" s="26" t="inlineStr">
        <is>
          <t>Added from proposal 4.1 (BEP 4.1.4)</t>
        </is>
      </c>
    </row>
    <row r="24">
      <c r="B24" s="24" t="inlineStr">
        <is>
          <t>Z-019</t>
        </is>
      </c>
      <c r="C24" s="24" t="inlineStr">
        <is>
          <t>Added</t>
        </is>
      </c>
      <c r="D24" s="26" t="inlineStr">
        <is>
          <t>Stage 0 gate record (test model shared by every appointed party)</t>
        </is>
      </c>
      <c r="E24" s="26" t="inlineStr">
        <is>
          <t>Added (A-02): the Stage 0 exit gate had no date</t>
        </is>
      </c>
    </row>
    <row r="25">
      <c r="B25" s="24" t="inlineStr">
        <is>
          <t>Z-020</t>
        </is>
      </c>
      <c r="C25" s="24" t="inlineStr">
        <is>
          <t>Added</t>
        </is>
      </c>
      <c r="D25" s="26" t="inlineStr">
        <is>
          <t>Monthly BIM status report (design stage)</t>
        </is>
      </c>
      <c r="E25" s="26" t="inlineStr">
        <is>
          <t>Added (D-05): proposal 4.5 requires monthly reporting throughout; Aug MIDP started at M12</t>
        </is>
      </c>
    </row>
    <row r="26">
      <c r="B26" s="24" t="inlineStr">
        <is>
          <t>Z-021</t>
        </is>
      </c>
      <c r="C26" s="24" t="inlineStr">
        <is>
          <t>Restored</t>
        </is>
      </c>
      <c r="D26" s="26" t="inlineStr">
        <is>
          <t>Kickoff induction record and BEP acknowledgement</t>
        </is>
      </c>
      <c r="E26" s="26" t="inlineStr">
        <is>
          <t>June ref Z-007 "Kickoff training + signed BEP"; dropped in Aug</t>
        </is>
      </c>
    </row>
    <row r="27">
      <c r="B27" s="24" t="inlineStr">
        <is>
          <t>Z-022</t>
        </is>
      </c>
      <c r="C27" s="24" t="inlineStr">
        <is>
          <t>Added</t>
        </is>
      </c>
      <c r="D27" s="26" t="inlineStr">
        <is>
          <t>Document Control Standard (reissued to P02 codes)</t>
        </is>
      </c>
      <c r="E27" s="26" t="inlineStr">
        <is>
          <t>Added (I-02); June document RP-Z-0001 renumbered RP-Z-0003. Absorbs the separate numbering convention (June RP-Z-0004), which would have been a second copy of the naming rules</t>
        </is>
      </c>
    </row>
    <row r="28">
      <c r="B28" s="24" t="inlineStr">
        <is>
          <t>Z-024</t>
        </is>
      </c>
      <c r="C28" s="24" t="inlineStr">
        <is>
          <t>Restored</t>
        </is>
      </c>
      <c r="D28" s="26" t="inlineStr">
        <is>
          <t>Drawing register, transmittal and notice templates</t>
        </is>
      </c>
      <c r="E28" s="26" t="inlineStr">
        <is>
          <t>June templates carried; Uniclass column replaced by CSI section (E-05)</t>
        </is>
      </c>
    </row>
    <row r="29">
      <c r="B29" s="24" t="inlineStr">
        <is>
          <t>Z-010</t>
        </is>
      </c>
      <c r="C29" s="24" t="inlineStr">
        <is>
          <t>Carried forward</t>
        </is>
      </c>
      <c r="D29" s="26" t="inlineStr">
        <is>
          <t>Federated coordination model</t>
        </is>
      </c>
      <c r="E29" s="26" t="inlineStr">
        <is>
          <t>June ref Z-003</t>
        </is>
      </c>
    </row>
    <row r="30">
      <c r="B30" s="24" t="inlineStr">
        <is>
          <t>A-101</t>
        </is>
      </c>
      <c r="C30" s="24" t="inlineStr">
        <is>
          <t>Added</t>
        </is>
      </c>
      <c r="D30" s="26" t="inlineStr">
        <is>
          <t>Deliverable A drawing set</t>
        </is>
      </c>
      <c r="E30" s="26" t="inlineStr">
        <is>
          <t>Added: Playbook 6.1 lists a Deliverable A drawing set that no MIDP carried</t>
        </is>
      </c>
    </row>
    <row r="31">
      <c r="B31" s="24" t="inlineStr">
        <is>
          <t>G-100</t>
        </is>
      </c>
      <c r="C31" s="24" t="inlineStr">
        <is>
          <t>Carried forward</t>
        </is>
      </c>
      <c r="D31" s="26" t="inlineStr">
        <is>
          <t>Site model and levels</t>
        </is>
      </c>
      <c r="E31" s="26" t="inlineStr">
        <is>
          <t>Volume 00 (site-wide)</t>
        </is>
      </c>
    </row>
    <row r="32">
      <c r="B32" s="24" t="inlineStr">
        <is>
          <t>Z-112</t>
        </is>
      </c>
      <c r="C32" s="24" t="inlineStr">
        <is>
          <t>Carried forward</t>
        </is>
      </c>
      <c r="D32" s="26" t="inlineStr">
        <is>
          <t>Deliverable A gate pack and compliance report</t>
        </is>
      </c>
      <c r="E32" s="26" t="inlineStr">
        <is>
          <t>Compliance report named explicitly (proposal 2.1)</t>
        </is>
      </c>
    </row>
    <row r="33">
      <c r="B33" s="24" t="inlineStr">
        <is>
          <t>Z-113</t>
        </is>
      </c>
      <c r="C33" s="24" t="inlineStr">
        <is>
          <t>Added</t>
        </is>
      </c>
      <c r="D33" s="26" t="inlineStr">
        <is>
          <t>Deliverable A Owner review set and comment close-out report</t>
        </is>
      </c>
      <c r="E33" s="26" t="inlineStr">
        <is>
          <t>Added (D-05): bookmarked, hyperlinked review set; two-week Owner review</t>
        </is>
      </c>
    </row>
    <row r="34">
      <c r="B34" s="24" t="inlineStr">
        <is>
          <t>Z-114</t>
        </is>
      </c>
      <c r="C34" s="24" t="inlineStr">
        <is>
          <t>Added</t>
        </is>
      </c>
      <c r="D34" s="26" t="inlineStr">
        <is>
          <t>Baseline model-health report</t>
        </is>
      </c>
      <c r="E34" s="26" t="inlineStr">
        <is>
          <t>Added from proposal 4.1 (week 4 baseline audit)</t>
        </is>
      </c>
    </row>
    <row r="35">
      <c r="B35" s="24" t="inlineStr">
        <is>
          <t>A-202</t>
        </is>
      </c>
      <c r="C35" s="24" t="inlineStr">
        <is>
          <t>Carried forward</t>
        </is>
      </c>
      <c r="D35" s="26" t="inlineStr">
        <is>
          <t>Door and window schedules</t>
        </is>
      </c>
      <c r="E35" s="26" t="inlineStr">
        <is>
          <t>ISO type SH (schedule) → SC (B-04)</t>
        </is>
      </c>
    </row>
    <row r="36">
      <c r="B36" s="24" t="inlineStr">
        <is>
          <t>P-201</t>
        </is>
      </c>
      <c r="C36" s="24" t="inlineStr">
        <is>
          <t>Added</t>
        </is>
      </c>
      <c r="D36" s="26" t="inlineStr">
        <is>
          <t>Plumbing and drainage layouts (50%)</t>
        </is>
      </c>
      <c r="E36" s="26" t="inlineStr">
        <is>
          <t>Added: 50% set for P was missing while the drawing schedule plans P sheets</t>
        </is>
      </c>
    </row>
    <row r="37">
      <c r="B37" s="24" t="inlineStr">
        <is>
          <t>LV-200</t>
        </is>
      </c>
      <c r="C37" s="24" t="inlineStr">
        <is>
          <t>Added</t>
        </is>
      </c>
      <c r="D37" s="26" t="inlineStr">
        <is>
          <t>Low voltage containment and equipment rooms</t>
        </is>
      </c>
      <c r="E37" s="26" t="inlineStr">
        <is>
          <t>Added: LV appears in Aug only at Deliverable C</t>
        </is>
      </c>
    </row>
    <row r="38">
      <c r="B38" s="24" t="inlineStr">
        <is>
          <t>G-200</t>
        </is>
      </c>
      <c r="C38" s="24" t="inlineStr">
        <is>
          <t>Restored</t>
        </is>
      </c>
      <c r="D38" s="26" t="inlineStr">
        <is>
          <t>Site model</t>
        </is>
      </c>
      <c r="E38" s="26" t="inlineStr">
        <is>
          <t>Restored from June (absent in Aug)</t>
        </is>
      </c>
    </row>
    <row r="39">
      <c r="B39" s="24" t="inlineStr">
        <is>
          <t>G-201</t>
        </is>
      </c>
      <c r="C39" s="24" t="inlineStr">
        <is>
          <t>Restored</t>
        </is>
      </c>
      <c r="D39" s="26" t="inlineStr">
        <is>
          <t>Site and drainage drawings (50%)</t>
        </is>
      </c>
      <c r="E39" s="26" t="inlineStr">
        <is>
          <t>Restored from June (absent in Aug)</t>
        </is>
      </c>
    </row>
    <row r="40">
      <c r="B40" s="24" t="inlineStr">
        <is>
          <t>Z-210</t>
        </is>
      </c>
      <c r="C40" s="24" t="inlineStr">
        <is>
          <t>Carried forward</t>
        </is>
      </c>
      <c r="D40" s="26" t="inlineStr">
        <is>
          <t>Coordination reports (fortnightly) and Deliverable B clash close-out</t>
        </is>
      </c>
      <c r="E40" s="26" t="inlineStr">
        <is>
          <t>ISO type CR</t>
        </is>
      </c>
    </row>
    <row r="41">
      <c r="B41" s="24" t="inlineStr">
        <is>
          <t>Z-212</t>
        </is>
      </c>
      <c r="C41" s="24" t="inlineStr">
        <is>
          <t>Carried forward</t>
        </is>
      </c>
      <c r="D41" s="26" t="inlineStr">
        <is>
          <t>Bill of quantities (preliminary)</t>
        </is>
      </c>
      <c r="E41" s="26" t="inlineStr">
        <is>
          <t>ISO type BQ; measurement standard [FILL] (D-03)</t>
        </is>
      </c>
    </row>
    <row r="42">
      <c r="B42" s="24" t="inlineStr">
        <is>
          <t>Z-213</t>
        </is>
      </c>
      <c r="C42" s="24" t="inlineStr">
        <is>
          <t>Carried forward</t>
        </is>
      </c>
      <c r="D42" s="26" t="inlineStr">
        <is>
          <t>Deliverable B gate pack, LOD 300 verification and compliance report</t>
        </is>
      </c>
      <c r="E42" s="26" t="inlineStr">
        <is>
          <t>Verification and compliance report named</t>
        </is>
      </c>
    </row>
    <row r="43">
      <c r="B43" s="24" t="inlineStr">
        <is>
          <t>Z-214</t>
        </is>
      </c>
      <c r="C43" s="24" t="inlineStr">
        <is>
          <t>Added</t>
        </is>
      </c>
      <c r="D43" s="26" t="inlineStr">
        <is>
          <t>Deliverable B Owner review set and comment close-out report</t>
        </is>
      </c>
      <c r="E43" s="26" t="inlineStr">
        <is>
          <t>Added (D-05)</t>
        </is>
      </c>
    </row>
    <row r="44">
      <c r="B44" s="24" t="inlineStr">
        <is>
          <t>A-302</t>
        </is>
      </c>
      <c r="C44" s="24" t="inlineStr">
        <is>
          <t>Added</t>
        </is>
      </c>
      <c r="D44" s="26" t="inlineStr">
        <is>
          <t>Room data sheets (complete)</t>
        </is>
      </c>
      <c r="E44" s="26" t="inlineStr">
        <is>
          <t>Added: Playbook 6.3 places the RDS set at 2.3</t>
        </is>
      </c>
    </row>
    <row r="45">
      <c r="B45" s="24" t="inlineStr">
        <is>
          <t>M-300</t>
        </is>
      </c>
      <c r="C45" s="24" t="inlineStr">
        <is>
          <t>Carried forward</t>
        </is>
      </c>
      <c r="D45" s="26" t="inlineStr">
        <is>
          <t>Mechanical model</t>
        </is>
      </c>
      <c r="E45" s="26" t="inlineStr">
        <is>
          <t>Aug merged model and drawings; split restored</t>
        </is>
      </c>
    </row>
    <row r="46">
      <c r="B46" s="24" t="inlineStr">
        <is>
          <t>M-302</t>
        </is>
      </c>
      <c r="C46" s="24" t="inlineStr">
        <is>
          <t>Restored</t>
        </is>
      </c>
      <c r="D46" s="26" t="inlineStr">
        <is>
          <t>HVAC load and sizing schedules</t>
        </is>
      </c>
      <c r="E46" s="26" t="inlineStr">
        <is>
          <t>June ref M-300b restored</t>
        </is>
      </c>
    </row>
    <row r="47">
      <c r="B47" s="24" t="inlineStr">
        <is>
          <t>M-303</t>
        </is>
      </c>
      <c r="C47" s="24" t="inlineStr">
        <is>
          <t>Added</t>
        </is>
      </c>
      <c r="D47" s="26" t="inlineStr">
        <is>
          <t>BMS point-naming convention and point data on serviceable elements</t>
        </is>
      </c>
      <c r="E47" s="26" t="inlineStr">
        <is>
          <t>Added (BEP 11.3)</t>
        </is>
      </c>
    </row>
    <row r="48">
      <c r="B48" s="24" t="inlineStr">
        <is>
          <t>E-301</t>
        </is>
      </c>
      <c r="C48" s="24" t="inlineStr">
        <is>
          <t>Restored</t>
        </is>
      </c>
      <c r="D48" s="26" t="inlineStr">
        <is>
          <t>Panel schedules and single-line diagrams</t>
        </is>
      </c>
      <c r="E48" s="26" t="inlineStr">
        <is>
          <t>June ref E-300b restored</t>
        </is>
      </c>
    </row>
    <row r="49">
      <c r="B49" s="24" t="inlineStr">
        <is>
          <t>G-300</t>
        </is>
      </c>
      <c r="C49" s="24" t="inlineStr">
        <is>
          <t>Restored</t>
        </is>
      </c>
      <c r="D49" s="26" t="inlineStr">
        <is>
          <t>Civil and site model and drawings (100%)</t>
        </is>
      </c>
      <c r="E49" s="26" t="inlineStr">
        <is>
          <t>Restored from June (absent in Aug)</t>
        </is>
      </c>
    </row>
    <row r="50">
      <c r="B50" s="24" t="inlineStr">
        <is>
          <t>Z-310</t>
        </is>
      </c>
      <c r="C50" s="24" t="inlineStr">
        <is>
          <t>Carried forward</t>
        </is>
      </c>
      <c r="D50" s="26" t="inlineStr">
        <is>
          <t>Bill of quantities (tender)</t>
        </is>
      </c>
      <c r="E50" s="26" t="inlineStr">
        <is>
          <t>ISO type BQ</t>
        </is>
      </c>
    </row>
    <row r="51">
      <c r="B51" s="24" t="inlineStr">
        <is>
          <t>Z-311</t>
        </is>
      </c>
      <c r="C51" s="24" t="inlineStr">
        <is>
          <t>Carried forward</t>
        </is>
      </c>
      <c r="D51" s="26" t="inlineStr">
        <is>
          <t>Specifications (RIB SpecLink, CSI MasterFormat)</t>
        </is>
      </c>
      <c r="E51" s="26" t="inlineStr">
        <is>
          <t>Responsible: Lead AP → each discipline authors (RACI C12)</t>
        </is>
      </c>
    </row>
    <row r="52">
      <c r="B52" s="24" t="inlineStr">
        <is>
          <t>Z-314</t>
        </is>
      </c>
      <c r="C52" s="24" t="inlineStr">
        <is>
          <t>Added</t>
        </is>
      </c>
      <c r="D52" s="26" t="inlineStr">
        <is>
          <t>Deliverable C Owner review set and comment close-out report</t>
        </is>
      </c>
      <c r="E52" s="26" t="inlineStr">
        <is>
          <t>Added (D-05)</t>
        </is>
      </c>
    </row>
    <row r="53">
      <c r="B53" s="24" t="inlineStr">
        <is>
          <t>Z-410</t>
        </is>
      </c>
      <c r="C53" s="24" t="inlineStr">
        <is>
          <t>Carried forward</t>
        </is>
      </c>
      <c r="D53" s="26" t="inlineStr">
        <is>
          <t>Conformed set</t>
        </is>
      </c>
      <c r="E53" s="26" t="inlineStr">
        <is>
          <t>June ref Z-401</t>
        </is>
      </c>
    </row>
    <row r="54">
      <c r="B54" s="24" t="inlineStr">
        <is>
          <t>Z-411</t>
        </is>
      </c>
      <c r="C54" s="24" t="inlineStr">
        <is>
          <t>Added</t>
        </is>
      </c>
      <c r="D54" s="26" t="inlineStr">
        <is>
          <t>Conformed-set conformance audit and compliance report</t>
        </is>
      </c>
      <c r="E54" s="26" t="inlineStr">
        <is>
          <t>Added (D-05): the conformed set is one of the five contractual gates</t>
        </is>
      </c>
    </row>
    <row r="55">
      <c r="B55" s="24" t="inlineStr">
        <is>
          <t>A-500</t>
        </is>
      </c>
      <c r="C55" s="24" t="inlineStr">
        <is>
          <t>Restored</t>
        </is>
      </c>
      <c r="D55" s="26" t="inlineStr">
        <is>
          <t>Construction-stage model (revisions tracked)</t>
        </is>
      </c>
      <c r="E55" s="26" t="inlineStr">
        <is>
          <t>Per-discipline rows restored; Aug collapsed them into ALL-500 (G-02)</t>
        </is>
      </c>
    </row>
    <row r="56">
      <c r="B56" s="24" t="inlineStr">
        <is>
          <t>S-500</t>
        </is>
      </c>
      <c r="C56" s="24" t="inlineStr">
        <is>
          <t>Restored</t>
        </is>
      </c>
      <c r="D56" s="26" t="inlineStr">
        <is>
          <t>Construction-stage model (revisions tracked)</t>
        </is>
      </c>
      <c r="E56" s="26" t="inlineStr">
        <is>
          <t>Per-discipline rows restored; Aug collapsed them into ALL-500 (G-02)</t>
        </is>
      </c>
    </row>
    <row r="57">
      <c r="B57" s="24" t="inlineStr">
        <is>
          <t>M-500</t>
        </is>
      </c>
      <c r="C57" s="24" t="inlineStr">
        <is>
          <t>Restored</t>
        </is>
      </c>
      <c r="D57" s="26" t="inlineStr">
        <is>
          <t>Construction-stage model (revisions tracked)</t>
        </is>
      </c>
      <c r="E57" s="26" t="inlineStr">
        <is>
          <t>Per-discipline rows restored; Aug collapsed them into ALL-500 (G-02)</t>
        </is>
      </c>
    </row>
    <row r="58">
      <c r="B58" s="24" t="inlineStr">
        <is>
          <t>E-500</t>
        </is>
      </c>
      <c r="C58" s="24" t="inlineStr">
        <is>
          <t>Restored</t>
        </is>
      </c>
      <c r="D58" s="26" t="inlineStr">
        <is>
          <t>Construction-stage model (revisions tracked)</t>
        </is>
      </c>
      <c r="E58" s="26" t="inlineStr">
        <is>
          <t>Per-discipline rows restored; Aug collapsed them into ALL-500 (G-02)</t>
        </is>
      </c>
    </row>
    <row r="59">
      <c r="B59" s="24" t="inlineStr">
        <is>
          <t>P-500</t>
        </is>
      </c>
      <c r="C59" s="24" t="inlineStr">
        <is>
          <t>Restored</t>
        </is>
      </c>
      <c r="D59" s="26" t="inlineStr">
        <is>
          <t>Construction-stage model (revisions tracked)</t>
        </is>
      </c>
      <c r="E59" s="26" t="inlineStr">
        <is>
          <t>Per-discipline rows restored; Aug collapsed them into ALL-500 (G-02)</t>
        </is>
      </c>
    </row>
    <row r="60">
      <c r="B60" s="24" t="inlineStr">
        <is>
          <t>FP-500</t>
        </is>
      </c>
      <c r="C60" s="24" t="inlineStr">
        <is>
          <t>Restored</t>
        </is>
      </c>
      <c r="D60" s="26" t="inlineStr">
        <is>
          <t>Construction-stage model (revisions tracked)</t>
        </is>
      </c>
      <c r="E60" s="26" t="inlineStr">
        <is>
          <t>Per-discipline rows restored; Aug collapsed them into ALL-500 (G-02)</t>
        </is>
      </c>
    </row>
    <row r="61">
      <c r="B61" s="24" t="inlineStr">
        <is>
          <t>LV-500</t>
        </is>
      </c>
      <c r="C61" s="24" t="inlineStr">
        <is>
          <t>Restored</t>
        </is>
      </c>
      <c r="D61" s="26" t="inlineStr">
        <is>
          <t>Construction-stage model (revisions tracked)</t>
        </is>
      </c>
      <c r="E61" s="26" t="inlineStr">
        <is>
          <t>Per-discipline rows restored; Aug collapsed them into ALL-500 (G-02)</t>
        </is>
      </c>
    </row>
    <row r="62">
      <c r="B62" s="24" t="inlineStr">
        <is>
          <t>G-500</t>
        </is>
      </c>
      <c r="C62" s="24" t="inlineStr">
        <is>
          <t>Restored</t>
        </is>
      </c>
      <c r="D62" s="26" t="inlineStr">
        <is>
          <t>Construction-stage model (revisions tracked)</t>
        </is>
      </c>
      <c r="E62" s="26" t="inlineStr">
        <is>
          <t>Per-discipline rows restored; Aug collapsed them into ALL-500 (G-02)</t>
        </is>
      </c>
    </row>
    <row r="63">
      <c r="B63" s="24" t="inlineStr">
        <is>
          <t>C-500</t>
        </is>
      </c>
      <c r="C63" s="24" t="inlineStr">
        <is>
          <t>Added</t>
        </is>
      </c>
      <c r="D63" s="26" t="inlineStr">
        <is>
          <t>Shop drawings and fabrication models (steel, MEP modules, façade)</t>
        </is>
      </c>
      <c r="E63" s="26" t="inlineStr">
        <is>
          <t>Added (Playbook 6.6; risk "late specialist models")</t>
        </is>
      </c>
    </row>
    <row r="64">
      <c r="B64" s="24" t="inlineStr">
        <is>
          <t>Z-511</t>
        </is>
      </c>
      <c r="C64" s="24" t="inlineStr">
        <is>
          <t>Carried forward</t>
        </is>
      </c>
      <c r="D64" s="26" t="inlineStr">
        <is>
          <t>Monthly BIM status report (construction)</t>
        </is>
      </c>
      <c r="E64" s="26" t="inlineStr">
        <is>
          <t>End month M43 → M49: reporting continues through 3.2 and 3.3</t>
        </is>
      </c>
    </row>
    <row r="65">
      <c r="B65" s="24" t="inlineStr">
        <is>
          <t>Z-513</t>
        </is>
      </c>
      <c r="C65" s="24" t="inlineStr">
        <is>
          <t>Carried forward</t>
        </is>
      </c>
      <c r="D65" s="26" t="inlineStr">
        <is>
          <t>Asset data capture (tiered schedule, BEP 14)</t>
        </is>
      </c>
      <c r="E65" s="26" t="inlineStr">
        <is>
          <t>End month M43 → M47: capture continues through FF&amp;E installation</t>
        </is>
      </c>
    </row>
    <row r="66">
      <c r="B66" s="24" t="inlineStr">
        <is>
          <t>Z-514</t>
        </is>
      </c>
      <c r="C66" s="24" t="inlineStr">
        <is>
          <t>Carried forward</t>
        </is>
      </c>
      <c r="D66" s="26" t="inlineStr">
        <is>
          <t>Asset data completeness report (monthly, by tier and volume)</t>
        </is>
      </c>
      <c r="E66" s="26" t="inlineStr">
        <is>
          <t>End month M43 → M47</t>
        </is>
      </c>
    </row>
    <row r="67">
      <c r="B67" s="24" t="inlineStr">
        <is>
          <t>Z-515</t>
        </is>
      </c>
      <c r="C67" s="24" t="inlineStr">
        <is>
          <t>Restored</t>
        </is>
      </c>
      <c r="D67" s="26" t="inlineStr">
        <is>
          <t>Quarterly model-health audit</t>
        </is>
      </c>
      <c r="E67" s="26" t="inlineStr">
        <is>
          <t>June ref Z-514 restored; required by proposal 2.1 and 4.5</t>
        </is>
      </c>
    </row>
    <row r="68">
      <c r="B68" s="24" t="inlineStr">
        <is>
          <t>Z-516</t>
        </is>
      </c>
      <c r="C68" s="24" t="inlineStr">
        <is>
          <t>Restored</t>
        </is>
      </c>
      <c r="D68" s="26" t="inlineStr">
        <is>
          <t>Revision register</t>
        </is>
      </c>
      <c r="E68" s="26" t="inlineStr">
        <is>
          <t>June ref Z-512 restored</t>
        </is>
      </c>
    </row>
    <row r="69">
      <c r="B69" s="24" t="inlineStr">
        <is>
          <t>Z-517</t>
        </is>
      </c>
      <c r="C69" s="24" t="inlineStr">
        <is>
          <t>Added</t>
        </is>
      </c>
      <c r="D69" s="26" t="inlineStr">
        <is>
          <t>Contractor and specialist induction record</t>
        </is>
      </c>
      <c r="E69" s="26" t="inlineStr">
        <is>
          <t>Added (proposal 2.1; BEP 12)</t>
        </is>
      </c>
    </row>
    <row r="70">
      <c r="B70" s="24" t="inlineStr">
        <is>
          <t>Z-518</t>
        </is>
      </c>
      <c r="C70" s="24" t="inlineStr">
        <is>
          <t>Added</t>
        </is>
      </c>
      <c r="D70" s="26" t="inlineStr">
        <is>
          <t>Construction-stage coordination reports (monthly)</t>
        </is>
      </c>
      <c r="E70" s="26" t="inlineStr">
        <is>
          <t>Added: monthly federation and clash in construction (BEP 7.1)</t>
        </is>
      </c>
    </row>
    <row r="71">
      <c r="B71" s="24" t="inlineStr">
        <is>
          <t>FF-600</t>
        </is>
      </c>
      <c r="C71" s="24" t="inlineStr">
        <is>
          <t>Carried forward</t>
        </is>
      </c>
      <c r="D71" s="26" t="inlineStr">
        <is>
          <t>FF&amp;E final schedule and procurement record</t>
        </is>
      </c>
      <c r="E71" s="26" t="inlineStr">
        <is>
          <t>Month M43 → M44–M47 (A-01)</t>
        </is>
      </c>
    </row>
    <row r="72">
      <c r="B72" s="24" t="inlineStr">
        <is>
          <t>FF-601</t>
        </is>
      </c>
      <c r="C72" s="24" t="inlineStr">
        <is>
          <t>Added</t>
        </is>
      </c>
      <c r="D72" s="26" t="inlineStr">
        <is>
          <t>Installed FF&amp;E and finishes reconciliation report (model vs Fohlio)</t>
        </is>
      </c>
      <c r="E72" s="26" t="inlineStr">
        <is>
          <t>Added (Playbook 6.7 exit criteria)</t>
        </is>
      </c>
    </row>
    <row r="73">
      <c r="B73" s="24" t="inlineStr">
        <is>
          <t>A-700</t>
        </is>
      </c>
      <c r="C73" s="24" t="inlineStr">
        <is>
          <t>Carried forward</t>
        </is>
      </c>
      <c r="D73" s="26" t="inlineStr">
        <is>
          <t>As-built architectural model (LOD 500, verified)</t>
        </is>
      </c>
      <c r="E73" s="26" t="inlineStr">
        <is>
          <t>Month M45 → M48–M49 (A-01)</t>
        </is>
      </c>
    </row>
    <row r="74">
      <c r="B74" s="24" t="inlineStr">
        <is>
          <t>S-700</t>
        </is>
      </c>
      <c r="C74" s="24" t="inlineStr">
        <is>
          <t>Carried forward</t>
        </is>
      </c>
      <c r="D74" s="26" t="inlineStr">
        <is>
          <t>As-built structural model (LOD 500, verified)</t>
        </is>
      </c>
      <c r="E74" s="26" t="inlineStr">
        <is>
          <t>Month M45 → M48–M49 (A-01)</t>
        </is>
      </c>
    </row>
    <row r="75">
      <c r="B75" s="24" t="inlineStr">
        <is>
          <t>M-700</t>
        </is>
      </c>
      <c r="C75" s="24" t="inlineStr">
        <is>
          <t>Carried forward</t>
        </is>
      </c>
      <c r="D75" s="26" t="inlineStr">
        <is>
          <t>As-built mechanical model (LOD 500, verified)</t>
        </is>
      </c>
      <c r="E75" s="26" t="inlineStr">
        <is>
          <t>Month M45 → M48–M49 (A-01)</t>
        </is>
      </c>
    </row>
    <row r="76">
      <c r="B76" s="24" t="inlineStr">
        <is>
          <t>E-700</t>
        </is>
      </c>
      <c r="C76" s="24" t="inlineStr">
        <is>
          <t>Restored</t>
        </is>
      </c>
      <c r="D76" s="26" t="inlineStr">
        <is>
          <t>As-built electrical model (LOD 500, verified)</t>
        </is>
      </c>
      <c r="E76" s="26" t="inlineStr">
        <is>
          <t>Month M45 → M48–M49 (A-01); per-discipline row restored (G-02)</t>
        </is>
      </c>
    </row>
    <row r="77">
      <c r="B77" s="24" t="inlineStr">
        <is>
          <t>P-700</t>
        </is>
      </c>
      <c r="C77" s="24" t="inlineStr">
        <is>
          <t>Restored</t>
        </is>
      </c>
      <c r="D77" s="26" t="inlineStr">
        <is>
          <t>As-built plumbing and drainage model (LOD 500, verified)</t>
        </is>
      </c>
      <c r="E77" s="26" t="inlineStr">
        <is>
          <t>Month M45 → M48–M49 (A-01); per-discipline row restored (G-02)</t>
        </is>
      </c>
    </row>
    <row r="78">
      <c r="B78" s="24" t="inlineStr">
        <is>
          <t>FP-700</t>
        </is>
      </c>
      <c r="C78" s="24" t="inlineStr">
        <is>
          <t>Restored</t>
        </is>
      </c>
      <c r="D78" s="26" t="inlineStr">
        <is>
          <t>As-built fire protection model (LOD 500, verified)</t>
        </is>
      </c>
      <c r="E78" s="26" t="inlineStr">
        <is>
          <t>Month M45 → M48–M49 (A-01); per-discipline row restored (G-02)</t>
        </is>
      </c>
    </row>
    <row r="79">
      <c r="B79" s="24" t="inlineStr">
        <is>
          <t>LV-700</t>
        </is>
      </c>
      <c r="C79" s="24" t="inlineStr">
        <is>
          <t>Restored</t>
        </is>
      </c>
      <c r="D79" s="26" t="inlineStr">
        <is>
          <t>As-built low voltage model (LOD 500, verified)</t>
        </is>
      </c>
      <c r="E79" s="26" t="inlineStr">
        <is>
          <t>Month M45 → M48–M49 (A-01); per-discipline row restored (G-02)</t>
        </is>
      </c>
    </row>
    <row r="80">
      <c r="B80" s="24" t="inlineStr">
        <is>
          <t>G-700</t>
        </is>
      </c>
      <c r="C80" s="24" t="inlineStr">
        <is>
          <t>Restored</t>
        </is>
      </c>
      <c r="D80" s="26" t="inlineStr">
        <is>
          <t>As-built civil and site model (LOD 500, verified)</t>
        </is>
      </c>
      <c r="E80" s="26" t="inlineStr">
        <is>
          <t>Month M45 → M48–M49 (A-01); per-discipline row restored (G-02)</t>
        </is>
      </c>
    </row>
    <row r="81">
      <c r="B81" s="24" t="inlineStr">
        <is>
          <t>C-700</t>
        </is>
      </c>
      <c r="C81" s="24" t="inlineStr">
        <is>
          <t>Added</t>
        </is>
      </c>
      <c r="D81" s="26" t="inlineStr">
        <is>
          <t>Final as-built documentation, commissioning records, warranties and O&amp;M documents</t>
        </is>
      </c>
      <c r="E81" s="26" t="inlineStr">
        <is>
          <t>Added (A1: within 60 days of substantial completion)</t>
        </is>
      </c>
    </row>
    <row r="82">
      <c r="B82" s="24" t="inlineStr">
        <is>
          <t>Z-700</t>
        </is>
      </c>
      <c r="C82" s="24" t="inlineStr">
        <is>
          <t>Carried forward</t>
        </is>
      </c>
      <c r="D82" s="26" t="inlineStr">
        <is>
          <t>COBie 2.4 handover dataset — CONDITIONAL on Owner instruction</t>
        </is>
      </c>
      <c r="E82" s="26" t="inlineStr">
        <is>
          <t>Marked conditional (D-01): excluded from the base services in proposal 2.2</t>
        </is>
      </c>
    </row>
    <row r="83">
      <c r="B83" s="24" t="inlineStr">
        <is>
          <t>Z-701</t>
        </is>
      </c>
      <c r="C83" s="24" t="inlineStr">
        <is>
          <t>Carried forward</t>
        </is>
      </c>
      <c r="D83" s="26" t="inlineStr">
        <is>
          <t>Operation and maintenance / asset data pack (Fohlio)</t>
        </is>
      </c>
      <c r="E83" s="26" t="inlineStr">
        <is>
          <t>Month M45 → M48–M49</t>
        </is>
      </c>
    </row>
    <row r="84">
      <c r="B84" s="24" t="inlineStr">
        <is>
          <t>Z-702</t>
        </is>
      </c>
      <c r="C84" s="24" t="inlineStr">
        <is>
          <t>Carried forward</t>
        </is>
      </c>
      <c r="D84" s="26" t="inlineStr">
        <is>
          <t>Reconciled building management system point register (digital-twin baseline)</t>
        </is>
      </c>
      <c r="E84" s="26" t="inlineStr">
        <is>
          <t>Month M45 → M49</t>
        </is>
      </c>
    </row>
    <row r="85">
      <c r="B85" s="24" t="inlineStr">
        <is>
          <t>Z-703</t>
        </is>
      </c>
      <c r="C85" s="24" t="inlineStr">
        <is>
          <t>Carried forward</t>
        </is>
      </c>
      <c r="D85" s="26" t="inlineStr">
        <is>
          <t>Deliverable D gate pack: LOD 500 verification and asset data completeness</t>
        </is>
      </c>
      <c r="E85" s="26" t="inlineStr">
        <is>
          <t>Month M45 → M49</t>
        </is>
      </c>
    </row>
    <row r="86">
      <c r="B86" s="24" t="inlineStr">
        <is>
          <t>Z-704</t>
        </is>
      </c>
      <c r="C86" s="24" t="inlineStr">
        <is>
          <t>Carried forward</t>
        </is>
      </c>
      <c r="D86" s="26" t="inlineStr">
        <is>
          <t>Final transmittal and project archive</t>
        </is>
      </c>
      <c r="E86" s="26" t="inlineStr">
        <is>
          <t>June ref Z-703; ISO type TR</t>
        </is>
      </c>
    </row>
    <row r="87">
      <c r="B87" s="24" t="inlineStr">
        <is>
          <t>Z-705</t>
        </is>
      </c>
      <c r="C87" s="24" t="inlineStr">
        <is>
          <t>Added</t>
        </is>
      </c>
      <c r="D87" s="26" t="inlineStr">
        <is>
          <t>Native design, calculation, energy and system program files (A1 Deliverable D)</t>
        </is>
      </c>
      <c r="E87" s="26" t="inlineStr">
        <is>
          <t>Added (A1 Deliverable D contents; proposal 4.4 days 35 to 50)</t>
        </is>
      </c>
    </row>
    <row r="88">
      <c r="B88" s="24" t="inlineStr">
        <is>
          <t>Z-706</t>
        </is>
      </c>
      <c r="C88" s="24" t="inlineStr">
        <is>
          <t>Added</t>
        </is>
      </c>
      <c r="D88" s="26" t="inlineStr">
        <is>
          <t>Final drawing register</t>
        </is>
      </c>
      <c r="E88" s="26" t="inlineStr">
        <is>
          <t>Added (Playbook 6.8 deliverables)</t>
        </is>
      </c>
    </row>
    <row r="91">
      <c r="B91" s="6" t="inlineStr">
        <is>
          <t>Retired references</t>
        </is>
      </c>
    </row>
    <row r="92" ht="30" customHeight="1">
      <c r="A92" s="17" t="n"/>
      <c r="B92" s="17" t="inlineStr">
        <is>
          <t>Ref</t>
        </is>
      </c>
      <c r="C92" s="17" t="inlineStr">
        <is>
          <t>From</t>
        </is>
      </c>
      <c r="D92" s="17" t="inlineStr">
        <is>
          <t>Deliverable</t>
        </is>
      </c>
      <c r="E92" s="17" t="inlineStr">
        <is>
          <t>Disposition</t>
        </is>
      </c>
    </row>
    <row r="93">
      <c r="B93" s="24" t="inlineStr">
        <is>
          <t>Z-023</t>
        </is>
      </c>
      <c r="C93" s="24" t="inlineStr">
        <is>
          <t>New P02</t>
        </is>
      </c>
      <c r="D93" s="26" t="inlineStr">
        <is>
          <t>Drawing and document numbering convention (reissued)</t>
        </is>
      </c>
      <c r="E93" s="26" t="inlineStr">
        <is>
          <t>Absorbed into Z-022, the Document Control Standard. A separate numbering convention would have been a third statement of the container naming rules, beside BEP 4.2 and the standard itself, and the June pair had already drifted apart</t>
        </is>
      </c>
    </row>
    <row r="94">
      <c r="B94" s="24" t="inlineStr">
        <is>
          <t>ALL-500</t>
        </is>
      </c>
      <c r="C94" s="24" t="inlineStr">
        <is>
          <t>Aug P01</t>
        </is>
      </c>
      <c r="D94" s="26" t="inlineStr">
        <is>
          <t>Construction stage models (all disciplines)</t>
        </is>
      </c>
      <c r="E94" s="26" t="inlineStr">
        <is>
          <t>Replaced by per-discipline rows A-500 to G-500 (G-02)</t>
        </is>
      </c>
    </row>
    <row r="95">
      <c r="B95" s="24" t="inlineStr">
        <is>
          <t>Z-004 (June)</t>
        </is>
      </c>
      <c r="C95" s="24" t="inlineStr">
        <is>
          <t>Jun P01</t>
        </is>
      </c>
      <c r="D95" s="26" t="inlineStr">
        <is>
          <t>Naming and tagging standard</t>
        </is>
      </c>
      <c r="E95" s="26" t="inlineStr">
        <is>
          <t>Merged into BEP 4.2 and Playbook s4; no separate document</t>
        </is>
      </c>
    </row>
    <row r="96">
      <c r="B96" s="24" t="inlineStr">
        <is>
          <t>Z-005 (June)</t>
        </is>
      </c>
      <c r="C96" s="24" t="inlineStr">
        <is>
          <t>Jun P01</t>
        </is>
      </c>
      <c r="D96" s="26" t="inlineStr">
        <is>
          <t>CDE setup (four states + permissions)</t>
        </is>
      </c>
      <c r="E96" s="26" t="inlineStr">
        <is>
          <t>Became Z-012 CDE folder structure and permission matrix</t>
        </is>
      </c>
    </row>
    <row r="97">
      <c r="B97" s="24" t="inlineStr">
        <is>
          <t>Z-006 (June)</t>
        </is>
      </c>
      <c r="C97" s="24" t="inlineStr">
        <is>
          <t>Jun P01</t>
        </is>
      </c>
      <c r="D97" s="26" t="inlineStr">
        <is>
          <t>Revit template + controlled family library</t>
        </is>
      </c>
      <c r="E97" s="26" t="inlineStr">
        <is>
          <t>Became Z-004</t>
        </is>
      </c>
    </row>
    <row r="98">
      <c r="B98" s="24" t="inlineStr">
        <is>
          <t>Z-007 (June)</t>
        </is>
      </c>
      <c r="C98" s="24" t="inlineStr">
        <is>
          <t>Jun P01</t>
        </is>
      </c>
      <c r="D98" s="26" t="inlineStr">
        <is>
          <t>Kickoff training + signed BEP</t>
        </is>
      </c>
      <c r="E98" s="26" t="inlineStr">
        <is>
          <t>Became Z-021</t>
        </is>
      </c>
    </row>
    <row r="99">
      <c r="B99" s="24" t="inlineStr">
        <is>
          <t>Z-003 (June)</t>
        </is>
      </c>
      <c r="C99" s="24" t="inlineStr">
        <is>
          <t>Jun P01</t>
        </is>
      </c>
      <c r="D99" s="26" t="inlineStr">
        <is>
          <t>Federated coordination model at 2.1</t>
        </is>
      </c>
      <c r="E99" s="26" t="inlineStr">
        <is>
          <t>Kept as Aug ref Z-010</t>
        </is>
      </c>
    </row>
    <row r="100">
      <c r="B100" s="24" t="inlineStr">
        <is>
          <t>Z-401 (June)</t>
        </is>
      </c>
      <c r="C100" s="24" t="inlineStr">
        <is>
          <t>Jun P01</t>
        </is>
      </c>
      <c r="D100" s="26" t="inlineStr">
        <is>
          <t>Conformed set</t>
        </is>
      </c>
      <c r="E100" s="26" t="inlineStr">
        <is>
          <t>Kept as Aug ref Z-410</t>
        </is>
      </c>
    </row>
    <row r="101">
      <c r="B101" s="24" t="inlineStr">
        <is>
          <t>Z-512 (June)</t>
        </is>
      </c>
      <c r="C101" s="24" t="inlineStr">
        <is>
          <t>Jun P01</t>
        </is>
      </c>
      <c r="D101" s="26" t="inlineStr">
        <is>
          <t>Revision register</t>
        </is>
      </c>
      <c r="E101" s="26" t="inlineStr">
        <is>
          <t>Became Z-516 (Aug Z-512 is the Contractor as-built capture row)</t>
        </is>
      </c>
    </row>
    <row r="102">
      <c r="B102" s="24" t="inlineStr">
        <is>
          <t>Z-514 (June)</t>
        </is>
      </c>
      <c r="C102" s="24" t="inlineStr">
        <is>
          <t>Jun P01</t>
        </is>
      </c>
      <c r="D102" s="26" t="inlineStr">
        <is>
          <t>Quarterly model-health audit</t>
        </is>
      </c>
      <c r="E102" s="26" t="inlineStr">
        <is>
          <t>Became Z-515 (Aug Z-514 is the asset data completeness report)</t>
        </is>
      </c>
    </row>
    <row r="103">
      <c r="B103" s="24" t="inlineStr">
        <is>
          <t>M-300b / E-300b (June)</t>
        </is>
      </c>
      <c r="C103" s="24" t="inlineStr">
        <is>
          <t>Jun P01</t>
        </is>
      </c>
      <c r="D103" s="26" t="inlineStr">
        <is>
          <t>HVAC load schedules; panel schedules and single-line diagrams</t>
        </is>
      </c>
      <c r="E103" s="26" t="inlineStr">
        <is>
          <t>Became M-302 and E-301</t>
        </is>
      </c>
    </row>
    <row r="104">
      <c r="B104" s="24" t="inlineStr">
        <is>
          <t>Z-703 (June)</t>
        </is>
      </c>
      <c r="C104" s="24" t="inlineStr">
        <is>
          <t>Jun P01</t>
        </is>
      </c>
      <c r="D104" s="26" t="inlineStr">
        <is>
          <t>Final handover transmittal + archive</t>
        </is>
      </c>
      <c r="E104" s="26" t="inlineStr">
        <is>
          <t>Became Z-704 (Aug Z-703 is the Deliverable D gate pack)</t>
        </is>
      </c>
    </row>
  </sheetData>
  <mergeCells count="1">
    <mergeCell ref="B3:E4"/>
  </mergeCells>
  <hyperlinks>
    <hyperlink xmlns:r="http://schemas.openxmlformats.org/officeDocument/2006/relationships" ref="A1" r:id="rId1"/>
  </hyperlinks>
  <pageMargins left="0.75" right="0.75" top="1" bottom="1" header="0.5" footer="0.5"/>
  <pageSetup orientation="landscape" fitToWidth="1"/>
  <headerFooter>
    <oddHeader>&amp;L&amp;"Calibri,Bold"&amp;9KAMPALA UGANDA TEMPLE&amp;C&amp;"Calibri,Bold"&amp;9&amp;A&amp;R&amp;9KUT-SMB-ZZ-ZZ-SH-Z-0001   Rev P01</oddHeader>
    <oddFooter>&amp;L&amp;9&amp;KC00000DRAFT - not issued (S0, work in progress)&amp;C&amp;8Symbion Consulting Group Studios - Information Manager&amp;R&amp;9&amp;A   Page &amp;P of &amp;N</oddFooter>
    <evenHeader/>
    <evenFooter/>
    <firstHeader/>
    <firstFooter/>
  </headerFooter>
</worksheet>
</file>

<file path=xl/worksheets/sheet20.xml><?xml version="1.0" encoding="utf-8"?>
<worksheet xmlns="http://schemas.openxmlformats.org/spreadsheetml/2006/main">
  <sheetPr>
    <tabColor rgb="007A7A7A"/>
    <outlinePr summaryBelow="1" summaryRight="1"/>
    <pageSetUpPr/>
  </sheetPr>
  <dimension ref="A1:K31"/>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s>
  <sheetData>
    <row r="1">
      <c r="A1" s="32" t="inlineStr">
        <is>
          <t>Discipline</t>
        </is>
      </c>
      <c r="B1" s="32" t="inlineStr">
        <is>
          <t>Originator</t>
        </is>
      </c>
      <c r="C1" s="32" t="inlineStr">
        <is>
          <t>Type</t>
        </is>
      </c>
      <c r="D1" s="32" t="inlineStr">
        <is>
          <t>Stage</t>
        </is>
      </c>
      <c r="E1" s="32" t="inlineStr">
        <is>
          <t>LOD</t>
        </is>
      </c>
      <c r="F1" s="32" t="inlineStr">
        <is>
          <t>Suitability</t>
        </is>
      </c>
      <c r="G1" s="32" t="inlineStr">
        <is>
          <t>CDE State</t>
        </is>
      </c>
      <c r="H1" s="32" t="inlineStr">
        <is>
          <t>RAG</t>
        </is>
      </c>
      <c r="I1" s="32" t="inlineStr">
        <is>
          <t>Volume</t>
        </is>
      </c>
      <c r="J1" s="32" t="inlineStr">
        <is>
          <t>Type code</t>
        </is>
      </c>
      <c r="K1" s="32" t="inlineStr">
        <is>
          <t>Yes/No</t>
        </is>
      </c>
    </row>
    <row r="2">
      <c r="A2" s="18" t="inlineStr">
        <is>
          <t>Information Management</t>
        </is>
      </c>
      <c r="B2" s="18" t="inlineStr">
        <is>
          <t>[FILL — from the originator code register]</t>
        </is>
      </c>
      <c r="C2" s="18" t="inlineStr">
        <is>
          <t>Model</t>
        </is>
      </c>
      <c r="D2" s="18" t="inlineStr">
        <is>
          <t>Mobilisation</t>
        </is>
      </c>
      <c r="E2" s="18" t="inlineStr">
        <is>
          <t>n/a</t>
        </is>
      </c>
      <c r="F2" s="18" t="inlineStr">
        <is>
          <t>S0</t>
        </is>
      </c>
      <c r="G2" s="18" t="inlineStr">
        <is>
          <t>WIP</t>
        </is>
      </c>
      <c r="H2" s="18" t="inlineStr">
        <is>
          <t>Green</t>
        </is>
      </c>
      <c r="I2" s="18" t="inlineStr">
        <is>
          <t>00</t>
        </is>
      </c>
      <c r="J2" s="18" t="inlineStr">
        <is>
          <t>CO</t>
        </is>
      </c>
      <c r="K2" s="18" t="inlineStr">
        <is>
          <t>Y</t>
        </is>
      </c>
    </row>
    <row r="3">
      <c r="A3" s="18" t="inlineStr">
        <is>
          <t>Architecture</t>
        </is>
      </c>
      <c r="C3" s="18" t="inlineStr">
        <is>
          <t>Drawing</t>
        </is>
      </c>
      <c r="D3" s="18" t="inlineStr">
        <is>
          <t>2.1 Deliverable A</t>
        </is>
      </c>
      <c r="E3" s="18" t="inlineStr">
        <is>
          <t>100</t>
        </is>
      </c>
      <c r="F3" s="18" t="inlineStr">
        <is>
          <t>S1</t>
        </is>
      </c>
      <c r="G3" s="18" t="inlineStr">
        <is>
          <t>Shared</t>
        </is>
      </c>
      <c r="H3" s="18" t="inlineStr">
        <is>
          <t>Amber</t>
        </is>
      </c>
      <c r="I3" s="18" t="inlineStr">
        <is>
          <t>01</t>
        </is>
      </c>
      <c r="J3" s="18" t="inlineStr">
        <is>
          <t>CP</t>
        </is>
      </c>
      <c r="K3" s="18" t="inlineStr">
        <is>
          <t>N</t>
        </is>
      </c>
    </row>
    <row r="4">
      <c r="A4" s="18" t="inlineStr">
        <is>
          <t>Interiors</t>
        </is>
      </c>
      <c r="C4" s="18" t="inlineStr">
        <is>
          <t>Schedule</t>
        </is>
      </c>
      <c r="D4" s="18" t="inlineStr">
        <is>
          <t>2.2 Deliverable B</t>
        </is>
      </c>
      <c r="E4" s="18" t="inlineStr">
        <is>
          <t>200</t>
        </is>
      </c>
      <c r="F4" s="18" t="inlineStr">
        <is>
          <t>S2</t>
        </is>
      </c>
      <c r="G4" s="18" t="inlineStr">
        <is>
          <t>Published</t>
        </is>
      </c>
      <c r="H4" s="18" t="inlineStr">
        <is>
          <t>Red</t>
        </is>
      </c>
      <c r="I4" s="18" t="inlineStr">
        <is>
          <t>02</t>
        </is>
      </c>
      <c r="J4" s="18" t="inlineStr">
        <is>
          <t>CR</t>
        </is>
      </c>
    </row>
    <row r="5">
      <c r="A5" s="18" t="inlineStr">
        <is>
          <t>Structure</t>
        </is>
      </c>
      <c r="C5" s="18" t="inlineStr">
        <is>
          <t>Document</t>
        </is>
      </c>
      <c r="D5" s="18" t="inlineStr">
        <is>
          <t>2.3 Deliverable C</t>
        </is>
      </c>
      <c r="E5" s="18" t="inlineStr">
        <is>
          <t>300</t>
        </is>
      </c>
      <c r="F5" s="18" t="inlineStr">
        <is>
          <t>S3</t>
        </is>
      </c>
      <c r="G5" s="18" t="inlineStr">
        <is>
          <t>Archived</t>
        </is>
      </c>
      <c r="H5" s="18" t="inlineStr">
        <is>
          <t>Complete</t>
        </is>
      </c>
      <c r="I5" s="18" t="inlineStr">
        <is>
          <t>03</t>
        </is>
      </c>
      <c r="J5" s="18" t="inlineStr">
        <is>
          <t>DR</t>
        </is>
      </c>
    </row>
    <row r="6">
      <c r="A6" s="18" t="inlineStr">
        <is>
          <t>Mechanical</t>
        </is>
      </c>
      <c r="C6" s="18" t="inlineStr">
        <is>
          <t>Specification</t>
        </is>
      </c>
      <c r="D6" s="18" t="inlineStr">
        <is>
          <t>2.4 Tender</t>
        </is>
      </c>
      <c r="E6" s="18" t="inlineStr">
        <is>
          <t>350</t>
        </is>
      </c>
      <c r="F6" s="18" t="inlineStr">
        <is>
          <t>S4</t>
        </is>
      </c>
      <c r="I6" s="18" t="inlineStr">
        <is>
          <t>04</t>
        </is>
      </c>
      <c r="J6" s="18" t="inlineStr">
        <is>
          <t>IE</t>
        </is>
      </c>
    </row>
    <row r="7">
      <c r="A7" s="18" t="inlineStr">
        <is>
          <t>Electrical</t>
        </is>
      </c>
      <c r="C7" s="18" t="inlineStr">
        <is>
          <t>Report</t>
        </is>
      </c>
      <c r="D7" s="18" t="inlineStr">
        <is>
          <t>2.5 Conformed set</t>
        </is>
      </c>
      <c r="E7" s="18" t="inlineStr">
        <is>
          <t>400</t>
        </is>
      </c>
      <c r="F7" s="18" t="inlineStr">
        <is>
          <t>A1</t>
        </is>
      </c>
      <c r="I7" s="18" t="inlineStr">
        <is>
          <t>05</t>
        </is>
      </c>
      <c r="J7" s="18" t="inlineStr">
        <is>
          <t>M2</t>
        </is>
      </c>
    </row>
    <row r="8">
      <c r="A8" s="18" t="inlineStr">
        <is>
          <t>Public Health</t>
        </is>
      </c>
      <c r="C8" s="18" t="inlineStr">
        <is>
          <t>Calculation</t>
        </is>
      </c>
      <c r="D8" s="18" t="inlineStr">
        <is>
          <t>3.1 Construction</t>
        </is>
      </c>
      <c r="E8" s="18" t="inlineStr">
        <is>
          <t>500</t>
        </is>
      </c>
      <c r="F8" s="18" t="inlineStr">
        <is>
          <t>B1</t>
        </is>
      </c>
      <c r="I8" s="18" t="inlineStr">
        <is>
          <t>06</t>
        </is>
      </c>
      <c r="J8" s="18" t="inlineStr">
        <is>
          <t>M3</t>
        </is>
      </c>
    </row>
    <row r="9">
      <c r="A9" s="18" t="inlineStr">
        <is>
          <t>Fire Protection</t>
        </is>
      </c>
      <c r="C9" s="18" t="inlineStr">
        <is>
          <t>Room data sheet</t>
        </is>
      </c>
      <c r="D9" s="18" t="inlineStr">
        <is>
          <t>3.2 FF&amp;E</t>
        </is>
      </c>
      <c r="I9" s="18" t="inlineStr">
        <is>
          <t>ZZ</t>
        </is>
      </c>
      <c r="J9" s="18" t="inlineStr">
        <is>
          <t>MI</t>
        </is>
      </c>
    </row>
    <row r="10">
      <c r="A10" s="18" t="inlineStr">
        <is>
          <t>Low Voltage</t>
        </is>
      </c>
      <c r="C10" s="18" t="inlineStr">
        <is>
          <t>Model/Drawing</t>
        </is>
      </c>
      <c r="D10" s="18" t="inlineStr">
        <is>
          <t>3.3 Deliverable D</t>
        </is>
      </c>
      <c r="J10" s="18" t="inlineStr">
        <is>
          <t>PP</t>
        </is>
      </c>
    </row>
    <row r="11">
      <c r="A11" s="18" t="inlineStr">
        <is>
          <t>Civil and Site</t>
        </is>
      </c>
      <c r="C11" s="18" t="inlineStr">
        <is>
          <t>Model/Document</t>
        </is>
      </c>
      <c r="J11" s="18" t="inlineStr">
        <is>
          <t>PR</t>
        </is>
      </c>
    </row>
    <row r="12">
      <c r="A12" s="18" t="inlineStr">
        <is>
          <t>QS / Cost</t>
        </is>
      </c>
      <c r="C12" s="18" t="inlineStr">
        <is>
          <t>Schedule/Drawing</t>
        </is>
      </c>
      <c r="J12" s="18" t="inlineStr">
        <is>
          <t>RD</t>
        </is>
      </c>
    </row>
    <row r="13">
      <c r="A13" s="18" t="inlineStr">
        <is>
          <t>FF&amp;E</t>
        </is>
      </c>
      <c r="J13" s="18" t="inlineStr">
        <is>
          <t>RI</t>
        </is>
      </c>
    </row>
    <row r="14">
      <c r="A14" s="18" t="inlineStr">
        <is>
          <t>Contractor</t>
        </is>
      </c>
      <c r="J14" s="18" t="inlineStr">
        <is>
          <t>RP</t>
        </is>
      </c>
    </row>
    <row r="15">
      <c r="A15" s="18" t="inlineStr">
        <is>
          <t>All disciplines</t>
        </is>
      </c>
      <c r="J15" s="18" t="inlineStr">
        <is>
          <t>SH</t>
        </is>
      </c>
    </row>
    <row r="16">
      <c r="J16" s="18" t="inlineStr">
        <is>
          <t>SN</t>
        </is>
      </c>
    </row>
    <row r="17">
      <c r="J17" s="18" t="inlineStr">
        <is>
          <t>SP</t>
        </is>
      </c>
    </row>
    <row r="18">
      <c r="J18" s="18" t="inlineStr">
        <is>
          <t>SU</t>
        </is>
      </c>
    </row>
    <row r="19">
      <c r="J19" s="18" t="inlineStr">
        <is>
          <t>VS</t>
        </is>
      </c>
    </row>
    <row r="20">
      <c r="A20" s="32" t="inlineStr">
        <is>
          <t>Reference prefix</t>
        </is>
      </c>
      <c r="B20" s="32" t="inlineStr">
        <is>
          <t>Groups</t>
        </is>
      </c>
      <c r="C20" s="32" t="inlineStr">
        <is>
          <t>Container role code</t>
        </is>
      </c>
    </row>
    <row r="21">
      <c r="A21" s="18" t="inlineStr">
        <is>
          <t>A</t>
        </is>
      </c>
      <c r="B21" s="18" t="inlineStr">
        <is>
          <t>Architecture and interiors</t>
        </is>
      </c>
      <c r="C21" s="18" t="inlineStr">
        <is>
          <t>A</t>
        </is>
      </c>
    </row>
    <row r="22">
      <c r="A22" s="18" t="inlineStr">
        <is>
          <t>S</t>
        </is>
      </c>
      <c r="B22" s="18" t="inlineStr">
        <is>
          <t>Structure</t>
        </is>
      </c>
      <c r="C22" s="18" t="inlineStr">
        <is>
          <t>S</t>
        </is>
      </c>
    </row>
    <row r="23">
      <c r="A23" s="18" t="inlineStr">
        <is>
          <t>M</t>
        </is>
      </c>
      <c r="B23" s="18" t="inlineStr">
        <is>
          <t>Mechanical</t>
        </is>
      </c>
      <c r="C23" s="18" t="inlineStr">
        <is>
          <t>M</t>
        </is>
      </c>
    </row>
    <row r="24">
      <c r="A24" s="18" t="inlineStr">
        <is>
          <t>E</t>
        </is>
      </c>
      <c r="B24" s="18" t="inlineStr">
        <is>
          <t>Electrical, including lighting</t>
        </is>
      </c>
      <c r="C24" s="18" t="inlineStr">
        <is>
          <t>E</t>
        </is>
      </c>
    </row>
    <row r="25">
      <c r="A25" s="18" t="inlineStr">
        <is>
          <t>P</t>
        </is>
      </c>
      <c r="B25" s="18" t="inlineStr">
        <is>
          <t>Public health</t>
        </is>
      </c>
      <c r="C25" s="18" t="inlineStr">
        <is>
          <t>P</t>
        </is>
      </c>
    </row>
    <row r="26">
      <c r="A26" s="18" t="inlineStr">
        <is>
          <t>FP</t>
        </is>
      </c>
      <c r="B26" s="18" t="inlineStr">
        <is>
          <t>Fire protection</t>
        </is>
      </c>
      <c r="C26" s="18" t="inlineStr">
        <is>
          <t>FP</t>
        </is>
      </c>
    </row>
    <row r="27">
      <c r="A27" s="18" t="inlineStr">
        <is>
          <t>LV</t>
        </is>
      </c>
      <c r="B27" s="18" t="inlineStr">
        <is>
          <t>Low voltage and communications</t>
        </is>
      </c>
      <c r="C27" s="18" t="inlineStr">
        <is>
          <t>LV</t>
        </is>
      </c>
    </row>
    <row r="28">
      <c r="A28" s="18" t="inlineStr">
        <is>
          <t>G</t>
        </is>
      </c>
      <c r="B28" s="18" t="inlineStr">
        <is>
          <t>Civil and site</t>
        </is>
      </c>
      <c r="C28" s="18" t="inlineStr">
        <is>
          <t>G</t>
        </is>
      </c>
    </row>
    <row r="29">
      <c r="A29" s="18" t="inlineStr">
        <is>
          <t>FF</t>
        </is>
      </c>
      <c r="B29" s="18" t="inlineStr">
        <is>
          <t>FF&amp;E and finishes</t>
        </is>
      </c>
      <c r="C29" s="18" t="inlineStr">
        <is>
          <t>A — issued under architecture</t>
        </is>
      </c>
    </row>
    <row r="30">
      <c r="A30" s="18" t="inlineStr">
        <is>
          <t>C</t>
        </is>
      </c>
      <c r="B30" s="18" t="inlineStr">
        <is>
          <t>Contractor and specialists</t>
        </is>
      </c>
      <c r="C30" s="18" t="inlineStr">
        <is>
          <t>per the discipline of the container</t>
        </is>
      </c>
    </row>
    <row r="31">
      <c r="A31" s="18" t="inlineStr">
        <is>
          <t>Z</t>
        </is>
      </c>
      <c r="B31" s="18" t="inlineStr">
        <is>
          <t>Information management, cost and project-wide</t>
        </is>
      </c>
      <c r="C31" s="18" t="inlineStr">
        <is>
          <t>Z</t>
        </is>
      </c>
    </row>
  </sheetData>
  <pageMargins left="0.75" right="0.75" top="1" bottom="1" header="0.5" footer="0.5"/>
  <headerFooter>
    <oddHeader>&amp;L&amp;"Calibri,Bold"&amp;9KAMPALA UGANDA TEMPLE&amp;C&amp;"Calibri,Bold"&amp;9&amp;A&amp;R&amp;9KUT-SMB-ZZ-ZZ-SH-Z-0001   Rev P01</oddHeader>
    <oddFooter>&amp;L&amp;9&amp;KC00000DRAFT - not issued (S0, work in progress)&amp;C&amp;8Symbion Consulting Group Studios - Information Manager&amp;R&amp;9&amp;A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Symbion Consulting Group Studios</dc:creator>
  <dc:title xmlns:dc="http://purl.org/dc/elements/1.1/">KUT Master Information Delivery Plan</dc:title>
  <dc:description xmlns:dc="http://purl.org/dc/elements/1.1/">Rev P01 — DRAFT. Not yet issued through the Common Data Environment. Uncontrolled when printed. Generated by tools/build_midp.py; do not hand-edit - regenerate. parts-sha256:4c2e0326679aae4f86482c604ba0f00b3a176016db8d517fd8ef13537c794fa8 inputs-sha256:f48f8ec0c96067660e9d45f0c282c9fa19e4bdd1fee3247521fae4b138f433c3</dc:description>
  <dc:subject xmlns:dc="http://purl.org/dc/elements/1.1/">Kampala Uganda Temple — aggregated information delivery schedule</dc:subject>
  <dcterms:created xmlns:dcterms="http://purl.org/dc/terms/" xmlns:xsi="http://www.w3.org/2001/XMLSchema-instance" xsi:type="dcterms:W3CDTF">2020-01-01T00:00:00Z</dcterms:created>
  <dcterms:modified xmlns:dcterms="http://purl.org/dc/terms/" xmlns:xsi="http://www.w3.org/2001/XMLSchema-instance" xsi:type="dcterms:W3CDTF">2020-01-01T00:00:00Z</dcterms:modified>
  <cp:lastModifiedBy>Symbion Consulting Group Studios</cp:lastModifiedBy>
  <cp:category>Project procedure</cp:category>
</cp:coreProperties>
</file>