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 sheetId="10" state="visible" r:id="rId10"/>
    <sheet xmlns:r="http://schemas.openxmlformats.org/officeDocument/2006/relationships" name="TIDP-Y1"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'TIDP-Y'!$16:$16</definedName>
    <definedName name="_xlnm.Print_Titles" localSheetId="10">'TIDP-Y1'!$16:$16</definedName>
    <definedName name="_xlnm.Print_Titles" localSheetId="11">'TIDP-C'!$16:$16</definedName>
    <definedName name="_xlnm.Print_Titles" localSheetId="12">'TIDP-Q'!$16:$16</definedName>
    <definedName name="_xlnm.Print_Titles" localSheetId="13">'TIDP-I'!$16:$16</definedName>
    <definedName name="_xlnm.Print_Titles" localSheetId="14">'TIDP-W'!$16:$16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A1 — Authorised for use</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Issued through the Common Data Environment. Uncontrolled when printed.</t>
        </is>
      </c>
    </row>
  </sheetData>
  <mergeCells count="2">
    <mergeCell ref="B28:C30"/>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SH</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SH</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SH-Z-0002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SH</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SH</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SH</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SH</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SH-Z-0003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SH</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IE</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DR</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TIDP-C</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SH</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DR</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SH</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DR</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DR</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DR</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DR</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DR</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TIDP-Y</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TIDP-Y</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TIDP-C</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DR</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TIDP-C</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CP</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SH</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TIDP-I</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DR</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DR</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DR</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SH</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SH</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DR</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TIDP-Y</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TIDP-Y</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TIDP-C</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CP</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SH</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TIDP-I</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DR</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TIDP-Y</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TIDP-Y</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TIDP-C</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TIDP-W</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TIDP-W</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SH</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TIDP-W</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SH</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SH</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SH</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TIDP-I</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TIDP-I</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TIDP-Y</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TIDP-Y</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TIDP-C</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TIDP-W</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SH</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SH</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IE</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SH</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SH</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SH</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SH-Z-0002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SH</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SH</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SH</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SH-Z-0003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SH</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IE</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SH</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DR</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SH</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SH</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SH</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IE</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SH</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DR</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DR</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SH</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DR</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DR</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SH</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SH</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SH</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DR</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9"/>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t>
        </is>
      </c>
      <c r="U17" s="22" t="inlineStr">
        <is>
          <t>Y</t>
        </is>
      </c>
      <c r="V17" s="22" t="inlineStr">
        <is>
          <t>Y</t>
        </is>
      </c>
      <c r="W17" s="22" t="inlineStr">
        <is>
          <t>N</t>
        </is>
      </c>
      <c r="X17" s="22" t="inlineStr"/>
      <c r="Y17" s="23" t="inlineStr">
        <is>
          <t>Sprinkler and detection layout</t>
        </is>
      </c>
    </row>
    <row r="18">
      <c r="B18" s="21" t="inlineStr">
        <is>
          <t>LV-200</t>
        </is>
      </c>
      <c r="C18" s="21" t="inlineStr">
        <is>
          <t>Low Voltage</t>
        </is>
      </c>
      <c r="D18" s="21" t="inlineStr"/>
      <c r="E18" s="22" t="inlineStr">
        <is>
          <t>ZZ</t>
        </is>
      </c>
      <c r="F18" s="23" t="inlineStr">
        <is>
          <t>Low voltage containment and equipment rooms</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LV lead</t>
        </is>
      </c>
      <c r="T18" s="21" t="inlineStr">
        <is>
          <t>TIDP-Y</t>
        </is>
      </c>
      <c r="U18" s="22" t="inlineStr">
        <is>
          <t>Y</t>
        </is>
      </c>
      <c r="V18" s="22" t="inlineStr">
        <is>
          <t>Y</t>
        </is>
      </c>
      <c r="W18" s="22" t="inlineStr">
        <is>
          <t>N</t>
        </is>
      </c>
      <c r="X18" s="22" t="inlineStr"/>
      <c r="Y18" s="23" t="inlineStr"/>
    </row>
    <row r="19">
      <c r="B19" s="21" t="inlineStr">
        <is>
          <t>FP-300</t>
        </is>
      </c>
      <c r="C19" s="21" t="inlineStr">
        <is>
          <t>Fire Protection</t>
        </is>
      </c>
      <c r="D19" s="21" t="inlineStr"/>
      <c r="E19" s="22" t="inlineStr">
        <is>
          <t>ZZ</t>
        </is>
      </c>
      <c r="F19" s="23" t="inlineStr">
        <is>
          <t>Fire strategy and model (100%)</t>
        </is>
      </c>
      <c r="G19" s="21" t="inlineStr">
        <is>
          <t>Model/Document</t>
        </is>
      </c>
      <c r="H19" s="22" t="inlineStr">
        <is>
          <t>M3</t>
        </is>
      </c>
      <c r="I19" s="21" t="inlineStr">
        <is>
          <t>2.3 Deliverable C</t>
        </is>
      </c>
      <c r="J19" s="22" t="inlineStr">
        <is>
          <t>350</t>
        </is>
      </c>
      <c r="K19" s="21" t="inlineStr">
        <is>
          <t>RVT/PDF</t>
        </is>
      </c>
      <c r="L19" s="22" t="inlineStr">
        <is>
          <t>S4</t>
        </is>
      </c>
      <c r="M19" s="22" t="inlineStr">
        <is>
          <t>Shared</t>
        </is>
      </c>
      <c r="N19" s="22" t="n">
        <v>5</v>
      </c>
      <c r="O19" s="22" t="n">
        <v>8</v>
      </c>
      <c r="P19" s="24" t="n"/>
      <c r="Q19" s="24" t="n"/>
      <c r="R19" s="21" t="n"/>
      <c r="S19" s="21" t="inlineStr">
        <is>
          <t>Fire lead</t>
        </is>
      </c>
      <c r="T19" s="21" t="inlineStr">
        <is>
          <t>TIDP-Y</t>
        </is>
      </c>
      <c r="U19" s="22" t="inlineStr">
        <is>
          <t>Y</t>
        </is>
      </c>
      <c r="V19" s="22" t="inlineStr">
        <is>
          <t>Y</t>
        </is>
      </c>
      <c r="W19" s="22" t="inlineStr">
        <is>
          <t>N</t>
        </is>
      </c>
      <c r="X19" s="22" t="inlineStr"/>
      <c r="Y19" s="23" t="inlineStr">
        <is>
          <t>Transition to the design-build contractor agreed</t>
        </is>
      </c>
    </row>
    <row r="20">
      <c r="B20" s="21" t="inlineStr">
        <is>
          <t>LV-300</t>
        </is>
      </c>
      <c r="C20" s="21" t="inlineStr">
        <is>
          <t>Low Voltage</t>
        </is>
      </c>
      <c r="D20" s="21" t="inlineStr"/>
      <c r="E20" s="22" t="inlineStr">
        <is>
          <t>ZZ</t>
        </is>
      </c>
      <c r="F20" s="23" t="inlineStr">
        <is>
          <t>Communications and security model and drawings</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LV lead</t>
        </is>
      </c>
      <c r="T20" s="21" t="inlineStr">
        <is>
          <t>TIDP-Y</t>
        </is>
      </c>
      <c r="U20" s="22" t="inlineStr">
        <is>
          <t>Y</t>
        </is>
      </c>
      <c r="V20" s="22" t="inlineStr">
        <is>
          <t>Y</t>
        </is>
      </c>
      <c r="W20" s="22" t="inlineStr">
        <is>
          <t>N</t>
        </is>
      </c>
      <c r="X20" s="22" t="inlineStr"/>
      <c r="Y20" s="23" t="inlineStr">
        <is>
          <t>Restricted-information handling per BEP 8.1</t>
        </is>
      </c>
    </row>
    <row r="21">
      <c r="B21" s="21" t="inlineStr">
        <is>
          <t>FP-500</t>
        </is>
      </c>
      <c r="C21" s="21" t="inlineStr">
        <is>
          <t>Fire Protection</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Design-build fire contractor</t>
        </is>
      </c>
      <c r="T21" s="21" t="inlineStr">
        <is>
          <t>TIDP-Y</t>
        </is>
      </c>
      <c r="U21" s="22" t="inlineStr">
        <is>
          <t>Y</t>
        </is>
      </c>
      <c r="V21" s="22" t="inlineStr">
        <is>
          <t>Y</t>
        </is>
      </c>
      <c r="W21" s="22" t="inlineStr">
        <is>
          <t>N</t>
        </is>
      </c>
      <c r="X21" s="22" t="inlineStr"/>
      <c r="Y21" s="23" t="inlineStr">
        <is>
          <t>D-B contractor becomes engineer of record</t>
        </is>
      </c>
    </row>
    <row r="22">
      <c r="B22" s="21" t="inlineStr">
        <is>
          <t>LV-500</t>
        </is>
      </c>
      <c r="C22" s="21" t="inlineStr">
        <is>
          <t>Low Voltage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LV lead</t>
        </is>
      </c>
      <c r="T22" s="21" t="inlineStr">
        <is>
          <t>TIDP-Y</t>
        </is>
      </c>
      <c r="U22" s="22" t="inlineStr">
        <is>
          <t>Y</t>
        </is>
      </c>
      <c r="V22" s="22" t="inlineStr">
        <is>
          <t>Y</t>
        </is>
      </c>
      <c r="W22" s="22" t="inlineStr">
        <is>
          <t>N</t>
        </is>
      </c>
      <c r="X22" s="22" t="inlineStr"/>
      <c r="Y22" s="23" t="inlineStr"/>
    </row>
    <row r="23">
      <c r="B23" s="21" t="inlineStr">
        <is>
          <t>FP-700</t>
        </is>
      </c>
      <c r="C23" s="21" t="inlineStr">
        <is>
          <t>Fire Protection</t>
        </is>
      </c>
      <c r="D23" s="21" t="inlineStr"/>
      <c r="E23" s="22" t="inlineStr">
        <is>
          <t>ZZ</t>
        </is>
      </c>
      <c r="F23" s="23" t="inlineStr">
        <is>
          <t>As-built fire protection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Design-build fire contractor</t>
        </is>
      </c>
      <c r="T23" s="21" t="inlineStr">
        <is>
          <t>TIDP-Y</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21" t="inlineStr">
        <is>
          <t>LV-700</t>
        </is>
      </c>
      <c r="C24" s="21" t="inlineStr">
        <is>
          <t>Low Voltage</t>
        </is>
      </c>
      <c r="D24" s="21" t="inlineStr"/>
      <c r="E24" s="22" t="inlineStr">
        <is>
          <t>ZZ</t>
        </is>
      </c>
      <c r="F24" s="23" t="inlineStr">
        <is>
          <t>As-built low voltage model (LOD 500, verified)</t>
        </is>
      </c>
      <c r="G24" s="21" t="inlineStr">
        <is>
          <t>Model</t>
        </is>
      </c>
      <c r="H24" s="22" t="inlineStr">
        <is>
          <t>M3</t>
        </is>
      </c>
      <c r="I24" s="21" t="inlineStr">
        <is>
          <t>3.3 Deliverable D</t>
        </is>
      </c>
      <c r="J24" s="22" t="inlineStr">
        <is>
          <t>500</t>
        </is>
      </c>
      <c r="K24" s="21" t="inlineStr">
        <is>
          <t>RVT/IFC</t>
        </is>
      </c>
      <c r="L24" s="22" t="inlineStr">
        <is>
          <t>A1</t>
        </is>
      </c>
      <c r="M24" s="22" t="inlineStr">
        <is>
          <t>Published</t>
        </is>
      </c>
      <c r="N24" s="22" t="n">
        <v>48</v>
      </c>
      <c r="O24" s="22" t="n">
        <v>49</v>
      </c>
      <c r="P24" s="24" t="n"/>
      <c r="Q24" s="24" t="n"/>
      <c r="R24" s="21" t="n"/>
      <c r="S24" s="21" t="inlineStr">
        <is>
          <t>LV lead</t>
        </is>
      </c>
      <c r="T24" s="21" t="inlineStr">
        <is>
          <t>TIDP-Y</t>
        </is>
      </c>
      <c r="U24" s="22" t="inlineStr">
        <is>
          <t>Y</t>
        </is>
      </c>
      <c r="V24" s="22" t="inlineStr">
        <is>
          <t>Y</t>
        </is>
      </c>
      <c r="W24" s="22" t="inlineStr">
        <is>
          <t>Y</t>
        </is>
      </c>
      <c r="X24" s="22" t="inlineStr"/>
      <c r="Y24" s="23" t="inlineStr">
        <is>
          <t>Authored by the design consultant from the Contractor as-built documentation; verified by the Information Manager</t>
        </is>
      </c>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sheetData>
  <mergeCells count="1">
    <mergeCell ref="B4:H5"/>
  </mergeCells>
  <dataValidations count="12">
    <dataValidation sqref="C17:C39" showDropDown="0" showInputMessage="0" showErrorMessage="0" allowBlank="1" type="list">
      <formula1>'Lists'!$A$2:$A$30</formula1>
    </dataValidation>
    <dataValidation sqref="E17:E39" showDropDown="0" showInputMessage="0" showErrorMessage="0" allowBlank="1" type="list">
      <formula1>'Lists'!$I$2:$I$30</formula1>
    </dataValidation>
    <dataValidation sqref="G17:G39" showDropDown="0" showInputMessage="0" showErrorMessage="0" allowBlank="1" type="list">
      <formula1>'Lists'!$C$2:$C$30</formula1>
    </dataValidation>
    <dataValidation sqref="H17:H39" showDropDown="0" showInputMessage="0" showErrorMessage="0" allowBlank="1" type="list">
      <formula1>'Lists'!$J$2:$J$30</formula1>
    </dataValidation>
    <dataValidation sqref="I17:I39" showDropDown="0" showInputMessage="0" showErrorMessage="0" allowBlank="1" type="list">
      <formula1>'Lists'!$D$2:$D$30</formula1>
    </dataValidation>
    <dataValidation sqref="J17:J39" showDropDown="0" showInputMessage="0" showErrorMessage="0" allowBlank="1" type="list">
      <formula1>'Lists'!$E$2:$E$30</formula1>
    </dataValidation>
    <dataValidation sqref="L17:L39" showDropDown="0" showInputMessage="0" showErrorMessage="0" allowBlank="1" type="list">
      <formula1>'Lists'!$F$2:$F$30</formula1>
    </dataValidation>
    <dataValidation sqref="M17:M39" showDropDown="0" showInputMessage="0" showErrorMessage="0" allowBlank="1" type="list">
      <formula1>'Lists'!$G$2:$G$30</formula1>
    </dataValidation>
    <dataValidation sqref="U17:U39" showDropDown="0" showInputMessage="0" showErrorMessage="0" allowBlank="1" type="list">
      <formula1>'Lists'!$K$2:$K$30</formula1>
    </dataValidation>
    <dataValidation sqref="V17:V39" showDropDown="0" showInputMessage="0" showErrorMessage="0" allowBlank="1" type="list">
      <formula1>'Lists'!$K$2:$K$30</formula1>
    </dataValidation>
    <dataValidation sqref="W17:W39" showDropDown="0" showInputMessage="0" showErrorMessage="0" allowBlank="1" type="list">
      <formula1>'Lists'!$K$2:$K$30</formula1>
    </dataValidation>
    <dataValidation sqref="X17:X39"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9"/>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t>
        </is>
      </c>
      <c r="U17" s="22" t="inlineStr">
        <is>
          <t>Y</t>
        </is>
      </c>
      <c r="V17" s="22" t="inlineStr">
        <is>
          <t>Y</t>
        </is>
      </c>
      <c r="W17" s="22" t="inlineStr">
        <is>
          <t>N</t>
        </is>
      </c>
      <c r="X17" s="22" t="inlineStr"/>
      <c r="Y17" s="23" t="inlineStr">
        <is>
          <t>Sprinkler and detection layout</t>
        </is>
      </c>
    </row>
    <row r="18">
      <c r="B18" s="21" t="inlineStr">
        <is>
          <t>LV-200</t>
        </is>
      </c>
      <c r="C18" s="21" t="inlineStr">
        <is>
          <t>Low Voltage</t>
        </is>
      </c>
      <c r="D18" s="21" t="inlineStr"/>
      <c r="E18" s="22" t="inlineStr">
        <is>
          <t>ZZ</t>
        </is>
      </c>
      <c r="F18" s="23" t="inlineStr">
        <is>
          <t>Low voltage containment and equipment rooms</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LV lead</t>
        </is>
      </c>
      <c r="T18" s="21" t="inlineStr">
        <is>
          <t>TIDP-Y</t>
        </is>
      </c>
      <c r="U18" s="22" t="inlineStr">
        <is>
          <t>Y</t>
        </is>
      </c>
      <c r="V18" s="22" t="inlineStr">
        <is>
          <t>Y</t>
        </is>
      </c>
      <c r="W18" s="22" t="inlineStr">
        <is>
          <t>N</t>
        </is>
      </c>
      <c r="X18" s="22" t="inlineStr"/>
      <c r="Y18" s="23" t="inlineStr"/>
    </row>
    <row r="19">
      <c r="B19" s="21" t="inlineStr">
        <is>
          <t>FP-300</t>
        </is>
      </c>
      <c r="C19" s="21" t="inlineStr">
        <is>
          <t>Fire Protection</t>
        </is>
      </c>
      <c r="D19" s="21" t="inlineStr"/>
      <c r="E19" s="22" t="inlineStr">
        <is>
          <t>ZZ</t>
        </is>
      </c>
      <c r="F19" s="23" t="inlineStr">
        <is>
          <t>Fire strategy and model (100%)</t>
        </is>
      </c>
      <c r="G19" s="21" t="inlineStr">
        <is>
          <t>Model/Document</t>
        </is>
      </c>
      <c r="H19" s="22" t="inlineStr">
        <is>
          <t>M3</t>
        </is>
      </c>
      <c r="I19" s="21" t="inlineStr">
        <is>
          <t>2.3 Deliverable C</t>
        </is>
      </c>
      <c r="J19" s="22" t="inlineStr">
        <is>
          <t>350</t>
        </is>
      </c>
      <c r="K19" s="21" t="inlineStr">
        <is>
          <t>RVT/PDF</t>
        </is>
      </c>
      <c r="L19" s="22" t="inlineStr">
        <is>
          <t>S4</t>
        </is>
      </c>
      <c r="M19" s="22" t="inlineStr">
        <is>
          <t>Shared</t>
        </is>
      </c>
      <c r="N19" s="22" t="n">
        <v>5</v>
      </c>
      <c r="O19" s="22" t="n">
        <v>8</v>
      </c>
      <c r="P19" s="24" t="n"/>
      <c r="Q19" s="24" t="n"/>
      <c r="R19" s="21" t="n"/>
      <c r="S19" s="21" t="inlineStr">
        <is>
          <t>Fire lead</t>
        </is>
      </c>
      <c r="T19" s="21" t="inlineStr">
        <is>
          <t>TIDP-Y</t>
        </is>
      </c>
      <c r="U19" s="22" t="inlineStr">
        <is>
          <t>Y</t>
        </is>
      </c>
      <c r="V19" s="22" t="inlineStr">
        <is>
          <t>Y</t>
        </is>
      </c>
      <c r="W19" s="22" t="inlineStr">
        <is>
          <t>N</t>
        </is>
      </c>
      <c r="X19" s="22" t="inlineStr"/>
      <c r="Y19" s="23" t="inlineStr">
        <is>
          <t>Transition to the design-build contractor agreed</t>
        </is>
      </c>
    </row>
    <row r="20">
      <c r="B20" s="21" t="inlineStr">
        <is>
          <t>LV-300</t>
        </is>
      </c>
      <c r="C20" s="21" t="inlineStr">
        <is>
          <t>Low Voltage</t>
        </is>
      </c>
      <c r="D20" s="21" t="inlineStr"/>
      <c r="E20" s="22" t="inlineStr">
        <is>
          <t>ZZ</t>
        </is>
      </c>
      <c r="F20" s="23" t="inlineStr">
        <is>
          <t>Communications and security model and drawings</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LV lead</t>
        </is>
      </c>
      <c r="T20" s="21" t="inlineStr">
        <is>
          <t>TIDP-Y</t>
        </is>
      </c>
      <c r="U20" s="22" t="inlineStr">
        <is>
          <t>Y</t>
        </is>
      </c>
      <c r="V20" s="22" t="inlineStr">
        <is>
          <t>Y</t>
        </is>
      </c>
      <c r="W20" s="22" t="inlineStr">
        <is>
          <t>N</t>
        </is>
      </c>
      <c r="X20" s="22" t="inlineStr"/>
      <c r="Y20" s="23" t="inlineStr">
        <is>
          <t>Restricted-information handling per BEP 8.1</t>
        </is>
      </c>
    </row>
    <row r="21">
      <c r="B21" s="21" t="inlineStr">
        <is>
          <t>FP-500</t>
        </is>
      </c>
      <c r="C21" s="21" t="inlineStr">
        <is>
          <t>Fire Protection</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Design-build fire contractor</t>
        </is>
      </c>
      <c r="T21" s="21" t="inlineStr">
        <is>
          <t>TIDP-Y</t>
        </is>
      </c>
      <c r="U21" s="22" t="inlineStr">
        <is>
          <t>Y</t>
        </is>
      </c>
      <c r="V21" s="22" t="inlineStr">
        <is>
          <t>Y</t>
        </is>
      </c>
      <c r="W21" s="22" t="inlineStr">
        <is>
          <t>N</t>
        </is>
      </c>
      <c r="X21" s="22" t="inlineStr"/>
      <c r="Y21" s="23" t="inlineStr">
        <is>
          <t>D-B contractor becomes engineer of record</t>
        </is>
      </c>
    </row>
    <row r="22">
      <c r="B22" s="21" t="inlineStr">
        <is>
          <t>LV-500</t>
        </is>
      </c>
      <c r="C22" s="21" t="inlineStr">
        <is>
          <t>Low Voltage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LV lead</t>
        </is>
      </c>
      <c r="T22" s="21" t="inlineStr">
        <is>
          <t>TIDP-Y</t>
        </is>
      </c>
      <c r="U22" s="22" t="inlineStr">
        <is>
          <t>Y</t>
        </is>
      </c>
      <c r="V22" s="22" t="inlineStr">
        <is>
          <t>Y</t>
        </is>
      </c>
      <c r="W22" s="22" t="inlineStr">
        <is>
          <t>N</t>
        </is>
      </c>
      <c r="X22" s="22" t="inlineStr"/>
      <c r="Y22" s="23" t="inlineStr"/>
    </row>
    <row r="23">
      <c r="B23" s="21" t="inlineStr">
        <is>
          <t>FP-700</t>
        </is>
      </c>
      <c r="C23" s="21" t="inlineStr">
        <is>
          <t>Fire Protection</t>
        </is>
      </c>
      <c r="D23" s="21" t="inlineStr"/>
      <c r="E23" s="22" t="inlineStr">
        <is>
          <t>ZZ</t>
        </is>
      </c>
      <c r="F23" s="23" t="inlineStr">
        <is>
          <t>As-built fire protection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Design-build fire contractor</t>
        </is>
      </c>
      <c r="T23" s="21" t="inlineStr">
        <is>
          <t>TIDP-Y</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21" t="inlineStr">
        <is>
          <t>LV-700</t>
        </is>
      </c>
      <c r="C24" s="21" t="inlineStr">
        <is>
          <t>Low Voltage</t>
        </is>
      </c>
      <c r="D24" s="21" t="inlineStr"/>
      <c r="E24" s="22" t="inlineStr">
        <is>
          <t>ZZ</t>
        </is>
      </c>
      <c r="F24" s="23" t="inlineStr">
        <is>
          <t>As-built low voltage model (LOD 500, verified)</t>
        </is>
      </c>
      <c r="G24" s="21" t="inlineStr">
        <is>
          <t>Model</t>
        </is>
      </c>
      <c r="H24" s="22" t="inlineStr">
        <is>
          <t>M3</t>
        </is>
      </c>
      <c r="I24" s="21" t="inlineStr">
        <is>
          <t>3.3 Deliverable D</t>
        </is>
      </c>
      <c r="J24" s="22" t="inlineStr">
        <is>
          <t>500</t>
        </is>
      </c>
      <c r="K24" s="21" t="inlineStr">
        <is>
          <t>RVT/IFC</t>
        </is>
      </c>
      <c r="L24" s="22" t="inlineStr">
        <is>
          <t>A1</t>
        </is>
      </c>
      <c r="M24" s="22" t="inlineStr">
        <is>
          <t>Published</t>
        </is>
      </c>
      <c r="N24" s="22" t="n">
        <v>48</v>
      </c>
      <c r="O24" s="22" t="n">
        <v>49</v>
      </c>
      <c r="P24" s="24" t="n"/>
      <c r="Q24" s="24" t="n"/>
      <c r="R24" s="21" t="n"/>
      <c r="S24" s="21" t="inlineStr">
        <is>
          <t>LV lead</t>
        </is>
      </c>
      <c r="T24" s="21" t="inlineStr">
        <is>
          <t>TIDP-Y</t>
        </is>
      </c>
      <c r="U24" s="22" t="inlineStr">
        <is>
          <t>Y</t>
        </is>
      </c>
      <c r="V24" s="22" t="inlineStr">
        <is>
          <t>Y</t>
        </is>
      </c>
      <c r="W24" s="22" t="inlineStr">
        <is>
          <t>Y</t>
        </is>
      </c>
      <c r="X24" s="22" t="inlineStr"/>
      <c r="Y24" s="23" t="inlineStr">
        <is>
          <t>Authored by the design consultant from the Contractor as-built documentation; verified by the Information Manager</t>
        </is>
      </c>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sheetData>
  <mergeCells count="1">
    <mergeCell ref="B4:H5"/>
  </mergeCells>
  <dataValidations count="12">
    <dataValidation sqref="C17:C39" showDropDown="0" showInputMessage="0" showErrorMessage="0" allowBlank="1" type="list">
      <formula1>'Lists'!$A$2:$A$30</formula1>
    </dataValidation>
    <dataValidation sqref="E17:E39" showDropDown="0" showInputMessage="0" showErrorMessage="0" allowBlank="1" type="list">
      <formula1>'Lists'!$I$2:$I$30</formula1>
    </dataValidation>
    <dataValidation sqref="G17:G39" showDropDown="0" showInputMessage="0" showErrorMessage="0" allowBlank="1" type="list">
      <formula1>'Lists'!$C$2:$C$30</formula1>
    </dataValidation>
    <dataValidation sqref="H17:H39" showDropDown="0" showInputMessage="0" showErrorMessage="0" allowBlank="1" type="list">
      <formula1>'Lists'!$J$2:$J$30</formula1>
    </dataValidation>
    <dataValidation sqref="I17:I39" showDropDown="0" showInputMessage="0" showErrorMessage="0" allowBlank="1" type="list">
      <formula1>'Lists'!$D$2:$D$30</formula1>
    </dataValidation>
    <dataValidation sqref="J17:J39" showDropDown="0" showInputMessage="0" showErrorMessage="0" allowBlank="1" type="list">
      <formula1>'Lists'!$E$2:$E$30</formula1>
    </dataValidation>
    <dataValidation sqref="L17:L39" showDropDown="0" showInputMessage="0" showErrorMessage="0" allowBlank="1" type="list">
      <formula1>'Lists'!$F$2:$F$30</formula1>
    </dataValidation>
    <dataValidation sqref="M17:M39" showDropDown="0" showInputMessage="0" showErrorMessage="0" allowBlank="1" type="list">
      <formula1>'Lists'!$G$2:$G$30</formula1>
    </dataValidation>
    <dataValidation sqref="U17:U39" showDropDown="0" showInputMessage="0" showErrorMessage="0" allowBlank="1" type="list">
      <formula1>'Lists'!$K$2:$K$30</formula1>
    </dataValidation>
    <dataValidation sqref="V17:V39" showDropDown="0" showInputMessage="0" showErrorMessage="0" allowBlank="1" type="list">
      <formula1>'Lists'!$K$2:$K$30</formula1>
    </dataValidation>
    <dataValidation sqref="W17:W39" showDropDown="0" showInputMessage="0" showErrorMessage="0" allowBlank="1" type="list">
      <formula1>'Lists'!$K$2:$K$30</formula1>
    </dataValidation>
    <dataValidation sqref="X17:X39"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TIDP-C</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TIDP-C</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TIDP-C</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TIDP-C</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TIDP-C</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TIDP-C</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CP</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CP</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SH</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TIDP-I</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SH</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TIDP-I</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SH</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TIDP-I</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TIDP-I</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TIDP-W</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TIDP-W</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SH</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TIDP-W</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TIDP-W</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SH</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TIDP-Y</t>
        </is>
      </c>
      <c r="C46" s="16">
        <f>COUNTIF(MIDP!$S:$S,$B46)</f>
        <v/>
      </c>
      <c r="D46" s="16">
        <f>COUNTIFS(MIDP!$S:$S,$B46,MIDP!$W:$W,"Complete")</f>
        <v/>
      </c>
      <c r="E46" s="16">
        <f>COUNTIFS(MIDP!$S:$S,$B46,MIDP!$W:$W,"Red")</f>
        <v/>
      </c>
      <c r="F46" s="16">
        <f>COUNTIFS(MIDP!$S:$S,$B46,MIDP!$W:$W,"Amber")</f>
        <v/>
      </c>
      <c r="G46" s="16">
        <f>C46-D46</f>
        <v/>
      </c>
    </row>
    <row r="47">
      <c r="B47" s="15" t="inlineStr">
        <is>
          <t>TIDP-Y</t>
        </is>
      </c>
      <c r="C47" s="16">
        <f>COUNTIF(MIDP!$S:$S,$B47)</f>
        <v/>
      </c>
      <c r="D47" s="16">
        <f>COUNTIFS(MIDP!$S:$S,$B47,MIDP!$W:$W,"Complete")</f>
        <v/>
      </c>
      <c r="E47" s="16">
        <f>COUNTIFS(MIDP!$S:$S,$B47,MIDP!$W:$W,"Red")</f>
        <v/>
      </c>
      <c r="F47" s="16">
        <f>COUNTIFS(MIDP!$S:$S,$B47,MIDP!$W:$W,"Amber")</f>
        <v/>
      </c>
      <c r="G47" s="16">
        <f>C47-D47</f>
        <v/>
      </c>
    </row>
    <row r="48">
      <c r="B48" s="15" t="inlineStr">
        <is>
          <t>TIDP-C</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TIDP-I</t>
        </is>
      </c>
      <c r="C50" s="16">
        <f>COUNTIF(MIDP!$S:$S,$B50)</f>
        <v/>
      </c>
      <c r="D50" s="16">
        <f>COUNTIFS(MIDP!$S:$S,$B50,MIDP!$W:$W,"Complete")</f>
        <v/>
      </c>
      <c r="E50" s="16">
        <f>COUNTIFS(MIDP!$S:$S,$B50,MIDP!$W:$W,"Red")</f>
        <v/>
      </c>
      <c r="F50" s="16">
        <f>COUNTIFS(MIDP!$S:$S,$B50,MIDP!$W:$W,"Amber")</f>
        <v/>
      </c>
      <c r="G50" s="16">
        <f>C50-D50</f>
        <v/>
      </c>
    </row>
    <row r="51">
      <c r="B51" s="15" t="inlineStr">
        <is>
          <t>TIDP-W</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SH-Z-0001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CO</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CP</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CR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DR</t>
        </is>
      </c>
    </row>
    <row r="6">
      <c r="A6" s="15" t="inlineStr">
        <is>
          <t>Mechanical</t>
        </is>
      </c>
      <c r="C6" s="15" t="inlineStr">
        <is>
          <t>Specification</t>
        </is>
      </c>
      <c r="D6" s="15" t="inlineStr">
        <is>
          <t>2.4 Tender</t>
        </is>
      </c>
      <c r="E6" s="15" t="inlineStr">
        <is>
          <t>350</t>
        </is>
      </c>
      <c r="F6" s="15" t="inlineStr">
        <is>
          <t>S4</t>
        </is>
      </c>
      <c r="I6" s="15" t="inlineStr">
        <is>
          <t>04</t>
        </is>
      </c>
      <c r="J6" s="15" t="inlineStr">
        <is>
          <t>IE</t>
        </is>
      </c>
    </row>
    <row r="7">
      <c r="A7" s="15" t="inlineStr">
        <is>
          <t>Electrical</t>
        </is>
      </c>
      <c r="C7" s="15" t="inlineStr">
        <is>
          <t>Report</t>
        </is>
      </c>
      <c r="D7" s="15" t="inlineStr">
        <is>
          <t>2.5 Conformed set</t>
        </is>
      </c>
      <c r="E7" s="15" t="inlineStr">
        <is>
          <t>400</t>
        </is>
      </c>
      <c r="F7" s="15" t="inlineStr">
        <is>
          <t>A1</t>
        </is>
      </c>
      <c r="I7" s="15" t="inlineStr">
        <is>
          <t>05</t>
        </is>
      </c>
      <c r="J7" s="15" t="inlineStr">
        <is>
          <t>M2</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M3</t>
        </is>
      </c>
    </row>
    <row r="9">
      <c r="A9" s="15" t="inlineStr">
        <is>
          <t>Fire Protection</t>
        </is>
      </c>
      <c r="C9" s="15" t="inlineStr">
        <is>
          <t>Room data sheet</t>
        </is>
      </c>
      <c r="D9" s="15" t="inlineStr">
        <is>
          <t>3.2 FF&amp;E</t>
        </is>
      </c>
      <c r="I9" s="15" t="inlineStr">
        <is>
          <t>ZZ</t>
        </is>
      </c>
      <c r="J9" s="15" t="inlineStr">
        <is>
          <t>MI</t>
        </is>
      </c>
    </row>
    <row r="10">
      <c r="A10" s="15" t="inlineStr">
        <is>
          <t>Low Voltage</t>
        </is>
      </c>
      <c r="C10" s="15" t="inlineStr">
        <is>
          <t>Model/Drawing</t>
        </is>
      </c>
      <c r="D10" s="15" t="inlineStr">
        <is>
          <t>3.3 Deliverable D</t>
        </is>
      </c>
      <c r="J10" s="15" t="inlineStr">
        <is>
          <t>PP</t>
        </is>
      </c>
    </row>
    <row r="11">
      <c r="A11" s="15" t="inlineStr">
        <is>
          <t>Civil and Site</t>
        </is>
      </c>
      <c r="C11" s="15" t="inlineStr">
        <is>
          <t>Model/Document</t>
        </is>
      </c>
      <c r="J11" s="15" t="inlineStr">
        <is>
          <t>PR</t>
        </is>
      </c>
    </row>
    <row r="12">
      <c r="A12" s="15" t="inlineStr">
        <is>
          <t>QS / Cost</t>
        </is>
      </c>
      <c r="C12" s="15" t="inlineStr">
        <is>
          <t>Schedule/Drawing</t>
        </is>
      </c>
      <c r="J12" s="15" t="inlineStr">
        <is>
          <t>RD</t>
        </is>
      </c>
    </row>
    <row r="13">
      <c r="A13" s="15" t="inlineStr">
        <is>
          <t>FF&amp;E</t>
        </is>
      </c>
      <c r="J13" s="15" t="inlineStr">
        <is>
          <t>RI</t>
        </is>
      </c>
    </row>
    <row r="14">
      <c r="A14" s="15" t="inlineStr">
        <is>
          <t>Contractor</t>
        </is>
      </c>
      <c r="J14" s="15" t="inlineStr">
        <is>
          <t>RP</t>
        </is>
      </c>
    </row>
    <row r="15">
      <c r="A15" s="15" t="inlineStr">
        <is>
          <t>All disciplines</t>
        </is>
      </c>
      <c r="J15" s="15" t="inlineStr">
        <is>
          <t>SH</t>
        </is>
      </c>
    </row>
    <row r="16">
      <c r="J16" s="15" t="inlineStr">
        <is>
          <t>SN</t>
        </is>
      </c>
    </row>
    <row r="17">
      <c r="J17" s="15" t="inlineStr">
        <is>
          <t>SP</t>
        </is>
      </c>
    </row>
    <row r="18">
      <c r="J18" s="15" t="inlineStr">
        <is>
          <t>SU</t>
        </is>
      </c>
    </row>
    <row r="19">
      <c r="J19" s="15" t="inlineStr">
        <is>
          <t>VS</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Issued through the Common Data Environment. Uncontrolled when printed. Generated by tools/build_midp.py; do not hand-edit - regenerate. parts-sha256:d9ad85f759b17270828bf867c2a7ae4f82c8777553f7cfac2473a8699551bfc9 inputs-sha256:86d1fe8f2d51d6949833901092d61eac6e08a9e9a42bccad6d4a9beef1f93e39</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