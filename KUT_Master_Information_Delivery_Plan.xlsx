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'MIDP'!$A$1:$R$69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KUT-PLN-ZZ-ZZ-SC-Z-0001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Planscape Consulting Engineers Ltd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Z-006</t>
        </is>
      </c>
      <c r="B8" s="12" t="inlineStr">
        <is>
          <t>All disciplines</t>
        </is>
      </c>
      <c r="C8" s="12" t="inlineStr"/>
      <c r="D8" s="13" t="inlineStr">
        <is>
          <t>Task Information Delivery Plan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XLSX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Task Team Managers</t>
        </is>
      </c>
      <c r="P8" s="12" t="inlineStr">
        <is>
          <t>TIDP-ALL</t>
        </is>
      </c>
      <c r="Q8" s="14" t="inlineStr"/>
      <c r="R8" s="13" t="inlineStr">
        <is>
          <t>One per appointed party</t>
        </is>
      </c>
    </row>
    <row r="9">
      <c r="A9" s="12" t="inlineStr">
        <is>
          <t>Z-010</t>
        </is>
      </c>
      <c r="B9" s="12" t="inlineStr">
        <is>
          <t>Information Management</t>
        </is>
      </c>
      <c r="C9" s="12" t="inlineStr"/>
      <c r="D9" s="13" t="inlineStr">
        <is>
          <t>Federated coordination model</t>
        </is>
      </c>
      <c r="E9" s="12" t="inlineStr">
        <is>
          <t>Model</t>
        </is>
      </c>
      <c r="F9" s="12" t="inlineStr">
        <is>
          <t>2.1 Deliverable A</t>
        </is>
      </c>
      <c r="G9" s="14" t="inlineStr">
        <is>
          <t>200</t>
        </is>
      </c>
      <c r="H9" s="12" t="inlineStr">
        <is>
          <t>NWC/IFC</t>
        </is>
      </c>
      <c r="I9" s="14" t="inlineStr">
        <is>
          <t>S1</t>
        </is>
      </c>
      <c r="J9" s="14" t="inlineStr">
        <is>
          <t>Shared</t>
        </is>
      </c>
      <c r="K9" s="12" t="inlineStr">
        <is>
          <t>M1</t>
        </is>
      </c>
      <c r="L9" s="15" t="n"/>
      <c r="M9" s="15" t="n"/>
      <c r="N9" s="16">
        <f>IF(AND(L9&lt;&gt;"",M9&lt;&gt;""),M9-L9,"")</f>
        <v/>
      </c>
      <c r="O9" s="12" t="inlineStr">
        <is>
          <t>BIM Coordinator</t>
        </is>
      </c>
      <c r="P9" s="12" t="inlineStr">
        <is>
          <t>TIDP-Z</t>
        </is>
      </c>
      <c r="Q9" s="14" t="inlineStr"/>
      <c r="R9" s="13" t="inlineStr">
        <is>
          <t>First federation</t>
        </is>
      </c>
    </row>
    <row r="10">
      <c r="A10" s="12" t="inlineStr">
        <is>
          <t>A-100</t>
        </is>
      </c>
      <c r="B10" s="12" t="inlineStr">
        <is>
          <t>Architecture</t>
        </is>
      </c>
      <c r="C10" s="12" t="inlineStr"/>
      <c r="D10" s="13" t="inlineStr">
        <is>
          <t>Architectural model</t>
        </is>
      </c>
      <c r="E10" s="12" t="inlineStr">
        <is>
          <t>Model</t>
        </is>
      </c>
      <c r="F10" s="12" t="inlineStr">
        <is>
          <t>2.1 Deliverable A</t>
        </is>
      </c>
      <c r="G10" s="14" t="inlineStr">
        <is>
          <t>200</t>
        </is>
      </c>
      <c r="H10" s="12" t="inlineStr">
        <is>
          <t>RVT/IFC</t>
        </is>
      </c>
      <c r="I10" s="14" t="inlineStr">
        <is>
          <t>S2</t>
        </is>
      </c>
      <c r="J10" s="14" t="inlineStr">
        <is>
          <t>Shared</t>
        </is>
      </c>
      <c r="K10" s="12" t="inlineStr">
        <is>
          <t>M1</t>
        </is>
      </c>
      <c r="L10" s="15" t="n"/>
      <c r="M10" s="15" t="n"/>
      <c r="N10" s="16">
        <f>IF(AND(L10&lt;&gt;"",M10&lt;&gt;""),M10-L10,"")</f>
        <v/>
      </c>
      <c r="O10" s="12" t="inlineStr">
        <is>
          <t>Architecture lead</t>
        </is>
      </c>
      <c r="P10" s="12" t="inlineStr">
        <is>
          <t>TIDP-A</t>
        </is>
      </c>
      <c r="Q10" s="14" t="inlineStr"/>
      <c r="R10" s="13" t="inlineStr">
        <is>
          <t>Massing and generic systems; rooms placed</t>
        </is>
      </c>
    </row>
    <row r="11">
      <c r="A11" s="12" t="inlineStr">
        <is>
          <t>S-100</t>
        </is>
      </c>
      <c r="B11" s="12" t="inlineStr">
        <is>
          <t>Structure</t>
        </is>
      </c>
      <c r="C11" s="12" t="inlineStr"/>
      <c r="D11" s="13" t="inlineStr">
        <is>
          <t>Structural model</t>
        </is>
      </c>
      <c r="E11" s="12" t="inlineStr">
        <is>
          <t>Model</t>
        </is>
      </c>
      <c r="F11" s="12" t="inlineStr">
        <is>
          <t>2.1 Deliverable A</t>
        </is>
      </c>
      <c r="G11" s="14" t="inlineStr">
        <is>
          <t>200</t>
        </is>
      </c>
      <c r="H11" s="12" t="inlineStr">
        <is>
          <t>RVT/IFC</t>
        </is>
      </c>
      <c r="I11" s="14" t="inlineStr">
        <is>
          <t>S2</t>
        </is>
      </c>
      <c r="J11" s="14" t="inlineStr">
        <is>
          <t>Shared</t>
        </is>
      </c>
      <c r="K11" s="12" t="inlineStr">
        <is>
          <t>M1</t>
        </is>
      </c>
      <c r="L11" s="15" t="n"/>
      <c r="M11" s="15" t="n"/>
      <c r="N11" s="16">
        <f>IF(AND(L11&lt;&gt;"",M11&lt;&gt;""),M11-L11,"")</f>
        <v/>
      </c>
      <c r="O11" s="12" t="inlineStr">
        <is>
          <t>Structural lead</t>
        </is>
      </c>
      <c r="P11" s="12" t="inlineStr">
        <is>
          <t>TIDP-S</t>
        </is>
      </c>
      <c r="Q11" s="14" t="inlineStr"/>
      <c r="R11" s="13" t="inlineStr">
        <is>
          <t>Indicative frame and foundations</t>
        </is>
      </c>
    </row>
    <row r="12">
      <c r="A12" s="12" t="inlineStr">
        <is>
          <t>M-100</t>
        </is>
      </c>
      <c r="B12" s="12" t="inlineStr">
        <is>
          <t>Mechanical</t>
        </is>
      </c>
      <c r="C12" s="12" t="inlineStr"/>
      <c r="D12" s="13" t="inlineStr">
        <is>
          <t>Mechanical model</t>
        </is>
      </c>
      <c r="E12" s="12" t="inlineStr">
        <is>
          <t>Model</t>
        </is>
      </c>
      <c r="F12" s="12" t="inlineStr">
        <is>
          <t>2.1 Deliverable A</t>
        </is>
      </c>
      <c r="G12" s="14" t="inlineStr">
        <is>
          <t>200</t>
        </is>
      </c>
      <c r="H12" s="12" t="inlineStr">
        <is>
          <t>RVT/IFC</t>
        </is>
      </c>
      <c r="I12" s="14" t="inlineStr">
        <is>
          <t>S2</t>
        </is>
      </c>
      <c r="J12" s="14" t="inlineStr">
        <is>
          <t>Shared</t>
        </is>
      </c>
      <c r="K12" s="12" t="inlineStr">
        <is>
          <t>M1</t>
        </is>
      </c>
      <c r="L12" s="15" t="n"/>
      <c r="M12" s="15" t="n"/>
      <c r="N12" s="16">
        <f>IF(AND(L12&lt;&gt;"",M12&lt;&gt;""),M12-L12,"")</f>
        <v/>
      </c>
      <c r="O12" s="12" t="inlineStr">
        <is>
          <t>MEP lead</t>
        </is>
      </c>
      <c r="P12" s="12" t="inlineStr">
        <is>
          <t>TIDP-M</t>
        </is>
      </c>
      <c r="Q12" s="14" t="inlineStr"/>
      <c r="R12" s="13" t="inlineStr">
        <is>
          <t>Plant space allocation, primary routes</t>
        </is>
      </c>
    </row>
    <row r="13">
      <c r="A13" s="12" t="inlineStr">
        <is>
          <t>E-100</t>
        </is>
      </c>
      <c r="B13" s="12" t="inlineStr">
        <is>
          <t>Electrical</t>
        </is>
      </c>
      <c r="C13" s="12" t="inlineStr"/>
      <c r="D13" s="13" t="inlineStr">
        <is>
          <t>Electrical model</t>
        </is>
      </c>
      <c r="E13" s="12" t="inlineStr">
        <is>
          <t>Model</t>
        </is>
      </c>
      <c r="F13" s="12" t="inlineStr">
        <is>
          <t>2.1 Deliverable A</t>
        </is>
      </c>
      <c r="G13" s="14" t="inlineStr">
        <is>
          <t>200</t>
        </is>
      </c>
      <c r="H13" s="12" t="inlineStr">
        <is>
          <t>RVT/IFC</t>
        </is>
      </c>
      <c r="I13" s="14" t="inlineStr">
        <is>
          <t>S2</t>
        </is>
      </c>
      <c r="J13" s="14" t="inlineStr">
        <is>
          <t>Shared</t>
        </is>
      </c>
      <c r="K13" s="12" t="inlineStr">
        <is>
          <t>M1</t>
        </is>
      </c>
      <c r="L13" s="15" t="n"/>
      <c r="M13" s="15" t="n"/>
      <c r="N13" s="16">
        <f>IF(AND(L13&lt;&gt;"",M13&lt;&gt;""),M13-L13,"")</f>
        <v/>
      </c>
      <c r="O13" s="12" t="inlineStr">
        <is>
          <t>MEP lead</t>
        </is>
      </c>
      <c r="P13" s="12" t="inlineStr">
        <is>
          <t>TIDP-E</t>
        </is>
      </c>
      <c r="Q13" s="14" t="inlineStr"/>
      <c r="R13" s="13" t="inlineStr">
        <is>
          <t>Plant space allocation, primary routes</t>
        </is>
      </c>
    </row>
    <row r="14">
      <c r="A14" s="12" t="inlineStr">
        <is>
          <t>P-100</t>
        </is>
      </c>
      <c r="B14" s="12" t="inlineStr">
        <is>
          <t>Public Health</t>
        </is>
      </c>
      <c r="C14" s="12" t="inlineStr"/>
      <c r="D14" s="13" t="inlineStr">
        <is>
          <t>Plumbing and drainage model</t>
        </is>
      </c>
      <c r="E14" s="12" t="inlineStr">
        <is>
          <t>Model</t>
        </is>
      </c>
      <c r="F14" s="12" t="inlineStr">
        <is>
          <t>2.1 Deliverable A</t>
        </is>
      </c>
      <c r="G14" s="14" t="inlineStr">
        <is>
          <t>200</t>
        </is>
      </c>
      <c r="H14" s="12" t="inlineStr">
        <is>
          <t>RVT/IFC</t>
        </is>
      </c>
      <c r="I14" s="14" t="inlineStr">
        <is>
          <t>S2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lead</t>
        </is>
      </c>
      <c r="P14" s="12" t="inlineStr">
        <is>
          <t>TIDP-P</t>
        </is>
      </c>
      <c r="Q14" s="14" t="inlineStr"/>
      <c r="R14" s="13" t="inlineStr">
        <is>
          <t>Primary routes</t>
        </is>
      </c>
    </row>
    <row r="15">
      <c r="A15" s="12" t="inlineStr">
        <is>
          <t>G-100</t>
        </is>
      </c>
      <c r="B15" s="12" t="inlineStr">
        <is>
          <t>Civil and Site</t>
        </is>
      </c>
      <c r="C15" s="12" t="inlineStr"/>
      <c r="D15" s="13" t="inlineStr">
        <is>
          <t>Site model and levels</t>
        </is>
      </c>
      <c r="E15" s="12" t="inlineStr">
        <is>
          <t>Model</t>
        </is>
      </c>
      <c r="F15" s="12" t="inlineStr">
        <is>
          <t>2.1 Deliverable A</t>
        </is>
      </c>
      <c r="G15" s="14" t="inlineStr">
        <is>
          <t>200</t>
        </is>
      </c>
      <c r="H15" s="12" t="inlineStr">
        <is>
          <t>RVT/IFC</t>
        </is>
      </c>
      <c r="I15" s="14" t="inlineStr">
        <is>
          <t>S2</t>
        </is>
      </c>
      <c r="J15" s="14" t="inlineStr">
        <is>
          <t>Shared</t>
        </is>
      </c>
      <c r="K15" s="12" t="inlineStr">
        <is>
          <t>M1</t>
        </is>
      </c>
      <c r="L15" s="15" t="n"/>
      <c r="M15" s="15" t="n"/>
      <c r="N15" s="16">
        <f>IF(AND(L15&lt;&gt;"",M15&lt;&gt;""),M15-L15,"")</f>
        <v/>
      </c>
      <c r="O15" s="12" t="inlineStr">
        <is>
          <t>Civil lead</t>
        </is>
      </c>
      <c r="P15" s="12" t="inlineStr">
        <is>
          <t>TIDP-G</t>
        </is>
      </c>
      <c r="Q15" s="14" t="inlineStr"/>
      <c r="R15" s="13" t="inlineStr">
        <is>
          <t>Site levels, access, drainage strategy</t>
        </is>
      </c>
    </row>
    <row r="16">
      <c r="A16" s="12" t="inlineStr">
        <is>
          <t>Z-110</t>
        </is>
      </c>
      <c r="B16" s="12" t="inlineStr">
        <is>
          <t>Information Management</t>
        </is>
      </c>
      <c r="C16" s="12" t="inlineStr"/>
      <c r="D16" s="13" t="inlineStr">
        <is>
          <t>Basis of design report</t>
        </is>
      </c>
      <c r="E16" s="12" t="inlineStr">
        <is>
          <t>Document</t>
        </is>
      </c>
      <c r="F16" s="12" t="inlineStr">
        <is>
          <t>2.1 Deliverable A</t>
        </is>
      </c>
      <c r="G16" s="14" t="inlineStr">
        <is>
          <t>200</t>
        </is>
      </c>
      <c r="H16" s="12" t="inlineStr">
        <is>
          <t>DOCX/PDF</t>
        </is>
      </c>
      <c r="I16" s="14" t="inlineStr">
        <is>
          <t>S3</t>
        </is>
      </c>
      <c r="J16" s="14" t="inlineStr">
        <is>
          <t>Shared</t>
        </is>
      </c>
      <c r="K16" s="12" t="inlineStr">
        <is>
          <t>M1</t>
        </is>
      </c>
      <c r="L16" s="15" t="n"/>
      <c r="M16" s="15" t="n"/>
      <c r="N16" s="16">
        <f>IF(AND(L16&lt;&gt;"",M16&lt;&gt;""),M16-L16,"")</f>
        <v/>
      </c>
      <c r="O16" s="12" t="inlineStr">
        <is>
          <t>Lead Appointed Party</t>
        </is>
      </c>
      <c r="P16" s="12" t="inlineStr">
        <is>
          <t>TIDP-Z</t>
        </is>
      </c>
      <c r="Q16" s="14" t="inlineStr"/>
      <c r="R16" s="13" t="inlineStr">
        <is>
          <t>Design intent</t>
        </is>
      </c>
    </row>
    <row r="17">
      <c r="A17" s="12" t="inlineStr">
        <is>
          <t>Z-111</t>
        </is>
      </c>
      <c r="B17" s="12" t="inlineStr">
        <is>
          <t>Information Management</t>
        </is>
      </c>
      <c r="C17" s="12" t="inlineStr"/>
      <c r="D17" s="13" t="inlineStr">
        <is>
          <t>Area schedule reconciled to the brief</t>
        </is>
      </c>
      <c r="E17" s="12" t="inlineStr">
        <is>
          <t>Schedule</t>
        </is>
      </c>
      <c r="F17" s="12" t="inlineStr">
        <is>
          <t>2.1 Deliverable A</t>
        </is>
      </c>
      <c r="G17" s="14" t="inlineStr">
        <is>
          <t>200</t>
        </is>
      </c>
      <c r="H17" s="12" t="inlineStr">
        <is>
          <t>XLSX/PDF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Information Manager</t>
        </is>
      </c>
      <c r="P17" s="12" t="inlineStr">
        <is>
          <t>TIDP-Z</t>
        </is>
      </c>
      <c r="Q17" s="14" t="inlineStr"/>
      <c r="R17" s="13" t="inlineStr">
        <is>
          <t>Gate condition</t>
        </is>
      </c>
    </row>
    <row r="18">
      <c r="A18" s="12" t="inlineStr">
        <is>
          <t>Z-112</t>
        </is>
      </c>
      <c r="B18" s="12" t="inlineStr">
        <is>
          <t>Information Management</t>
        </is>
      </c>
      <c r="C18" s="12" t="inlineStr"/>
      <c r="D18" s="13" t="inlineStr">
        <is>
          <t>Deliverable A gate pack</t>
        </is>
      </c>
      <c r="E18" s="12" t="inlineStr">
        <is>
          <t>Document</t>
        </is>
      </c>
      <c r="F18" s="12" t="inlineStr">
        <is>
          <t>2.1 Deliverable A</t>
        </is>
      </c>
      <c r="G18" s="14" t="inlineStr">
        <is>
          <t>200</t>
        </is>
      </c>
      <c r="H18" s="12" t="inlineStr">
        <is>
          <t>PDF</t>
        </is>
      </c>
      <c r="I18" s="14" t="inlineStr">
        <is>
          <t>S4</t>
        </is>
      </c>
      <c r="J18" s="14" t="inlineStr">
        <is>
          <t>Shared</t>
        </is>
      </c>
      <c r="K18" s="12" t="inlineStr">
        <is>
          <t>M1</t>
        </is>
      </c>
      <c r="L18" s="15" t="n"/>
      <c r="M18" s="15" t="n"/>
      <c r="N18" s="16">
        <f>IF(AND(L18&lt;&gt;"",M18&lt;&gt;""),M18-L18,"")</f>
        <v/>
      </c>
      <c r="O18" s="12" t="inlineStr">
        <is>
          <t>Information Manager</t>
        </is>
      </c>
      <c r="P18" s="12" t="inlineStr">
        <is>
          <t>TIDP-Z</t>
        </is>
      </c>
      <c r="Q18" s="14" t="inlineStr"/>
      <c r="R18" s="13" t="inlineStr">
        <is>
          <t>Contents per the playbook, Appendix B</t>
        </is>
      </c>
    </row>
    <row r="19">
      <c r="A19" s="12" t="inlineStr">
        <is>
          <t>A-200</t>
        </is>
      </c>
      <c r="B19" s="12" t="inlineStr">
        <is>
          <t>Architecture</t>
        </is>
      </c>
      <c r="C19" s="12" t="inlineStr"/>
      <c r="D19" s="13" t="inlineStr">
        <is>
          <t>Architectural model</t>
        </is>
      </c>
      <c r="E19" s="12" t="inlineStr">
        <is>
          <t>Model</t>
        </is>
      </c>
      <c r="F19" s="12" t="inlineStr">
        <is>
          <t>2.2 Deliverable B</t>
        </is>
      </c>
      <c r="G19" s="14" t="inlineStr">
        <is>
          <t>300</t>
        </is>
      </c>
      <c r="H19" s="12" t="inlineStr">
        <is>
          <t>RVT/IFC</t>
        </is>
      </c>
      <c r="I19" s="14" t="inlineStr">
        <is>
          <t>S2</t>
        </is>
      </c>
      <c r="J19" s="14" t="inlineStr">
        <is>
          <t>Shared</t>
        </is>
      </c>
      <c r="K19" s="12" t="inlineStr">
        <is>
          <t>M4</t>
        </is>
      </c>
      <c r="L19" s="15" t="n"/>
      <c r="M19" s="15" t="n"/>
      <c r="N19" s="16">
        <f>IF(AND(L19&lt;&gt;"",M19&lt;&gt;""),M19-L19,"")</f>
        <v/>
      </c>
      <c r="O19" s="12" t="inlineStr">
        <is>
          <t>Architecture lead</t>
        </is>
      </c>
      <c r="P19" s="12" t="inlineStr">
        <is>
          <t>TIDP-A</t>
        </is>
      </c>
      <c r="Q19" s="14" t="inlineStr"/>
      <c r="R19" s="13" t="inlineStr">
        <is>
          <t>Real geometry, correctly located</t>
        </is>
      </c>
    </row>
    <row r="20">
      <c r="A20" s="12" t="inlineStr">
        <is>
          <t>A-201</t>
        </is>
      </c>
      <c r="B20" s="12" t="inlineStr">
        <is>
          <t>Architecture</t>
        </is>
      </c>
      <c r="C20" s="12" t="inlineStr"/>
      <c r="D20" s="13" t="inlineStr">
        <is>
          <t>General arrangement plans, sections and elevations (50%)</t>
        </is>
      </c>
      <c r="E20" s="12" t="inlineStr">
        <is>
          <t>Drawing</t>
        </is>
      </c>
      <c r="F20" s="12" t="inlineStr">
        <is>
          <t>2.2 Deliverable B</t>
        </is>
      </c>
      <c r="G20" s="14" t="inlineStr">
        <is>
          <t>300</t>
        </is>
      </c>
      <c r="H20" s="12" t="inlineStr">
        <is>
          <t>PDF/DWG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M4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/>
    </row>
    <row r="21">
      <c r="A21" s="12" t="inlineStr">
        <is>
          <t>A-202</t>
        </is>
      </c>
      <c r="B21" s="12" t="inlineStr">
        <is>
          <t>Architecture</t>
        </is>
      </c>
      <c r="C21" s="12" t="inlineStr"/>
      <c r="D21" s="13" t="inlineStr">
        <is>
          <t>Door and window schedules</t>
        </is>
      </c>
      <c r="E21" s="12" t="inlineStr">
        <is>
          <t>Schedule</t>
        </is>
      </c>
      <c r="F21" s="12" t="inlineStr">
        <is>
          <t>2.2 Deliverable B</t>
        </is>
      </c>
      <c r="G21" s="14" t="inlineStr">
        <is>
          <t>300</t>
        </is>
      </c>
      <c r="H21" s="12" t="inlineStr">
        <is>
          <t>PDF/XLSX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M4</t>
        </is>
      </c>
      <c r="L21" s="15" t="n"/>
      <c r="M21" s="15" t="n"/>
      <c r="N21" s="16">
        <f>IF(AND(L21&lt;&gt;"",M21&lt;&gt;""),M21-L21,"")</f>
        <v/>
      </c>
      <c r="O21" s="12" t="inlineStr">
        <is>
          <t>Architecture lead</t>
        </is>
      </c>
      <c r="P21" s="12" t="inlineStr">
        <is>
          <t>TIDP-A</t>
        </is>
      </c>
      <c r="Q21" s="14" t="inlineStr"/>
      <c r="R21" s="13" t="inlineStr"/>
    </row>
    <row r="22">
      <c r="A22" s="12" t="inlineStr">
        <is>
          <t>A-203</t>
        </is>
      </c>
      <c r="B22" s="12" t="inlineStr">
        <is>
          <t>Architecture</t>
        </is>
      </c>
      <c r="C22" s="12" t="inlineStr"/>
      <c r="D22" s="13" t="inlineStr">
        <is>
          <t>Room data sheets (key spaces)</t>
        </is>
      </c>
      <c r="E22" s="12" t="inlineStr">
        <is>
          <t>Room data sheet</t>
        </is>
      </c>
      <c r="F22" s="12" t="inlineStr">
        <is>
          <t>2.2 Deliverable B</t>
        </is>
      </c>
      <c r="G22" s="14" t="inlineStr">
        <is>
          <t>300</t>
        </is>
      </c>
      <c r="H22" s="12" t="inlineStr">
        <is>
          <t>PDF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M4</t>
        </is>
      </c>
      <c r="L22" s="15" t="n"/>
      <c r="M22" s="15" t="n"/>
      <c r="N22" s="16">
        <f>IF(AND(L22&lt;&gt;"",M22&lt;&gt;""),M22-L22,"")</f>
        <v/>
      </c>
      <c r="O22" s="12" t="inlineStr">
        <is>
          <t>Architecture lead</t>
        </is>
      </c>
      <c r="P22" s="12" t="inlineStr">
        <is>
          <t>TIDP-A</t>
        </is>
      </c>
      <c r="Q22" s="14" t="inlineStr"/>
      <c r="R22" s="13" t="inlineStr"/>
    </row>
    <row r="23">
      <c r="A23" s="12" t="inlineStr">
        <is>
          <t>A-204</t>
        </is>
      </c>
      <c r="B23" s="12" t="inlineStr">
        <is>
          <t>Architecture</t>
        </is>
      </c>
      <c r="C23" s="12" t="inlineStr"/>
      <c r="D23" s="13" t="inlineStr">
        <is>
          <t>Existing conditions and removals plan</t>
        </is>
      </c>
      <c r="E23" s="12" t="inlineStr">
        <is>
          <t>Drawing</t>
        </is>
      </c>
      <c r="F23" s="12" t="inlineStr">
        <is>
          <t>2.2 Deliverable B</t>
        </is>
      </c>
      <c r="G23" s="14" t="inlineStr">
        <is>
          <t>300</t>
        </is>
      </c>
      <c r="H23" s="12" t="inlineStr">
        <is>
          <t>PDF/DWG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M4</t>
        </is>
      </c>
      <c r="L23" s="15" t="n"/>
      <c r="M23" s="15" t="n"/>
      <c r="N23" s="16">
        <f>IF(AND(L23&lt;&gt;"",M23&lt;&gt;""),M23-L23,"")</f>
        <v/>
      </c>
      <c r="O23" s="12" t="inlineStr">
        <is>
          <t>Architecture lead</t>
        </is>
      </c>
      <c r="P23" s="12" t="inlineStr">
        <is>
          <t>TIDP-A</t>
        </is>
      </c>
      <c r="Q23" s="14" t="inlineStr"/>
      <c r="R23" s="13" t="inlineStr">
        <is>
          <t>Demolition classification is a manual task; see BEP 10.3</t>
        </is>
      </c>
    </row>
    <row r="24">
      <c r="A24" s="12" t="inlineStr">
        <is>
          <t>S-200</t>
        </is>
      </c>
      <c r="B24" s="12" t="inlineStr">
        <is>
          <t>Structure</t>
        </is>
      </c>
      <c r="C24" s="12" t="inlineStr"/>
      <c r="D24" s="13" t="inlineStr">
        <is>
          <t>Structural model</t>
        </is>
      </c>
      <c r="E24" s="12" t="inlineStr">
        <is>
          <t>Model</t>
        </is>
      </c>
      <c r="F24" s="12" t="inlineStr">
        <is>
          <t>2.2 Deliverable B</t>
        </is>
      </c>
      <c r="G24" s="14" t="inlineStr">
        <is>
          <t>300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M4</t>
        </is>
      </c>
      <c r="L24" s="15" t="n"/>
      <c r="M24" s="15" t="n"/>
      <c r="N24" s="16">
        <f>IF(AND(L24&lt;&gt;"",M24&lt;&gt;""),M24-L24,"")</f>
        <v/>
      </c>
      <c r="O24" s="12" t="inlineStr">
        <is>
          <t>Structural lead</t>
        </is>
      </c>
      <c r="P24" s="12" t="inlineStr">
        <is>
          <t>TIDP-S</t>
        </is>
      </c>
      <c r="Q24" s="14" t="inlineStr"/>
      <c r="R24" s="13" t="inlineStr">
        <is>
          <t>Sized members; penetrations coordinated</t>
        </is>
      </c>
    </row>
    <row r="25">
      <c r="A25" s="12" t="inlineStr">
        <is>
          <t>S-201</t>
        </is>
      </c>
      <c r="B25" s="12" t="inlineStr">
        <is>
          <t>Structure</t>
        </is>
      </c>
      <c r="C25" s="12" t="inlineStr"/>
      <c r="D25" s="13" t="inlineStr">
        <is>
          <t>General arrangement drawings (50%)</t>
        </is>
      </c>
      <c r="E25" s="12" t="inlineStr">
        <is>
          <t>Drawing</t>
        </is>
      </c>
      <c r="F25" s="12" t="inlineStr">
        <is>
          <t>2.2 Deliverable B</t>
        </is>
      </c>
      <c r="G25" s="14" t="inlineStr">
        <is>
          <t>300</t>
        </is>
      </c>
      <c r="H25" s="12" t="inlineStr">
        <is>
          <t>PDF/DWG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M4</t>
        </is>
      </c>
      <c r="L25" s="15" t="n"/>
      <c r="M25" s="15" t="n"/>
      <c r="N25" s="16">
        <f>IF(AND(L25&lt;&gt;"",M25&lt;&gt;""),M25-L25,"")</f>
        <v/>
      </c>
      <c r="O25" s="12" t="inlineStr">
        <is>
          <t>Structural lead</t>
        </is>
      </c>
      <c r="P25" s="12" t="inlineStr">
        <is>
          <t>TIDP-S</t>
        </is>
      </c>
      <c r="Q25" s="14" t="inlineStr"/>
      <c r="R25" s="13" t="inlineStr"/>
    </row>
    <row r="26">
      <c r="A26" s="12" t="inlineStr">
        <is>
          <t>M-200</t>
        </is>
      </c>
      <c r="B26" s="12" t="inlineStr">
        <is>
          <t>Mechanical</t>
        </is>
      </c>
      <c r="C26" s="12" t="inlineStr"/>
      <c r="D26" s="13" t="inlineStr">
        <is>
          <t>Mechanical model</t>
        </is>
      </c>
      <c r="E26" s="12" t="inlineStr">
        <is>
          <t>Model</t>
        </is>
      </c>
      <c r="F26" s="12" t="inlineStr">
        <is>
          <t>2.2 Deliverable B</t>
        </is>
      </c>
      <c r="G26" s="14" t="inlineStr">
        <is>
          <t>300</t>
        </is>
      </c>
      <c r="H26" s="12" t="inlineStr">
        <is>
          <t>RVT/IFC</t>
        </is>
      </c>
      <c r="I26" s="14" t="inlineStr">
        <is>
          <t>S2</t>
        </is>
      </c>
      <c r="J26" s="14" t="inlineStr">
        <is>
          <t>Shared</t>
        </is>
      </c>
      <c r="K26" s="12" t="inlineStr">
        <is>
          <t>M4</t>
        </is>
      </c>
      <c r="L26" s="15" t="n"/>
      <c r="M26" s="15" t="n"/>
      <c r="N26" s="16">
        <f>IF(AND(L26&lt;&gt;"",M26&lt;&gt;""),M26-L26,"")</f>
        <v/>
      </c>
      <c r="O26" s="12" t="inlineStr">
        <is>
          <t>MEP lead</t>
        </is>
      </c>
      <c r="P26" s="12" t="inlineStr">
        <is>
          <t>TIDP-M</t>
        </is>
      </c>
      <c r="Q26" s="14" t="inlineStr"/>
      <c r="R26" s="13" t="inlineStr">
        <is>
          <t>Real equipment; risers fixed</t>
        </is>
      </c>
    </row>
    <row r="27">
      <c r="A27" s="12" t="inlineStr">
        <is>
          <t>M-201</t>
        </is>
      </c>
      <c r="B27" s="12" t="inlineStr">
        <is>
          <t>Mechanical</t>
        </is>
      </c>
      <c r="C27" s="12" t="inlineStr"/>
      <c r="D27" s="13" t="inlineStr">
        <is>
          <t>HVAC layouts (50%)</t>
        </is>
      </c>
      <c r="E27" s="12" t="inlineStr">
        <is>
          <t>Drawing</t>
        </is>
      </c>
      <c r="F27" s="12" t="inlineStr">
        <is>
          <t>2.2 Deliverable B</t>
        </is>
      </c>
      <c r="G27" s="14" t="inlineStr">
        <is>
          <t>300</t>
        </is>
      </c>
      <c r="H27" s="12" t="inlineStr">
        <is>
          <t>PDF/DWG</t>
        </is>
      </c>
      <c r="I27" s="14" t="inlineStr">
        <is>
          <t>S2</t>
        </is>
      </c>
      <c r="J27" s="14" t="inlineStr">
        <is>
          <t>Shared</t>
        </is>
      </c>
      <c r="K27" s="12" t="inlineStr">
        <is>
          <t>M4</t>
        </is>
      </c>
      <c r="L27" s="15" t="n"/>
      <c r="M27" s="15" t="n"/>
      <c r="N27" s="16">
        <f>IF(AND(L27&lt;&gt;"",M27&lt;&gt;""),M27-L27,"")</f>
        <v/>
      </c>
      <c r="O27" s="12" t="inlineStr">
        <is>
          <t>MEP lead</t>
        </is>
      </c>
      <c r="P27" s="12" t="inlineStr">
        <is>
          <t>TIDP-M</t>
        </is>
      </c>
      <c r="Q27" s="14" t="inlineStr"/>
      <c r="R27" s="13" t="inlineStr"/>
    </row>
    <row r="28">
      <c r="A28" s="12" t="inlineStr">
        <is>
          <t>E-200</t>
        </is>
      </c>
      <c r="B28" s="12" t="inlineStr">
        <is>
          <t>Electrical</t>
        </is>
      </c>
      <c r="C28" s="12" t="inlineStr"/>
      <c r="D28" s="13" t="inlineStr">
        <is>
          <t>Electrical model</t>
        </is>
      </c>
      <c r="E28" s="12" t="inlineStr">
        <is>
          <t>Model</t>
        </is>
      </c>
      <c r="F28" s="12" t="inlineStr">
        <is>
          <t>2.2 Deliverable B</t>
        </is>
      </c>
      <c r="G28" s="14" t="inlineStr">
        <is>
          <t>300</t>
        </is>
      </c>
      <c r="H28" s="12" t="inlineStr">
        <is>
          <t>RVT/IFC</t>
        </is>
      </c>
      <c r="I28" s="14" t="inlineStr">
        <is>
          <t>S2</t>
        </is>
      </c>
      <c r="J28" s="14" t="inlineStr">
        <is>
          <t>Shared</t>
        </is>
      </c>
      <c r="K28" s="12" t="inlineStr">
        <is>
          <t>M4</t>
        </is>
      </c>
      <c r="L28" s="15" t="n"/>
      <c r="M28" s="15" t="n"/>
      <c r="N28" s="16">
        <f>IF(AND(L28&lt;&gt;"",M28&lt;&gt;""),M28-L28,"")</f>
        <v/>
      </c>
      <c r="O28" s="12" t="inlineStr">
        <is>
          <t>MEP lead</t>
        </is>
      </c>
      <c r="P28" s="12" t="inlineStr">
        <is>
          <t>TIDP-E</t>
        </is>
      </c>
      <c r="Q28" s="14" t="inlineStr"/>
      <c r="R28" s="13" t="inlineStr"/>
    </row>
    <row r="29">
      <c r="A29" s="12" t="inlineStr">
        <is>
          <t>E-201</t>
        </is>
      </c>
      <c r="B29" s="12" t="inlineStr">
        <is>
          <t>Electrical</t>
        </is>
      </c>
      <c r="C29" s="12" t="inlineStr"/>
      <c r="D29" s="13" t="inlineStr">
        <is>
          <t>Power and lighting layouts (50%)</t>
        </is>
      </c>
      <c r="E29" s="12" t="inlineStr">
        <is>
          <t>Drawing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PDF/DWG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MEP lead</t>
        </is>
      </c>
      <c r="P29" s="12" t="inlineStr">
        <is>
          <t>TIDP-E</t>
        </is>
      </c>
      <c r="Q29" s="14" t="inlineStr"/>
      <c r="R29" s="13" t="inlineStr"/>
    </row>
    <row r="30">
      <c r="A30" s="12" t="inlineStr">
        <is>
          <t>P-200</t>
        </is>
      </c>
      <c r="B30" s="12" t="inlineStr">
        <is>
          <t>Public Health</t>
        </is>
      </c>
      <c r="C30" s="12" t="inlineStr"/>
      <c r="D30" s="13" t="inlineStr">
        <is>
          <t>Plumbing and drainage model</t>
        </is>
      </c>
      <c r="E30" s="12" t="inlineStr">
        <is>
          <t>Model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RVT/IFC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MEP lead</t>
        </is>
      </c>
      <c r="P30" s="12" t="inlineStr">
        <is>
          <t>TIDP-P</t>
        </is>
      </c>
      <c r="Q30" s="14" t="inlineStr"/>
      <c r="R30" s="13" t="inlineStr"/>
    </row>
    <row r="31">
      <c r="A31" s="12" t="inlineStr">
        <is>
          <t>FP-200</t>
        </is>
      </c>
      <c r="B31" s="12" t="inlineStr">
        <is>
          <t>Fire Protection</t>
        </is>
      </c>
      <c r="C31" s="12" t="inlineStr"/>
      <c r="D31" s="13" t="inlineStr">
        <is>
          <t>Fire strategy and suppression layout</t>
        </is>
      </c>
      <c r="E31" s="12" t="inlineStr">
        <is>
          <t>Model/Document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RVT/PDF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Fire lead</t>
        </is>
      </c>
      <c r="P31" s="12" t="inlineStr">
        <is>
          <t>TIDP-FP</t>
        </is>
      </c>
      <c r="Q31" s="14" t="inlineStr"/>
      <c r="R31" s="13" t="inlineStr"/>
    </row>
    <row r="32">
      <c r="A32" s="12" t="inlineStr">
        <is>
          <t>Z-210</t>
        </is>
      </c>
      <c r="B32" s="12" t="inlineStr">
        <is>
          <t>Information Management</t>
        </is>
      </c>
      <c r="C32" s="12" t="inlineStr"/>
      <c r="D32" s="13" t="inlineStr">
        <is>
          <t>Coordination report</t>
        </is>
      </c>
      <c r="E32" s="12" t="inlineStr">
        <is>
          <t>Report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PDF/BCF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BIM Coordinator</t>
        </is>
      </c>
      <c r="P32" s="12" t="inlineStr">
        <is>
          <t>TIDP-Z</t>
        </is>
      </c>
      <c r="Q32" s="14" t="inlineStr"/>
      <c r="R32" s="13" t="inlineStr">
        <is>
          <t>No unresolved high priority clashes</t>
        </is>
      </c>
    </row>
    <row r="33">
      <c r="A33" s="12" t="inlineStr">
        <is>
          <t>Z-211</t>
        </is>
      </c>
      <c r="B33" s="12" t="inlineStr">
        <is>
          <t>Information Management</t>
        </is>
      </c>
      <c r="C33" s="12" t="inlineStr"/>
      <c r="D33" s="13" t="inlineStr">
        <is>
          <t>Federated model</t>
        </is>
      </c>
      <c r="E33" s="12" t="inlineStr">
        <is>
          <t>Model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NWC/IFC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BIM Coordinator</t>
        </is>
      </c>
      <c r="P33" s="12" t="inlineStr">
        <is>
          <t>TIDP-Z</t>
        </is>
      </c>
      <c r="Q33" s="14" t="inlineStr"/>
      <c r="R33" s="13" t="inlineStr"/>
    </row>
    <row r="34">
      <c r="A34" s="12" t="inlineStr">
        <is>
          <t>Z-212</t>
        </is>
      </c>
      <c r="B34" s="12" t="inlineStr">
        <is>
          <t>QS / Cost</t>
        </is>
      </c>
      <c r="C34" s="12" t="inlineStr"/>
      <c r="D34" s="13" t="inlineStr">
        <is>
          <t>Bill of quantities (preliminary)</t>
        </is>
      </c>
      <c r="E34" s="12" t="inlineStr">
        <is>
          <t>Schedule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XLSX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Quantity Surveyor</t>
        </is>
      </c>
      <c r="P34" s="12" t="inlineStr">
        <is>
          <t>TIDP-Q</t>
        </is>
      </c>
      <c r="Q34" s="14" t="inlineStr"/>
      <c r="R34" s="13" t="inlineStr"/>
    </row>
    <row r="35">
      <c r="A35" s="12" t="inlineStr">
        <is>
          <t>FF-200</t>
        </is>
      </c>
      <c r="B35" s="12" t="inlineStr">
        <is>
          <t>FF&amp;E</t>
        </is>
      </c>
      <c r="C35" s="12" t="inlineStr"/>
      <c r="D35" s="13" t="inlineStr">
        <is>
          <t>FF&amp;E and finishes register (first exchange)</t>
        </is>
      </c>
      <c r="E35" s="12" t="inlineStr">
        <is>
          <t>Schedule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CSV/XLSX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Interior Designer</t>
        </is>
      </c>
      <c r="P35" s="12" t="inlineStr">
        <is>
          <t>TIDP-FF</t>
        </is>
      </c>
      <c r="Q35" s="14" t="inlineStr"/>
      <c r="R35" s="13" t="inlineStr">
        <is>
          <t>Matched on room number</t>
        </is>
      </c>
    </row>
    <row r="36">
      <c r="A36" s="12" t="inlineStr">
        <is>
          <t>Z-213</t>
        </is>
      </c>
      <c r="B36" s="12" t="inlineStr">
        <is>
          <t>Information Management</t>
        </is>
      </c>
      <c r="C36" s="12" t="inlineStr"/>
      <c r="D36" s="13" t="inlineStr">
        <is>
          <t>Deliverable B gate pack</t>
        </is>
      </c>
      <c r="E36" s="12" t="inlineStr">
        <is>
          <t>Document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PDF</t>
        </is>
      </c>
      <c r="I36" s="14" t="inlineStr">
        <is>
          <t>S4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Information Manager</t>
        </is>
      </c>
      <c r="P36" s="12" t="inlineStr">
        <is>
          <t>TIDP-Z</t>
        </is>
      </c>
      <c r="Q36" s="14" t="inlineStr"/>
      <c r="R36" s="13" t="inlineStr"/>
    </row>
    <row r="37">
      <c r="A37" s="12" t="inlineStr">
        <is>
          <t>A-300</t>
        </is>
      </c>
      <c r="B37" s="12" t="inlineStr">
        <is>
          <t>Architecture</t>
        </is>
      </c>
      <c r="C37" s="12" t="inlineStr"/>
      <c r="D37" s="13" t="inlineStr">
        <is>
          <t>Architectural model</t>
        </is>
      </c>
      <c r="E37" s="12" t="inlineStr">
        <is>
          <t>Model</t>
        </is>
      </c>
      <c r="F37" s="12" t="inlineStr">
        <is>
          <t>2.3 Deliverable C</t>
        </is>
      </c>
      <c r="G37" s="14" t="inlineStr">
        <is>
          <t>350</t>
        </is>
      </c>
      <c r="H37" s="12" t="inlineStr">
        <is>
          <t>RVT/IFC</t>
        </is>
      </c>
      <c r="I37" s="14" t="inlineStr">
        <is>
          <t>S4</t>
        </is>
      </c>
      <c r="J37" s="14" t="inlineStr">
        <is>
          <t>Shared</t>
        </is>
      </c>
      <c r="K37" s="12" t="inlineStr">
        <is>
          <t>M8</t>
        </is>
      </c>
      <c r="L37" s="15" t="n"/>
      <c r="M37" s="15" t="n"/>
      <c r="N37" s="16">
        <f>IF(AND(L37&lt;&gt;"",M37&lt;&gt;""),M37-L37,"")</f>
        <v/>
      </c>
      <c r="O37" s="12" t="inlineStr">
        <is>
          <t>Architecture lead</t>
        </is>
      </c>
      <c r="P37" s="12" t="inlineStr">
        <is>
          <t>TIDP-A</t>
        </is>
      </c>
      <c r="Q37" s="14" t="inlineStr"/>
      <c r="R37" s="13" t="inlineStr">
        <is>
          <t>Interfaces resolved</t>
        </is>
      </c>
    </row>
    <row r="38">
      <c r="A38" s="12" t="inlineStr">
        <is>
          <t>A-301</t>
        </is>
      </c>
      <c r="B38" s="12" t="inlineStr">
        <is>
          <t>Architecture</t>
        </is>
      </c>
      <c r="C38" s="12" t="inlineStr"/>
      <c r="D38" s="13" t="inlineStr">
        <is>
          <t>Full drawing set (100%) and details</t>
        </is>
      </c>
      <c r="E38" s="12" t="inlineStr">
        <is>
          <t>Drawing</t>
        </is>
      </c>
      <c r="F38" s="12" t="inlineStr">
        <is>
          <t>2.3 Deliverable C</t>
        </is>
      </c>
      <c r="G38" s="14" t="inlineStr">
        <is>
          <t>350</t>
        </is>
      </c>
      <c r="H38" s="12" t="inlineStr">
        <is>
          <t>PDF/DWG</t>
        </is>
      </c>
      <c r="I38" s="14" t="inlineStr">
        <is>
          <t>S4</t>
        </is>
      </c>
      <c r="J38" s="14" t="inlineStr">
        <is>
          <t>Shared</t>
        </is>
      </c>
      <c r="K38" s="12" t="inlineStr">
        <is>
          <t>M8</t>
        </is>
      </c>
      <c r="L38" s="15" t="n"/>
      <c r="M38" s="15" t="n"/>
      <c r="N38" s="16">
        <f>IF(AND(L38&lt;&gt;"",M38&lt;&gt;""),M38-L38,"")</f>
        <v/>
      </c>
      <c r="O38" s="12" t="inlineStr">
        <is>
          <t>Architecture lead</t>
        </is>
      </c>
      <c r="P38" s="12" t="inlineStr">
        <is>
          <t>TIDP-A</t>
        </is>
      </c>
      <c r="Q38" s="14" t="inlineStr"/>
      <c r="R38" s="13" t="inlineStr"/>
    </row>
    <row r="39">
      <c r="A39" s="12" t="inlineStr">
        <is>
          <t>S-300</t>
        </is>
      </c>
      <c r="B39" s="12" t="inlineStr">
        <is>
          <t>Structure</t>
        </is>
      </c>
      <c r="C39" s="12" t="inlineStr"/>
      <c r="D39" s="13" t="inlineStr">
        <is>
          <t>Structural model</t>
        </is>
      </c>
      <c r="E39" s="12" t="inlineStr">
        <is>
          <t>Model</t>
        </is>
      </c>
      <c r="F39" s="12" t="inlineStr">
        <is>
          <t>2.3 Deliverable C</t>
        </is>
      </c>
      <c r="G39" s="14" t="inlineStr">
        <is>
          <t>350</t>
        </is>
      </c>
      <c r="H39" s="12" t="inlineStr">
        <is>
          <t>RVT/IFC</t>
        </is>
      </c>
      <c r="I39" s="14" t="inlineStr">
        <is>
          <t>S4</t>
        </is>
      </c>
      <c r="J39" s="14" t="inlineStr">
        <is>
          <t>Shared</t>
        </is>
      </c>
      <c r="K39" s="12" t="inlineStr">
        <is>
          <t>M8</t>
        </is>
      </c>
      <c r="L39" s="15" t="n"/>
      <c r="M39" s="15" t="n"/>
      <c r="N39" s="16">
        <f>IF(AND(L39&lt;&gt;"",M39&lt;&gt;""),M39-L39,"")</f>
        <v/>
      </c>
      <c r="O39" s="12" t="inlineStr">
        <is>
          <t>Structural lead</t>
        </is>
      </c>
      <c r="P39" s="12" t="inlineStr">
        <is>
          <t>TIDP-S</t>
        </is>
      </c>
      <c r="Q39" s="14" t="inlineStr"/>
      <c r="R39" s="13" t="inlineStr">
        <is>
          <t>Connections resolved</t>
        </is>
      </c>
    </row>
    <row r="40">
      <c r="A40" s="12" t="inlineStr">
        <is>
          <t>S-301</t>
        </is>
      </c>
      <c r="B40" s="12" t="inlineStr">
        <is>
          <t>Structure</t>
        </is>
      </c>
      <c r="C40" s="12" t="inlineStr"/>
      <c r="D40" s="13" t="inlineStr">
        <is>
          <t>Structural drawing set (100%)</t>
        </is>
      </c>
      <c r="E40" s="12" t="inlineStr">
        <is>
          <t>Drawing</t>
        </is>
      </c>
      <c r="F40" s="12" t="inlineStr">
        <is>
          <t>2.3 Deliverable C</t>
        </is>
      </c>
      <c r="G40" s="14" t="inlineStr">
        <is>
          <t>350</t>
        </is>
      </c>
      <c r="H40" s="12" t="inlineStr">
        <is>
          <t>PDF/DWG</t>
        </is>
      </c>
      <c r="I40" s="14" t="inlineStr">
        <is>
          <t>S4</t>
        </is>
      </c>
      <c r="J40" s="14" t="inlineStr">
        <is>
          <t>Shared</t>
        </is>
      </c>
      <c r="K40" s="12" t="inlineStr">
        <is>
          <t>M8</t>
        </is>
      </c>
      <c r="L40" s="15" t="n"/>
      <c r="M40" s="15" t="n"/>
      <c r="N40" s="16">
        <f>IF(AND(L40&lt;&gt;"",M40&lt;&gt;""),M40-L40,"")</f>
        <v/>
      </c>
      <c r="O40" s="12" t="inlineStr">
        <is>
          <t>Structural lead</t>
        </is>
      </c>
      <c r="P40" s="12" t="inlineStr">
        <is>
          <t>TIDP-S</t>
        </is>
      </c>
      <c r="Q40" s="14" t="inlineStr"/>
      <c r="R40" s="13" t="inlineStr"/>
    </row>
    <row r="41">
      <c r="A41" s="12" t="inlineStr">
        <is>
          <t>M-300</t>
        </is>
      </c>
      <c r="B41" s="12" t="inlineStr">
        <is>
          <t>Mechanical</t>
        </is>
      </c>
      <c r="C41" s="12" t="inlineStr"/>
      <c r="D41" s="13" t="inlineStr">
        <is>
          <t>Mechanical model and drawing set (100%)</t>
        </is>
      </c>
      <c r="E41" s="12" t="inlineStr">
        <is>
          <t>Model/Drawing</t>
        </is>
      </c>
      <c r="F41" s="12" t="inlineStr">
        <is>
          <t>2.3 Deliverable C</t>
        </is>
      </c>
      <c r="G41" s="14" t="inlineStr">
        <is>
          <t>350</t>
        </is>
      </c>
      <c r="H41" s="12" t="inlineStr">
        <is>
          <t>RVT/PDF</t>
        </is>
      </c>
      <c r="I41" s="14" t="inlineStr">
        <is>
          <t>S4</t>
        </is>
      </c>
      <c r="J41" s="14" t="inlineStr">
        <is>
          <t>Shared</t>
        </is>
      </c>
      <c r="K41" s="12" t="inlineStr">
        <is>
          <t>M8</t>
        </is>
      </c>
      <c r="L41" s="15" t="n"/>
      <c r="M41" s="15" t="n"/>
      <c r="N41" s="16">
        <f>IF(AND(L41&lt;&gt;"",M41&lt;&gt;""),M41-L41,"")</f>
        <v/>
      </c>
      <c r="O41" s="12" t="inlineStr">
        <is>
          <t>MEP lead</t>
        </is>
      </c>
      <c r="P41" s="12" t="inlineStr">
        <is>
          <t>TIDP-M</t>
        </is>
      </c>
      <c r="Q41" s="14" t="inlineStr"/>
      <c r="R41" s="13" t="inlineStr">
        <is>
          <t>BMS points identified</t>
        </is>
      </c>
    </row>
    <row r="42">
      <c r="A42" s="12" t="inlineStr">
        <is>
          <t>E-300</t>
        </is>
      </c>
      <c r="B42" s="12" t="inlineStr">
        <is>
          <t>Electrical</t>
        </is>
      </c>
      <c r="C42" s="12" t="inlineStr"/>
      <c r="D42" s="13" t="inlineStr">
        <is>
          <t>Electrical model and drawing set (100%)</t>
        </is>
      </c>
      <c r="E42" s="12" t="inlineStr">
        <is>
          <t>Model/Drawing</t>
        </is>
      </c>
      <c r="F42" s="12" t="inlineStr">
        <is>
          <t>2.3 Deliverable C</t>
        </is>
      </c>
      <c r="G42" s="14" t="inlineStr">
        <is>
          <t>350</t>
        </is>
      </c>
      <c r="H42" s="12" t="inlineStr">
        <is>
          <t>RVT/PDF</t>
        </is>
      </c>
      <c r="I42" s="14" t="inlineStr">
        <is>
          <t>S4</t>
        </is>
      </c>
      <c r="J42" s="14" t="inlineStr">
        <is>
          <t>Shared</t>
        </is>
      </c>
      <c r="K42" s="12" t="inlineStr">
        <is>
          <t>M8</t>
        </is>
      </c>
      <c r="L42" s="15" t="n"/>
      <c r="M42" s="15" t="n"/>
      <c r="N42" s="16">
        <f>IF(AND(L42&lt;&gt;"",M42&lt;&gt;""),M42-L42,"")</f>
        <v/>
      </c>
      <c r="O42" s="12" t="inlineStr">
        <is>
          <t>MEP lead</t>
        </is>
      </c>
      <c r="P42" s="12" t="inlineStr">
        <is>
          <t>TIDP-E</t>
        </is>
      </c>
      <c r="Q42" s="14" t="inlineStr"/>
      <c r="R42" s="13" t="inlineStr"/>
    </row>
    <row r="43">
      <c r="A43" s="12" t="inlineStr">
        <is>
          <t>P-300</t>
        </is>
      </c>
      <c r="B43" s="12" t="inlineStr">
        <is>
          <t>Public Health</t>
        </is>
      </c>
      <c r="C43" s="12" t="inlineStr"/>
      <c r="D43" s="13" t="inlineStr">
        <is>
          <t>Plumbing model and drawing set (100%)</t>
        </is>
      </c>
      <c r="E43" s="12" t="inlineStr">
        <is>
          <t>Model/Drawing</t>
        </is>
      </c>
      <c r="F43" s="12" t="inlineStr">
        <is>
          <t>2.3 Deliverable C</t>
        </is>
      </c>
      <c r="G43" s="14" t="inlineStr">
        <is>
          <t>350</t>
        </is>
      </c>
      <c r="H43" s="12" t="inlineStr">
        <is>
          <t>RVT/PDF</t>
        </is>
      </c>
      <c r="I43" s="14" t="inlineStr">
        <is>
          <t>S4</t>
        </is>
      </c>
      <c r="J43" s="14" t="inlineStr">
        <is>
          <t>Shared</t>
        </is>
      </c>
      <c r="K43" s="12" t="inlineStr">
        <is>
          <t>M8</t>
        </is>
      </c>
      <c r="L43" s="15" t="n"/>
      <c r="M43" s="15" t="n"/>
      <c r="N43" s="16">
        <f>IF(AND(L43&lt;&gt;"",M43&lt;&gt;""),M43-L43,"")</f>
        <v/>
      </c>
      <c r="O43" s="12" t="inlineStr">
        <is>
          <t>MEP lead</t>
        </is>
      </c>
      <c r="P43" s="12" t="inlineStr">
        <is>
          <t>TIDP-P</t>
        </is>
      </c>
      <c r="Q43" s="14" t="inlineStr"/>
      <c r="R43" s="13" t="inlineStr"/>
    </row>
    <row r="44">
      <c r="A44" s="12" t="inlineStr">
        <is>
          <t>FP-300</t>
        </is>
      </c>
      <c r="B44" s="12" t="inlineStr">
        <is>
          <t>Fire Protection</t>
        </is>
      </c>
      <c r="C44" s="12" t="inlineStr"/>
      <c r="D44" s="13" t="inlineStr">
        <is>
          <t>Fire strategy and model (100%)</t>
        </is>
      </c>
      <c r="E44" s="12" t="inlineStr">
        <is>
          <t>Model/Document</t>
        </is>
      </c>
      <c r="F44" s="12" t="inlineStr">
        <is>
          <t>2.3 Deliverable C</t>
        </is>
      </c>
      <c r="G44" s="14" t="inlineStr">
        <is>
          <t>350</t>
        </is>
      </c>
      <c r="H44" s="12" t="inlineStr">
        <is>
          <t>RVT/PDF</t>
        </is>
      </c>
      <c r="I44" s="14" t="inlineStr">
        <is>
          <t>S4</t>
        </is>
      </c>
      <c r="J44" s="14" t="inlineStr">
        <is>
          <t>Shared</t>
        </is>
      </c>
      <c r="K44" s="12" t="inlineStr">
        <is>
          <t>M8</t>
        </is>
      </c>
      <c r="L44" s="15" t="n"/>
      <c r="M44" s="15" t="n"/>
      <c r="N44" s="16">
        <f>IF(AND(L44&lt;&gt;"",M44&lt;&gt;""),M44-L44,"")</f>
        <v/>
      </c>
      <c r="O44" s="12" t="inlineStr">
        <is>
          <t>Fire lead</t>
        </is>
      </c>
      <c r="P44" s="12" t="inlineStr">
        <is>
          <t>TIDP-FP</t>
        </is>
      </c>
      <c r="Q44" s="14" t="inlineStr"/>
      <c r="R44" s="13" t="inlineStr"/>
    </row>
    <row r="45">
      <c r="A45" s="12" t="inlineStr">
        <is>
          <t>LV-300</t>
        </is>
      </c>
      <c r="B45" s="12" t="inlineStr">
        <is>
          <t>Low Voltage</t>
        </is>
      </c>
      <c r="C45" s="12" t="inlineStr"/>
      <c r="D45" s="13" t="inlineStr">
        <is>
          <t>Communications and security model</t>
        </is>
      </c>
      <c r="E45" s="12" t="inlineStr">
        <is>
          <t>Model/Drawing</t>
        </is>
      </c>
      <c r="F45" s="12" t="inlineStr">
        <is>
          <t>2.3 Deliverable C</t>
        </is>
      </c>
      <c r="G45" s="14" t="inlineStr">
        <is>
          <t>350</t>
        </is>
      </c>
      <c r="H45" s="12" t="inlineStr">
        <is>
          <t>RVT/PDF</t>
        </is>
      </c>
      <c r="I45" s="14" t="inlineStr">
        <is>
          <t>S4</t>
        </is>
      </c>
      <c r="J45" s="14" t="inlineStr">
        <is>
          <t>Shared</t>
        </is>
      </c>
      <c r="K45" s="12" t="inlineStr">
        <is>
          <t>M8</t>
        </is>
      </c>
      <c r="L45" s="15" t="n"/>
      <c r="M45" s="15" t="n"/>
      <c r="N45" s="16">
        <f>IF(AND(L45&lt;&gt;"",M45&lt;&gt;""),M45-L45,"")</f>
        <v/>
      </c>
      <c r="O45" s="12" t="inlineStr">
        <is>
          <t>LV lead</t>
        </is>
      </c>
      <c r="P45" s="12" t="inlineStr">
        <is>
          <t>TIDP-LV</t>
        </is>
      </c>
      <c r="Q45" s="14" t="inlineStr"/>
      <c r="R45" s="13" t="inlineStr"/>
    </row>
    <row r="46">
      <c r="A46" s="12" t="inlineStr">
        <is>
          <t>Z-310</t>
        </is>
      </c>
      <c r="B46" s="12" t="inlineStr">
        <is>
          <t>QS / Cost</t>
        </is>
      </c>
      <c r="C46" s="12" t="inlineStr"/>
      <c r="D46" s="13" t="inlineStr">
        <is>
          <t>Bill of quantities (tender)</t>
        </is>
      </c>
      <c r="E46" s="12" t="inlineStr">
        <is>
          <t>Schedule</t>
        </is>
      </c>
      <c r="F46" s="12" t="inlineStr">
        <is>
          <t>2.3 Deliverable C</t>
        </is>
      </c>
      <c r="G46" s="14" t="inlineStr">
        <is>
          <t>350</t>
        </is>
      </c>
      <c r="H46" s="12" t="inlineStr">
        <is>
          <t>XLSX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M8</t>
        </is>
      </c>
      <c r="L46" s="15" t="n"/>
      <c r="M46" s="15" t="n"/>
      <c r="N46" s="16">
        <f>IF(AND(L46&lt;&gt;"",M46&lt;&gt;""),M46-L46,"")</f>
        <v/>
      </c>
      <c r="O46" s="12" t="inlineStr">
        <is>
          <t>Quantity Surveyor</t>
        </is>
      </c>
      <c r="P46" s="12" t="inlineStr">
        <is>
          <t>TIDP-Q</t>
        </is>
      </c>
      <c r="Q46" s="14" t="inlineStr"/>
      <c r="R46" s="13" t="inlineStr"/>
    </row>
    <row r="47">
      <c r="A47" s="12" t="inlineStr">
        <is>
          <t>Z-311</t>
        </is>
      </c>
      <c r="B47" s="12" t="inlineStr">
        <is>
          <t>Information Management</t>
        </is>
      </c>
      <c r="C47" s="12" t="inlineStr"/>
      <c r="D47" s="13" t="inlineStr">
        <is>
          <t>Specifications</t>
        </is>
      </c>
      <c r="E47" s="12" t="inlineStr">
        <is>
          <t>Specification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PDF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Lead Appointed Party</t>
        </is>
      </c>
      <c r="P47" s="12" t="inlineStr">
        <is>
          <t>TIDP-Z</t>
        </is>
      </c>
      <c r="Q47" s="14" t="inlineStr"/>
      <c r="R47" s="13" t="inlineStr"/>
    </row>
    <row r="48">
      <c r="A48" s="12" t="inlineStr">
        <is>
          <t>Z-312</t>
        </is>
      </c>
      <c r="B48" s="12" t="inlineStr">
        <is>
          <t>Information Management</t>
        </is>
      </c>
      <c r="C48" s="12" t="inlineStr"/>
      <c r="D48" s="13" t="inlineStr">
        <is>
          <t>Specification reconciliation report</t>
        </is>
      </c>
      <c r="E48" s="12" t="inlineStr">
        <is>
          <t>Report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XLSX/PDF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Information Manager</t>
        </is>
      </c>
      <c r="P48" s="12" t="inlineStr">
        <is>
          <t>TIDP-Z</t>
        </is>
      </c>
      <c r="Q48" s="14" t="inlineStr"/>
      <c r="R48" s="13" t="inlineStr">
        <is>
          <t>Gaps closed or formally accepted</t>
        </is>
      </c>
    </row>
    <row r="49">
      <c r="A49" s="12" t="inlineStr">
        <is>
          <t>FF-300</t>
        </is>
      </c>
      <c r="B49" s="12" t="inlineStr">
        <is>
          <t>FF&amp;E</t>
        </is>
      </c>
      <c r="C49" s="12" t="inlineStr"/>
      <c r="D49" s="13" t="inlineStr">
        <is>
          <t>FF&amp;E specifications and schedule</t>
        </is>
      </c>
      <c r="E49" s="12" t="inlineStr">
        <is>
          <t>Schedule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XLSX/PDF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Interior Designer</t>
        </is>
      </c>
      <c r="P49" s="12" t="inlineStr">
        <is>
          <t>TIDP-FF</t>
        </is>
      </c>
      <c r="Q49" s="14" t="inlineStr"/>
      <c r="R49" s="13" t="inlineStr"/>
    </row>
    <row r="50">
      <c r="A50" s="12" t="inlineStr">
        <is>
          <t>Z-313</t>
        </is>
      </c>
      <c r="B50" s="12" t="inlineStr">
        <is>
          <t>Information Management</t>
        </is>
      </c>
      <c r="C50" s="12" t="inlineStr"/>
      <c r="D50" s="13" t="inlineStr">
        <is>
          <t>Deliverable C gate pack</t>
        </is>
      </c>
      <c r="E50" s="12" t="inlineStr">
        <is>
          <t>Document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Information Manager</t>
        </is>
      </c>
      <c r="P50" s="12" t="inlineStr">
        <is>
          <t>TIDP-Z</t>
        </is>
      </c>
      <c r="Q50" s="14" t="inlineStr"/>
      <c r="R50" s="13" t="inlineStr"/>
    </row>
    <row r="51">
      <c r="A51" s="12" t="inlineStr">
        <is>
          <t>Z-400</t>
        </is>
      </c>
      <c r="B51" s="12" t="inlineStr">
        <is>
          <t>Information Management</t>
        </is>
      </c>
      <c r="C51" s="12" t="inlineStr"/>
      <c r="D51" s="13" t="inlineStr">
        <is>
          <t>Tender documents</t>
        </is>
      </c>
      <c r="E51" s="12" t="inlineStr">
        <is>
          <t>Document</t>
        </is>
      </c>
      <c r="F51" s="12" t="inlineStr">
        <is>
          <t>2.4 Tender</t>
        </is>
      </c>
      <c r="G51" s="14" t="inlineStr">
        <is>
          <t>n/a</t>
        </is>
      </c>
      <c r="H51" s="12" t="inlineStr">
        <is>
          <t>PDF</t>
        </is>
      </c>
      <c r="I51" s="14" t="inlineStr">
        <is>
          <t>A1</t>
        </is>
      </c>
      <c r="J51" s="14" t="inlineStr">
        <is>
          <t>Published</t>
        </is>
      </c>
      <c r="K51" s="12" t="inlineStr">
        <is>
          <t>M9</t>
        </is>
      </c>
      <c r="L51" s="15" t="n"/>
      <c r="M51" s="15" t="n"/>
      <c r="N51" s="16">
        <f>IF(AND(L51&lt;&gt;"",M51&lt;&gt;""),M51-L51,"")</f>
        <v/>
      </c>
      <c r="O51" s="12" t="inlineStr">
        <is>
          <t>Lead Appointed Party</t>
        </is>
      </c>
      <c r="P51" s="12" t="inlineStr">
        <is>
          <t>TIDP-Z</t>
        </is>
      </c>
      <c r="Q51" s="14" t="inlineStr"/>
      <c r="R51" s="13" t="inlineStr"/>
    </row>
    <row r="52">
      <c r="A52" s="12" t="inlineStr">
        <is>
          <t>Z-401</t>
        </is>
      </c>
      <c r="B52" s="12" t="inlineStr">
        <is>
          <t>Information Management</t>
        </is>
      </c>
      <c r="C52" s="12" t="inlineStr"/>
      <c r="D52" s="13" t="inlineStr">
        <is>
          <t>Tender query and addendum log</t>
        </is>
      </c>
      <c r="E52" s="12" t="inlineStr">
        <is>
          <t>Report</t>
        </is>
      </c>
      <c r="F52" s="12" t="inlineStr">
        <is>
          <t>2.4 Tender</t>
        </is>
      </c>
      <c r="G52" s="14" t="inlineStr">
        <is>
          <t>n/a</t>
        </is>
      </c>
      <c r="H52" s="12" t="inlineStr">
        <is>
          <t>XLSX</t>
        </is>
      </c>
      <c r="I52" s="14" t="inlineStr">
        <is>
          <t>S2</t>
        </is>
      </c>
      <c r="J52" s="14" t="inlineStr">
        <is>
          <t>Shared</t>
        </is>
      </c>
      <c r="K52" s="12" t="inlineStr">
        <is>
          <t>M10</t>
        </is>
      </c>
      <c r="L52" s="15" t="n"/>
      <c r="M52" s="15" t="n"/>
      <c r="N52" s="16">
        <f>IF(AND(L52&lt;&gt;"",M52&lt;&gt;""),M52-L52,"")</f>
        <v/>
      </c>
      <c r="O52" s="12" t="inlineStr">
        <is>
          <t>Lead Appointed Party</t>
        </is>
      </c>
      <c r="P52" s="12" t="inlineStr">
        <is>
          <t>TIDP-Z</t>
        </is>
      </c>
      <c r="Q52" s="14" t="inlineStr"/>
      <c r="R52" s="13" t="inlineStr"/>
    </row>
    <row r="53">
      <c r="A53" s="12" t="inlineStr">
        <is>
          <t>Z-410</t>
        </is>
      </c>
      <c r="B53" s="12" t="inlineStr">
        <is>
          <t>Information Management</t>
        </is>
      </c>
      <c r="C53" s="12" t="inlineStr"/>
      <c r="D53" s="13" t="inlineStr">
        <is>
          <t>Conformed set</t>
        </is>
      </c>
      <c r="E53" s="12" t="inlineStr">
        <is>
          <t>Drawing</t>
        </is>
      </c>
      <c r="F53" s="12" t="inlineStr">
        <is>
          <t>2.5 Conformed set</t>
        </is>
      </c>
      <c r="G53" s="14" t="inlineStr">
        <is>
          <t>350</t>
        </is>
      </c>
      <c r="H53" s="12" t="inlineStr">
        <is>
          <t>PDF/DWG</t>
        </is>
      </c>
      <c r="I53" s="14" t="inlineStr">
        <is>
          <t>A1</t>
        </is>
      </c>
      <c r="J53" s="14" t="inlineStr">
        <is>
          <t>Published</t>
        </is>
      </c>
      <c r="K53" s="12" t="inlineStr">
        <is>
          <t>M11</t>
        </is>
      </c>
      <c r="L53" s="15" t="n"/>
      <c r="M53" s="15" t="n"/>
      <c r="N53" s="16">
        <f>IF(AND(L53&lt;&gt;"",M53&lt;&gt;""),M53-L53,"")</f>
        <v/>
      </c>
      <c r="O53" s="12" t="inlineStr">
        <is>
          <t>Lead Appointed Party</t>
        </is>
      </c>
      <c r="P53" s="12" t="inlineStr">
        <is>
          <t>TIDP-Z</t>
        </is>
      </c>
      <c r="Q53" s="14" t="inlineStr"/>
      <c r="R53" s="13" t="inlineStr">
        <is>
          <t>Post-award addenda incorporated</t>
        </is>
      </c>
    </row>
    <row r="54">
      <c r="A54" s="12" t="inlineStr">
        <is>
          <t>ALL-500</t>
        </is>
      </c>
      <c r="B54" s="12" t="inlineStr">
        <is>
          <t>All disciplines</t>
        </is>
      </c>
      <c r="C54" s="12" t="inlineStr"/>
      <c r="D54" s="13" t="inlineStr">
        <is>
          <t>Construction stage models</t>
        </is>
      </c>
      <c r="E54" s="12" t="inlineStr">
        <is>
          <t>Model</t>
        </is>
      </c>
      <c r="F54" s="12" t="inlineStr">
        <is>
          <t>3.1 Construction</t>
        </is>
      </c>
      <c r="G54" s="14" t="inlineStr">
        <is>
          <t>400</t>
        </is>
      </c>
      <c r="H54" s="12" t="inlineStr">
        <is>
          <t>RVT/IFC</t>
        </is>
      </c>
      <c r="I54" s="14" t="inlineStr">
        <is>
          <t>A1</t>
        </is>
      </c>
      <c r="J54" s="14" t="inlineStr">
        <is>
          <t>Published</t>
        </is>
      </c>
      <c r="K54" s="12" t="inlineStr">
        <is>
          <t>M12-M43</t>
        </is>
      </c>
      <c r="L54" s="15" t="n"/>
      <c r="M54" s="15" t="n"/>
      <c r="N54" s="16">
        <f>IF(AND(L54&lt;&gt;"",M54&lt;&gt;""),M54-L54,"")</f>
        <v/>
      </c>
      <c r="O54" s="12" t="inlineStr">
        <is>
          <t>Task teams</t>
        </is>
      </c>
      <c r="P54" s="12" t="inlineStr">
        <is>
          <t>TIDP-ALL</t>
        </is>
      </c>
      <c r="Q54" s="14" t="inlineStr"/>
      <c r="R54" s="13" t="inlineStr">
        <is>
          <t>Ongoing; revisions tracked</t>
        </is>
      </c>
    </row>
    <row r="55">
      <c r="A55" s="12" t="inlineStr">
        <is>
          <t>Z-510</t>
        </is>
      </c>
      <c r="B55" s="12" t="inlineStr">
        <is>
          <t>Information Management</t>
        </is>
      </c>
      <c r="C55" s="12" t="inlineStr"/>
      <c r="D55" s="13" t="inlineStr">
        <is>
          <t>Request for information and submittal register</t>
        </is>
      </c>
      <c r="E55" s="12" t="inlineStr">
        <is>
          <t>Report</t>
        </is>
      </c>
      <c r="F55" s="12" t="inlineStr">
        <is>
          <t>3.1 Construction</t>
        </is>
      </c>
      <c r="G55" s="14" t="inlineStr">
        <is>
          <t>400</t>
        </is>
      </c>
      <c r="H55" s="12" t="inlineStr">
        <is>
          <t>XLSX</t>
        </is>
      </c>
      <c r="I55" s="14" t="inlineStr">
        <is>
          <t>S2</t>
        </is>
      </c>
      <c r="J55" s="14" t="inlineStr">
        <is>
          <t>Shared</t>
        </is>
      </c>
      <c r="K55" s="12" t="inlineStr">
        <is>
          <t>M12-M43</t>
        </is>
      </c>
      <c r="L55" s="15" t="n"/>
      <c r="M55" s="15" t="n"/>
      <c r="N55" s="16">
        <f>IF(AND(L55&lt;&gt;"",M55&lt;&gt;""),M55-L55,"")</f>
        <v/>
      </c>
      <c r="O55" s="12" t="inlineStr">
        <is>
          <t>Information Manager</t>
        </is>
      </c>
      <c r="P55" s="12" t="inlineStr">
        <is>
          <t>TIDP-Z</t>
        </is>
      </c>
      <c r="Q55" s="14" t="inlineStr"/>
      <c r="R55" s="13" t="inlineStr">
        <is>
          <t>Maintained continuously</t>
        </is>
      </c>
    </row>
    <row r="56">
      <c r="A56" s="12" t="inlineStr">
        <is>
          <t>Z-511</t>
        </is>
      </c>
      <c r="B56" s="12" t="inlineStr">
        <is>
          <t>Information Management</t>
        </is>
      </c>
      <c r="C56" s="12" t="inlineStr"/>
      <c r="D56" s="13" t="inlineStr">
        <is>
          <t>Monthly status report</t>
        </is>
      </c>
      <c r="E56" s="12" t="inlineStr">
        <is>
          <t>Report</t>
        </is>
      </c>
      <c r="F56" s="12" t="inlineStr">
        <is>
          <t>3.1 Construction</t>
        </is>
      </c>
      <c r="G56" s="14" t="inlineStr">
        <is>
          <t>400</t>
        </is>
      </c>
      <c r="H56" s="12" t="inlineStr">
        <is>
          <t>PDF</t>
        </is>
      </c>
      <c r="I56" s="14" t="inlineStr">
        <is>
          <t>S2</t>
        </is>
      </c>
      <c r="J56" s="14" t="inlineStr">
        <is>
          <t>Shared</t>
        </is>
      </c>
      <c r="K56" s="12" t="inlineStr">
        <is>
          <t>M12-M43</t>
        </is>
      </c>
      <c r="L56" s="15" t="n"/>
      <c r="M56" s="15" t="n"/>
      <c r="N56" s="16">
        <f>IF(AND(L56&lt;&gt;"",M56&lt;&gt;""),M56-L56,"")</f>
        <v/>
      </c>
      <c r="O56" s="12" t="inlineStr">
        <is>
          <t>Information Manager</t>
        </is>
      </c>
      <c r="P56" s="12" t="inlineStr">
        <is>
          <t>TIDP-Z</t>
        </is>
      </c>
      <c r="Q56" s="14" t="inlineStr"/>
      <c r="R56" s="13" t="inlineStr">
        <is>
          <t>Monthly throughout construction</t>
        </is>
      </c>
    </row>
    <row r="57">
      <c r="A57" s="12" t="inlineStr">
        <is>
          <t>Z-512</t>
        </is>
      </c>
      <c r="B57" s="12" t="inlineStr">
        <is>
          <t>Contractor</t>
        </is>
      </c>
      <c r="C57" s="12" t="inlineStr"/>
      <c r="D57" s="13" t="inlineStr">
        <is>
          <t>As-built capture (progressive)</t>
        </is>
      </c>
      <c r="E57" s="12" t="inlineStr">
        <is>
          <t>Model</t>
        </is>
      </c>
      <c r="F57" s="12" t="inlineStr">
        <is>
          <t>3.1 Construction</t>
        </is>
      </c>
      <c r="G57" s="14" t="inlineStr">
        <is>
          <t>400</t>
        </is>
      </c>
      <c r="H57" s="12" t="inlineStr">
        <is>
          <t>RVT/IFC</t>
        </is>
      </c>
      <c r="I57" s="14" t="inlineStr">
        <is>
          <t>S2</t>
        </is>
      </c>
      <c r="J57" s="14" t="inlineStr">
        <is>
          <t>Shared</t>
        </is>
      </c>
      <c r="K57" s="12" t="inlineStr">
        <is>
          <t>M12-M43</t>
        </is>
      </c>
      <c r="L57" s="15" t="n"/>
      <c r="M57" s="15" t="n"/>
      <c r="N57" s="16">
        <f>IF(AND(L57&lt;&gt;"",M57&lt;&gt;""),M57-L57,"")</f>
        <v/>
      </c>
      <c r="O57" s="12" t="inlineStr">
        <is>
          <t>Contractor</t>
        </is>
      </c>
      <c r="P57" s="12" t="inlineStr">
        <is>
          <t>TIDP-C</t>
        </is>
      </c>
      <c r="Q57" s="14" t="inlineStr"/>
      <c r="R57" s="13" t="inlineStr">
        <is>
          <t>Current to within one month</t>
        </is>
      </c>
    </row>
    <row r="58">
      <c r="A58" s="12" t="inlineStr">
        <is>
          <t>Z-513</t>
        </is>
      </c>
      <c r="B58" s="12" t="inlineStr">
        <is>
          <t>Contractor</t>
        </is>
      </c>
      <c r="C58" s="12" t="inlineStr"/>
      <c r="D58" s="13" t="inlineStr">
        <is>
          <t>Asset data capture (tiered schedule, BEP section 14)</t>
        </is>
      </c>
      <c r="E58" s="12" t="inlineStr">
        <is>
          <t>Schedule</t>
        </is>
      </c>
      <c r="F58" s="12" t="inlineStr">
        <is>
          <t>3.1 Construction</t>
        </is>
      </c>
      <c r="G58" s="14" t="inlineStr">
        <is>
          <t>400</t>
        </is>
      </c>
      <c r="H58" s="12" t="inlineStr">
        <is>
          <t>XLSX</t>
        </is>
      </c>
      <c r="I58" s="14" t="inlineStr">
        <is>
          <t>S2</t>
        </is>
      </c>
      <c r="J58" s="14" t="inlineStr">
        <is>
          <t>Shared</t>
        </is>
      </c>
      <c r="K58" s="12" t="inlineStr">
        <is>
          <t>M12-M43</t>
        </is>
      </c>
      <c r="L58" s="15" t="n"/>
      <c r="M58" s="15" t="n"/>
      <c r="N58" s="16">
        <f>IF(AND(L58&lt;&gt;"",M58&lt;&gt;""),M58-L58,"")</f>
        <v/>
      </c>
      <c r="O58" s="12" t="inlineStr">
        <is>
          <t>Contractor</t>
        </is>
      </c>
      <c r="P58" s="12" t="inlineStr">
        <is>
          <t>TIDP-C</t>
        </is>
      </c>
      <c r="Q58" s="14" t="inlineStr"/>
      <c r="R58" s="13" t="inlineStr">
        <is>
          <t>Tier A serialised plant, Tier B maintainable devices, Tier C warranted fabric. Required for LOD 500; reported monthly from the first month of construction</t>
        </is>
      </c>
    </row>
    <row r="59">
      <c r="A59" s="12" t="inlineStr">
        <is>
          <t>Z-514</t>
        </is>
      </c>
      <c r="B59" s="12" t="inlineStr">
        <is>
          <t>Information Management</t>
        </is>
      </c>
      <c r="C59" s="12" t="inlineStr"/>
      <c r="D59" s="13" t="inlineStr">
        <is>
          <t>Asset data completeness report</t>
        </is>
      </c>
      <c r="E59" s="12" t="inlineStr">
        <is>
          <t>Report</t>
        </is>
      </c>
      <c r="F59" s="12" t="inlineStr">
        <is>
          <t>3.1 Construction</t>
        </is>
      </c>
      <c r="G59" s="14" t="inlineStr">
        <is>
          <t>400</t>
        </is>
      </c>
      <c r="H59" s="12" t="inlineStr">
        <is>
          <t>XLSX/PDF</t>
        </is>
      </c>
      <c r="I59" s="14" t="inlineStr">
        <is>
          <t>S2</t>
        </is>
      </c>
      <c r="J59" s="14" t="inlineStr">
        <is>
          <t>Shared</t>
        </is>
      </c>
      <c r="K59" s="12" t="inlineStr">
        <is>
          <t>M12-M43</t>
        </is>
      </c>
      <c r="L59" s="15" t="n"/>
      <c r="M59" s="15" t="n"/>
      <c r="N59" s="16">
        <f>IF(AND(L59&lt;&gt;"",M59&lt;&gt;""),M59-L59,"")</f>
        <v/>
      </c>
      <c r="O59" s="12" t="inlineStr">
        <is>
          <t>Information Manager</t>
        </is>
      </c>
      <c r="P59" s="12" t="inlineStr">
        <is>
          <t>TIDP-Z</t>
        </is>
      </c>
      <c r="Q59" s="14" t="inlineStr"/>
      <c r="R59" s="13" t="inlineStr">
        <is>
          <t>Monthly, by tier and by volume. A tier below 95 per cent at the Deliverable D gate is a gate failure</t>
        </is>
      </c>
    </row>
    <row r="60">
      <c r="A60" s="12" t="inlineStr">
        <is>
          <t>M-520</t>
        </is>
      </c>
      <c r="B60" s="12" t="inlineStr">
        <is>
          <t>Mechanical</t>
        </is>
      </c>
      <c r="C60" s="12" t="inlineStr"/>
      <c r="D60" s="13" t="inlineStr">
        <is>
          <t>Commissioning point list</t>
        </is>
      </c>
      <c r="E60" s="12" t="inlineStr">
        <is>
          <t>Schedule</t>
        </is>
      </c>
      <c r="F60" s="12" t="inlineStr">
        <is>
          <t>3.1 Construction</t>
        </is>
      </c>
      <c r="G60" s="14" t="inlineStr">
        <is>
          <t>400</t>
        </is>
      </c>
      <c r="H60" s="12" t="inlineStr">
        <is>
          <t>CSV</t>
        </is>
      </c>
      <c r="I60" s="14" t="inlineStr">
        <is>
          <t>S2</t>
        </is>
      </c>
      <c r="J60" s="14" t="inlineStr">
        <is>
          <t>Shared</t>
        </is>
      </c>
      <c r="K60" s="12" t="inlineStr">
        <is>
          <t>M40</t>
        </is>
      </c>
      <c r="L60" s="15" t="n"/>
      <c r="M60" s="15" t="n"/>
      <c r="N60" s="16">
        <f>IF(AND(L60&lt;&gt;"",M60&lt;&gt;""),M60-L60,"")</f>
        <v/>
      </c>
      <c r="O60" s="12" t="inlineStr">
        <is>
          <t>MEP lead</t>
        </is>
      </c>
      <c r="P60" s="12" t="inlineStr">
        <is>
          <t>TIDP-M</t>
        </is>
      </c>
      <c r="Q60" s="14" t="inlineStr"/>
      <c r="R60" s="13" t="inlineStr">
        <is>
          <t>Produced from the model for the controls contractor</t>
        </is>
      </c>
    </row>
    <row r="61">
      <c r="A61" s="12" t="inlineStr">
        <is>
          <t>FF-600</t>
        </is>
      </c>
      <c r="B61" s="12" t="inlineStr">
        <is>
          <t>FF&amp;E</t>
        </is>
      </c>
      <c r="C61" s="12" t="inlineStr"/>
      <c r="D61" s="13" t="inlineStr">
        <is>
          <t>FF&amp;E final schedule and procurement record</t>
        </is>
      </c>
      <c r="E61" s="12" t="inlineStr">
        <is>
          <t>Schedule</t>
        </is>
      </c>
      <c r="F61" s="12" t="inlineStr">
        <is>
          <t>3.2 FF&amp;E</t>
        </is>
      </c>
      <c r="G61" s="14" t="inlineStr">
        <is>
          <t>400</t>
        </is>
      </c>
      <c r="H61" s="12" t="inlineStr">
        <is>
          <t>XLSX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M43</t>
        </is>
      </c>
      <c r="L61" s="15" t="n"/>
      <c r="M61" s="15" t="n"/>
      <c r="N61" s="16">
        <f>IF(AND(L61&lt;&gt;"",M61&lt;&gt;""),M61-L61,"")</f>
        <v/>
      </c>
      <c r="O61" s="12" t="inlineStr">
        <is>
          <t>Interior Designer</t>
        </is>
      </c>
      <c r="P61" s="12" t="inlineStr">
        <is>
          <t>TIDP-FF</t>
        </is>
      </c>
      <c r="Q61" s="14" t="inlineStr"/>
      <c r="R61" s="13" t="inlineStr">
        <is>
          <t>Reconciled item by item</t>
        </is>
      </c>
    </row>
    <row r="62">
      <c r="A62" s="12" t="inlineStr">
        <is>
          <t>A-700</t>
        </is>
      </c>
      <c r="B62" s="12" t="inlineStr">
        <is>
          <t>Architecture</t>
        </is>
      </c>
      <c r="C62" s="12" t="inlineStr"/>
      <c r="D62" s="13" t="inlineStr">
        <is>
          <t>As-built architectural model</t>
        </is>
      </c>
      <c r="E62" s="12" t="inlineStr">
        <is>
          <t>Model</t>
        </is>
      </c>
      <c r="F62" s="12" t="inlineStr">
        <is>
          <t>3.3 Deliverable D</t>
        </is>
      </c>
      <c r="G62" s="14" t="inlineStr">
        <is>
          <t>500</t>
        </is>
      </c>
      <c r="H62" s="12" t="inlineStr">
        <is>
          <t>RVT/IFC</t>
        </is>
      </c>
      <c r="I62" s="14" t="inlineStr">
        <is>
          <t>A1</t>
        </is>
      </c>
      <c r="J62" s="14" t="inlineStr">
        <is>
          <t>Published</t>
        </is>
      </c>
      <c r="K62" s="12" t="inlineStr">
        <is>
          <t>M45</t>
        </is>
      </c>
      <c r="L62" s="15" t="n"/>
      <c r="M62" s="15" t="n"/>
      <c r="N62" s="16">
        <f>IF(AND(L62&lt;&gt;"",M62&lt;&gt;""),M62-L62,"")</f>
        <v/>
      </c>
      <c r="O62" s="12" t="inlineStr">
        <is>
          <t>Architecture lead</t>
        </is>
      </c>
      <c r="P62" s="12" t="inlineStr">
        <is>
          <t>TIDP-A</t>
        </is>
      </c>
      <c r="Q62" s="14" t="inlineStr"/>
      <c r="R62" s="13" t="inlineStr">
        <is>
          <t>Verified as-built</t>
        </is>
      </c>
    </row>
    <row r="63">
      <c r="A63" s="12" t="inlineStr">
        <is>
          <t>S-700</t>
        </is>
      </c>
      <c r="B63" s="12" t="inlineStr">
        <is>
          <t>Structure</t>
        </is>
      </c>
      <c r="C63" s="12" t="inlineStr"/>
      <c r="D63" s="13" t="inlineStr">
        <is>
          <t>As-built structural model</t>
        </is>
      </c>
      <c r="E63" s="12" t="inlineStr">
        <is>
          <t>Model</t>
        </is>
      </c>
      <c r="F63" s="12" t="inlineStr">
        <is>
          <t>3.3 Deliverable D</t>
        </is>
      </c>
      <c r="G63" s="14" t="inlineStr">
        <is>
          <t>500</t>
        </is>
      </c>
      <c r="H63" s="12" t="inlineStr">
        <is>
          <t>RVT/IFC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M45</t>
        </is>
      </c>
      <c r="L63" s="15" t="n"/>
      <c r="M63" s="15" t="n"/>
      <c r="N63" s="16">
        <f>IF(AND(L63&lt;&gt;"",M63&lt;&gt;""),M63-L63,"")</f>
        <v/>
      </c>
      <c r="O63" s="12" t="inlineStr">
        <is>
          <t>Structural lead</t>
        </is>
      </c>
      <c r="P63" s="12" t="inlineStr">
        <is>
          <t>TIDP-S</t>
        </is>
      </c>
      <c r="Q63" s="14" t="inlineStr"/>
      <c r="R63" s="13" t="inlineStr"/>
    </row>
    <row r="64">
      <c r="A64" s="12" t="inlineStr">
        <is>
          <t>M-700</t>
        </is>
      </c>
      <c r="B64" s="12" t="inlineStr">
        <is>
          <t>Mechanical</t>
        </is>
      </c>
      <c r="C64" s="12" t="inlineStr"/>
      <c r="D64" s="13" t="inlineStr">
        <is>
          <t>As-built MEP model</t>
        </is>
      </c>
      <c r="E64" s="12" t="inlineStr">
        <is>
          <t>Model</t>
        </is>
      </c>
      <c r="F64" s="12" t="inlineStr">
        <is>
          <t>3.3 Deliverable D</t>
        </is>
      </c>
      <c r="G64" s="14" t="inlineStr">
        <is>
          <t>500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M45</t>
        </is>
      </c>
      <c r="L64" s="15" t="n"/>
      <c r="M64" s="15" t="n"/>
      <c r="N64" s="16">
        <f>IF(AND(L64&lt;&gt;"",M64&lt;&gt;""),M64-L64,"")</f>
        <v/>
      </c>
      <c r="O64" s="12" t="inlineStr">
        <is>
          <t>MEP lead</t>
        </is>
      </c>
      <c r="P64" s="12" t="inlineStr">
        <is>
          <t>TIDP-M</t>
        </is>
      </c>
      <c r="Q64" s="14" t="inlineStr"/>
      <c r="R64" s="13" t="inlineStr">
        <is>
          <t>Includes Tier A and Tier B asset data</t>
        </is>
      </c>
    </row>
    <row r="65">
      <c r="A65" s="12" t="inlineStr">
        <is>
          <t>Z-700</t>
        </is>
      </c>
      <c r="B65" s="12" t="inlineStr">
        <is>
          <t>Information Management</t>
        </is>
      </c>
      <c r="C65" s="12" t="inlineStr"/>
      <c r="D65" s="13" t="inlineStr">
        <is>
          <t>COBie handover dataset</t>
        </is>
      </c>
      <c r="E65" s="12" t="inlineStr">
        <is>
          <t>Schedule</t>
        </is>
      </c>
      <c r="F65" s="12" t="inlineStr">
        <is>
          <t>3.3 Deliverable D</t>
        </is>
      </c>
      <c r="G65" s="14" t="inlineStr">
        <is>
          <t>500</t>
        </is>
      </c>
      <c r="H65" s="12" t="inlineStr">
        <is>
          <t>XLSX</t>
        </is>
      </c>
      <c r="I65" s="14" t="inlineStr">
        <is>
          <t>A1</t>
        </is>
      </c>
      <c r="J65" s="14" t="inlineStr">
        <is>
          <t>Published</t>
        </is>
      </c>
      <c r="K65" s="12" t="inlineStr">
        <is>
          <t>M45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COBie 2.4</t>
        </is>
      </c>
    </row>
    <row r="66">
      <c r="A66" s="12" t="inlineStr">
        <is>
          <t>Z-701</t>
        </is>
      </c>
      <c r="B66" s="12" t="inlineStr">
        <is>
          <t>Information Management</t>
        </is>
      </c>
      <c r="C66" s="12" t="inlineStr"/>
      <c r="D66" s="13" t="inlineStr">
        <is>
          <t>Operation and maintenance / asset data pack</t>
        </is>
      </c>
      <c r="E66" s="12" t="inlineStr">
        <is>
          <t>Document</t>
        </is>
      </c>
      <c r="F66" s="12" t="inlineStr">
        <is>
          <t>3.3 Deliverable D</t>
        </is>
      </c>
      <c r="G66" s="14" t="inlineStr">
        <is>
          <t>500</t>
        </is>
      </c>
      <c r="H66" s="12" t="inlineStr">
        <is>
          <t>PDF</t>
        </is>
      </c>
      <c r="I66" s="14" t="inlineStr">
        <is>
          <t>A1</t>
        </is>
      </c>
      <c r="J66" s="14" t="inlineStr">
        <is>
          <t>Published</t>
        </is>
      </c>
      <c r="K66" s="12" t="inlineStr">
        <is>
          <t>M45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/>
    </row>
    <row r="67">
      <c r="A67" s="12" t="inlineStr">
        <is>
          <t>Z-702</t>
        </is>
      </c>
      <c r="B67" s="12" t="inlineStr">
        <is>
          <t>Information Management</t>
        </is>
      </c>
      <c r="C67" s="12" t="inlineStr"/>
      <c r="D67" s="13" t="inlineStr">
        <is>
          <t>Reconciled building management system point register</t>
        </is>
      </c>
      <c r="E67" s="12" t="inlineStr">
        <is>
          <t>Schedule</t>
        </is>
      </c>
      <c r="F67" s="12" t="inlineStr">
        <is>
          <t>3.3 Deliverable D</t>
        </is>
      </c>
      <c r="G67" s="14" t="inlineStr">
        <is>
          <t>500</t>
        </is>
      </c>
      <c r="H67" s="12" t="inlineStr">
        <is>
          <t>CSV/PDF</t>
        </is>
      </c>
      <c r="I67" s="14" t="inlineStr">
        <is>
          <t>A1</t>
        </is>
      </c>
      <c r="J67" s="14" t="inlineStr">
        <is>
          <t>Published</t>
        </is>
      </c>
      <c r="K67" s="12" t="inlineStr">
        <is>
          <t>M45</t>
        </is>
      </c>
      <c r="L67" s="15" t="n"/>
      <c r="M67" s="15" t="n"/>
      <c r="N67" s="16">
        <f>IF(AND(L67&lt;&gt;"",M67&lt;&gt;""),M67-L67,"")</f>
        <v/>
      </c>
      <c r="O67" s="12" t="inlineStr">
        <is>
          <t>Information Manager</t>
        </is>
      </c>
      <c r="P67" s="12" t="inlineStr">
        <is>
          <t>TIDP-Z</t>
        </is>
      </c>
      <c r="Q67" s="14" t="inlineStr"/>
      <c r="R67" s="13" t="inlineStr">
        <is>
          <t>Model reconciled to the live station</t>
        </is>
      </c>
    </row>
    <row r="68">
      <c r="A68" s="12" t="inlineStr">
        <is>
          <t>Z-703</t>
        </is>
      </c>
      <c r="B68" s="12" t="inlineStr">
        <is>
          <t>Information Management</t>
        </is>
      </c>
      <c r="C68" s="12" t="inlineStr"/>
      <c r="D68" s="13" t="inlineStr">
        <is>
          <t>Deliverable D gate pack</t>
        </is>
      </c>
      <c r="E68" s="12" t="inlineStr">
        <is>
          <t>Document</t>
        </is>
      </c>
      <c r="F68" s="12" t="inlineStr">
        <is>
          <t>3.3 Deliverable D</t>
        </is>
      </c>
      <c r="G68" s="14" t="inlineStr">
        <is>
          <t>500</t>
        </is>
      </c>
      <c r="H68" s="12" t="inlineStr">
        <is>
          <t>PDF</t>
        </is>
      </c>
      <c r="I68" s="14" t="inlineStr">
        <is>
          <t>A1</t>
        </is>
      </c>
      <c r="J68" s="14" t="inlineStr">
        <is>
          <t>Published</t>
        </is>
      </c>
      <c r="K68" s="12" t="inlineStr">
        <is>
          <t>M45</t>
        </is>
      </c>
      <c r="L68" s="15" t="n"/>
      <c r="M68" s="15" t="n"/>
      <c r="N68" s="16">
        <f>IF(AND(L68&lt;&gt;"",M68&lt;&gt;""),M68-L68,"")</f>
        <v/>
      </c>
      <c r="O68" s="12" t="inlineStr">
        <is>
          <t>Information Manager</t>
        </is>
      </c>
      <c r="P68" s="12" t="inlineStr">
        <is>
          <t>TIDP-Z</t>
        </is>
      </c>
      <c r="Q68" s="14" t="inlineStr"/>
      <c r="R68" s="13" t="inlineStr"/>
    </row>
    <row r="69">
      <c r="A69" s="12" t="inlineStr">
        <is>
          <t>Z-704</t>
        </is>
      </c>
      <c r="B69" s="12" t="inlineStr">
        <is>
          <t>Information Management</t>
        </is>
      </c>
      <c r="C69" s="12" t="inlineStr"/>
      <c r="D69" s="13" t="inlineStr">
        <is>
          <t>Final transmittal and project archive</t>
        </is>
      </c>
      <c r="E69" s="12" t="inlineStr">
        <is>
          <t>Document</t>
        </is>
      </c>
      <c r="F69" s="12" t="inlineStr">
        <is>
          <t>3.3 Deliverable D</t>
        </is>
      </c>
      <c r="G69" s="14" t="inlineStr">
        <is>
          <t>500</t>
        </is>
      </c>
      <c r="H69" s="12" t="inlineStr">
        <is>
          <t>PDF</t>
        </is>
      </c>
      <c r="I69" s="14" t="inlineStr">
        <is>
          <t>A1</t>
        </is>
      </c>
      <c r="J69" s="14" t="inlineStr">
        <is>
          <t>Archived</t>
        </is>
      </c>
      <c r="K69" s="12" t="inlineStr">
        <is>
          <t>M45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/>
    </row>
  </sheetData>
  <autoFilter ref="A1:R69"/>
  <conditionalFormatting sqref="Q2:Q6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69">
    <cfRule type="expression" priority="5" dxfId="0" stopIfTrue="0">
      <formula>AND($L2&lt;&gt;"",$M2="",$L2&lt;TODAY())</formula>
    </cfRule>
  </conditionalFormatting>
  <dataValidations count="7">
    <dataValidation sqref="B2:B6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6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6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6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6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6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6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SUMPRODUCT((MIDP!$L$2:$L$69&lt;&gt;"")*(MIDP!$M$2:$M$69="")*(MIDP!$L$2:$L$69&lt;TODAY()))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Planscape Consulting Engineers Ltd</dc:creator>
  <dc:title xmlns:dc="http://purl.org/dc/elements/1.1/">KUT Master Information Delivery Plan</dc:title>
  <dc:description xmlns:dc="http://purl.org/dc/elements/1.1/">Rev P01. Issued through the Common Data Environment. Uncontrolled when printed. Generated by tools/build_midp.py; do not hand-edit - regenerate. parts-sha256:e94848e68b84054a11e2811bdc393ff8be9ae515168b8d935e0de6785f6dddc0 inputs-sha256:3e60cd5046fe56f718d2e6254711078b3142b271a8d409084031d45247e77117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  <cp:lastModifiedBy>Planscape Consulting Engineers Ltd</cp:lastModifiedBy>
  <cp:category>Project procedure</cp:category>
</cp:coreProperties>
</file>