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ost Model" sheetId="2" state="visible" r:id="rId2"/>
    <sheet name="Paid Services" sheetId="3" state="visible" r:id="rId3"/>
    <sheet name="Free &amp; Self-Hosted" sheetId="4" state="visible" r:id="rId4"/>
    <sheet name="Scenarios" sheetId="5" state="visible" r:id="rId5"/>
  </sheets>
  <definedNames>
    <definedName name="firms">Inputs!$B$5</definedName>
    <definedName name="users">Inputs!$B$6</definedName>
    <definedName name="projects">Inputs!$B$7</definedName>
    <definedName name="storage_gb">Inputs!$B$8</definedName>
    <definedName name="egress_gb">Inputs!$B$9</definedName>
    <definedName name="emails_month">Inputs!$B$10</definedName>
    <definedName name="ai_tokens_m">Inputs!$B$11</definedName>
    <definedName name="ocr_pages">Inputs!$B$12</definedName>
    <definedName name="map_loads">Inputs!$B$13</definedName>
    <definedName name="revenue_month">Inputs!$B$14</definedName>
    <definedName name="intl_share">Inputs!$B$15</definedName>
    <definedName name="sso_users">Inputs!$B$16</definedName>
    <definedName name="model_conversions">Inputs!$B$17</definedName>
    <definedName name="rate_stripe_dom">Inputs!$B$21</definedName>
    <definedName name="rate_stripe_intl">Inputs!$B$22</definedName>
    <definedName name="rate_s3_gb">Inputs!$B$23</definedName>
    <definedName name="rate_egress_gb">Inputs!$B$24</definedName>
    <definedName name="rate_email_k">Inputs!$B$25</definedName>
    <definedName name="rate_ai_m">Inputs!$B$26</definedName>
    <definedName name="rate_ocr_k">Inputs!$B$27</definedName>
    <definedName name="rate_map_k">Inputs!$B$28</definedName>
    <definedName name="rate_sso_user">Inputs!$B$29</definedName>
    <definedName name="rate_aps_conv">Inputs!$B$30</definedName>
    <definedName name="rate_hosting">Inputs!$B$31</definedName>
    <definedName name="rate_postmark_base">Inputs!$B$32</definedName>
    <definedName name="rate_eas">Inputs!$B$33</definedName>
    <definedName name="rate_sentry">Inputs!$B$34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A237E"/>
      <sz val="16"/>
    </font>
    <font>
      <i val="1"/>
      <color rgb="00555555"/>
      <sz val="10"/>
    </font>
    <font>
      <b val="1"/>
      <color rgb="00FFFFFF"/>
      <sz val="11"/>
    </font>
    <font>
      <b val="1"/>
    </font>
    <font>
      <b val="1"/>
      <color rgb="001A237E"/>
      <sz val="12"/>
    </font>
    <font>
      <color rgb="001565C0"/>
      <u val="single"/>
    </font>
    <font>
      <i val="1"/>
      <color rgb="00C62828"/>
    </font>
    <font>
      <b val="1"/>
      <color rgb="00FFFFFF"/>
      <sz val="12"/>
    </font>
    <font>
      <b val="1"/>
      <color rgb="001A237E"/>
    </font>
    <font>
      <b val="1"/>
      <color rgb="001A237E"/>
      <sz val="14"/>
    </font>
    <font>
      <b val="1"/>
      <color rgb="002E7D32"/>
      <sz val="14"/>
    </font>
  </fonts>
  <fills count="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8E1"/>
      </patternFill>
    </fill>
    <fill>
      <patternFill patternType="solid">
        <fgColor rgb="00F5F5F5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1" pivotButton="0" quotePrefix="0" xfId="0"/>
    <xf numFmtId="4" fontId="0" fillId="4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5" borderId="0" pivotButton="0" quotePrefix="0" xfId="0"/>
    <xf numFmtId="0" fontId="0" fillId="5" borderId="0" pivotButton="0" quotePrefix="0" xfId="0"/>
    <xf numFmtId="4" fontId="8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1" fillId="0" borderId="0" pivotButton="0" quotePrefix="0" xfId="0"/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digitalocean.com/pricing" TargetMode="External" Id="rId1" /><Relationship Type="http://schemas.openxmlformats.org/officeDocument/2006/relationships/hyperlink" Target="https://developers.cloudflare.com/r2/pricing/" TargetMode="External" Id="rId2" /><Relationship Type="http://schemas.openxmlformats.org/officeDocument/2006/relationships/hyperlink" Target="https://aws.amazon.com/s3/pricing/" TargetMode="External" Id="rId3" /><Relationship Type="http://schemas.openxmlformats.org/officeDocument/2006/relationships/hyperlink" Target="https://stripe.com/pricing" TargetMode="External" Id="rId4" /><Relationship Type="http://schemas.openxmlformats.org/officeDocument/2006/relationships/hyperlink" Target="https://stripe.com/pricing" TargetMode="External" Id="rId5" /><Relationship Type="http://schemas.openxmlformats.org/officeDocument/2006/relationships/hyperlink" Target="https://postmarkapp.com/pricing" TargetMode="External" Id="rId6" /><Relationship Type="http://schemas.openxmlformats.org/officeDocument/2006/relationships/hyperlink" Target="https://postmarkapp.com/pricing" TargetMode="External" Id="rId7" /><Relationship Type="http://schemas.openxmlformats.org/officeDocument/2006/relationships/hyperlink" Target="https://azure.microsoft.com/en-us/pricing/details/cognitive-services/openai-service/" TargetMode="External" Id="rId8" /><Relationship Type="http://schemas.openxmlformats.org/officeDocument/2006/relationships/hyperlink" Target="https://azure.microsoft.com/en-us/pricing/details/cognitive-services/computer-vision/" TargetMode="External" Id="rId9" /><Relationship Type="http://schemas.openxmlformats.org/officeDocument/2006/relationships/hyperlink" Target="https://firebase.google.com/pricing" TargetMode="External" Id="rId10" /><Relationship Type="http://schemas.openxmlformats.org/officeDocument/2006/relationships/hyperlink" Target="https://www.mapbox.com/pricing" TargetMode="External" Id="rId11" /><Relationship Type="http://schemas.openxmlformats.org/officeDocument/2006/relationships/hyperlink" Target="https://aps.autodesk.com/pricing" TargetMode="External" Id="rId12" /><Relationship Type="http://schemas.openxmlformats.org/officeDocument/2006/relationships/hyperlink" Target="https://www.okta.com/pricing/" TargetMode="External" Id="rId13" /><Relationship Type="http://schemas.openxmlformats.org/officeDocument/2006/relationships/hyperlink" Target="https://expo.dev/pricing" TargetMode="External" Id="rId14" /><Relationship Type="http://schemas.openxmlformats.org/officeDocument/2006/relationships/hyperlink" Target="https://sentry.io/pricing/" TargetMode="External" Id="rId15" /><Relationship Type="http://schemas.openxmlformats.org/officeDocument/2006/relationships/hyperlink" Target="https://developer.apple.com/programs/" TargetMode="External" Id="rId16" /><Relationship Type="http://schemas.openxmlformats.org/officeDocument/2006/relationships/hyperlink" Target="https://play.google.com/console/signup" TargetMode="External" Id="rId17" /></Relationships>
</file>

<file path=xl/worksheets/_rels/sheet3.xml.rels><Relationships xmlns="http://schemas.openxmlformats.org/package/2006/relationships"><Relationship Type="http://schemas.openxmlformats.org/officeDocument/2006/relationships/hyperlink" Target="https://stripe.com/pricing" TargetMode="External" Id="rId1" /><Relationship Type="http://schemas.openxmlformats.org/officeDocument/2006/relationships/hyperlink" Target="https://dashboard.stripe.com/register" TargetMode="External" Id="rId2" /><Relationship Type="http://schemas.openxmlformats.org/officeDocument/2006/relationships/hyperlink" Target="https://flutterwave.com/pricing" TargetMode="External" Id="rId3" /><Relationship Type="http://schemas.openxmlformats.org/officeDocument/2006/relationships/hyperlink" Target="https://dashboard.flutterwave.com/signup" TargetMode="External" Id="rId4" /><Relationship Type="http://schemas.openxmlformats.org/officeDocument/2006/relationships/hyperlink" Target="https://azure.microsoft.com/en-us/pricing/details/cognitive-services/openai-service/" TargetMode="External" Id="rId5" /><Relationship Type="http://schemas.openxmlformats.org/officeDocument/2006/relationships/hyperlink" Target="https://azure.microsoft.com/free" TargetMode="External" Id="rId6" /><Relationship Type="http://schemas.openxmlformats.org/officeDocument/2006/relationships/hyperlink" Target="https://azure.microsoft.com/en-us/pricing/details/cognitive-services/computer-vision/" TargetMode="External" Id="rId7" /><Relationship Type="http://schemas.openxmlformats.org/officeDocument/2006/relationships/hyperlink" Target="https://azure.microsoft.com/free" TargetMode="External" Id="rId8" /><Relationship Type="http://schemas.openxmlformats.org/officeDocument/2006/relationships/hyperlink" Target="https://firebase.google.com/pricing" TargetMode="External" Id="rId9" /><Relationship Type="http://schemas.openxmlformats.org/officeDocument/2006/relationships/hyperlink" Target="https://console.firebase.google.com" TargetMode="External" Id="rId10" /><Relationship Type="http://schemas.openxmlformats.org/officeDocument/2006/relationships/hyperlink" Target="https://postmarkapp.com/pricing" TargetMode="External" Id="rId11" /><Relationship Type="http://schemas.openxmlformats.org/officeDocument/2006/relationships/hyperlink" Target="https://account.postmarkapp.com/sign_up" TargetMode="External" Id="rId12" /><Relationship Type="http://schemas.openxmlformats.org/officeDocument/2006/relationships/hyperlink" Target="https://aws.amazon.com/s3/pricing/" TargetMode="External" Id="rId13" /><Relationship Type="http://schemas.openxmlformats.org/officeDocument/2006/relationships/hyperlink" Target="https://aws.amazon.com" TargetMode="External" Id="rId14" /><Relationship Type="http://schemas.openxmlformats.org/officeDocument/2006/relationships/hyperlink" Target="https://developers.cloudflare.com/r2/pricing/" TargetMode="External" Id="rId15" /><Relationship Type="http://schemas.openxmlformats.org/officeDocument/2006/relationships/hyperlink" Target="https://dash.cloudflare.com/sign-up" TargetMode="External" Id="rId16" /><Relationship Type="http://schemas.openxmlformats.org/officeDocument/2006/relationships/hyperlink" Target="https://www.digitalocean.com/pricing/spaces-object-storage" TargetMode="External" Id="rId17" /><Relationship Type="http://schemas.openxmlformats.org/officeDocument/2006/relationships/hyperlink" Target="https://cloud.digitalocean.com/registrations/new" TargetMode="External" Id="rId18" /><Relationship Type="http://schemas.openxmlformats.org/officeDocument/2006/relationships/hyperlink" Target="https://aps.autodesk.com/pricing" TargetMode="External" Id="rId19" /><Relationship Type="http://schemas.openxmlformats.org/officeDocument/2006/relationships/hyperlink" Target="https://aps.autodesk.com" TargetMode="External" Id="rId20" /><Relationship Type="http://schemas.openxmlformats.org/officeDocument/2006/relationships/hyperlink" Target="https://sentry.io/pricing" TargetMode="External" Id="rId21" /><Relationship Type="http://schemas.openxmlformats.org/officeDocument/2006/relationships/hyperlink" Target="https://sentry.io/signup" TargetMode="External" Id="rId22" /><Relationship Type="http://schemas.openxmlformats.org/officeDocument/2006/relationships/hyperlink" Target="https://www.mapbox.com/pricing" TargetMode="External" Id="rId23" /><Relationship Type="http://schemas.openxmlformats.org/officeDocument/2006/relationships/hyperlink" Target="https://account.mapbox.com/auth/signup" TargetMode="External" Id="rId24" /><Relationship Type="http://schemas.openxmlformats.org/officeDocument/2006/relationships/hyperlink" Target="https://expo.dev/pricing" TargetMode="External" Id="rId25" /><Relationship Type="http://schemas.openxmlformats.org/officeDocument/2006/relationships/hyperlink" Target="https://expo.dev/signup" TargetMode="External" Id="rId26" /><Relationship Type="http://schemas.openxmlformats.org/officeDocument/2006/relationships/hyperlink" Target="https://developer.apple.com/programs" TargetMode="External" Id="rId27" /><Relationship Type="http://schemas.openxmlformats.org/officeDocument/2006/relationships/hyperlink" Target="https://developer.apple.com/programs/enroll" TargetMode="External" Id="rId28" /><Relationship Type="http://schemas.openxmlformats.org/officeDocument/2006/relationships/hyperlink" Target="https://play.google.com/console/signup" TargetMode="External" Id="rId29" /><Relationship Type="http://schemas.openxmlformats.org/officeDocument/2006/relationships/hyperlink" Target="https://play.google.com/console/signup" TargetMode="External" Id="rId30" /><Relationship Type="http://schemas.openxmlformats.org/officeDocument/2006/relationships/hyperlink" Target="https://slack.com/pricing" TargetMode="External" Id="rId31" /><Relationship Type="http://schemas.openxmlformats.org/officeDocument/2006/relationships/hyperlink" Target="https://slack.com/get-started" TargetMode="External" Id="rId32" /><Relationship Type="http://schemas.openxmlformats.org/officeDocument/2006/relationships/hyperlink" Target="https://www.microsoft.com/microsoft-teams" TargetMode="External" Id="rId33" /><Relationship Type="http://schemas.openxmlformats.org/officeDocument/2006/relationships/hyperlink" Target="https://www.microsoft.com/microsoft-365" TargetMode="External" Id="rId34" /><Relationship Type="http://schemas.openxmlformats.org/officeDocument/2006/relationships/hyperlink" Target="https://www.okta.com/pricing/" TargetMode="External" Id="rId35" /><Relationship Type="http://schemas.openxmlformats.org/officeDocument/2006/relationships/hyperlink" Target="https://www.okta.com/free-trial/" TargetMode="External" Id="rId36" /><Relationship Type="http://schemas.openxmlformats.org/officeDocument/2006/relationships/hyperlink" Target="https://www.microsoft.com/security/business/microsoft-entra-pricing" TargetMode="External" Id="rId37" /><Relationship Type="http://schemas.openxmlformats.org/officeDocument/2006/relationships/hyperlink" Target="https://azure.microsoft.com/free" TargetMode="External" Id="rId38" /><Relationship Type="http://schemas.openxmlformats.org/officeDocument/2006/relationships/hyperlink" Target="https://datalust.co/pricing" TargetMode="External" Id="rId39" /><Relationship Type="http://schemas.openxmlformats.org/officeDocument/2006/relationships/hyperlink" Target="https://datalust.co" TargetMode="External" Id="rId40" /></Relationships>
</file>

<file path=xl/worksheets/sheet1.xml><?xml version="1.0" encoding="utf-8"?>
<worksheet xmlns="http://schemas.openxmlformats.org/spreadsheetml/2006/main">
  <sheetPr>
    <tabColor rgb="00E8912D"/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42" customWidth="1" min="3" max="3"/>
  </cols>
  <sheetData>
    <row r="1">
      <c r="A1" s="1" t="inlineStr">
        <is>
          <t>PLANSCAPE — COST MODEL INPUTS</t>
        </is>
      </c>
    </row>
    <row r="2">
      <c r="A2" s="2" t="inlineStr">
        <is>
          <t>Edit the yellow cells. Everything on the 'Cost Model' tab recalculates automatically.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Number of firms / tenants</t>
        </is>
      </c>
      <c r="B5" s="5" t="n">
        <v>1</v>
      </c>
      <c r="C5" s="6" t="inlineStr">
        <is>
          <t>Tenants on the platform</t>
        </is>
      </c>
    </row>
    <row r="6">
      <c r="A6" s="4" t="inlineStr">
        <is>
          <t>Total active users</t>
        </is>
      </c>
      <c r="B6" s="5" t="n">
        <v>25</v>
      </c>
      <c r="C6" s="6" t="inlineStr">
        <is>
          <t>Across all firms</t>
        </is>
      </c>
    </row>
    <row r="7">
      <c r="A7" s="4" t="inlineStr">
        <is>
          <t>Total active projects</t>
        </is>
      </c>
      <c r="B7" s="5" t="n">
        <v>10</v>
      </c>
      <c r="C7" s="6" t="inlineStr">
        <is>
          <t>Drives storage + AI usage</t>
        </is>
      </c>
    </row>
    <row r="8">
      <c r="A8" s="4" t="inlineStr">
        <is>
          <t>Object storage used (GB)</t>
        </is>
      </c>
      <c r="B8" s="5" t="n">
        <v>50</v>
      </c>
      <c r="C8" s="6" t="inlineStr">
        <is>
          <t>Models, attachments, thumbnails</t>
        </is>
      </c>
    </row>
    <row r="9">
      <c r="A9" s="4" t="inlineStr">
        <is>
          <t>Monthly data egress (GB)</t>
        </is>
      </c>
      <c r="B9" s="5" t="n">
        <v>20</v>
      </c>
      <c r="C9" s="6" t="inlineStr">
        <is>
          <t>Downloads / viewer streaming</t>
        </is>
      </c>
    </row>
    <row r="10">
      <c r="A10" s="4" t="inlineStr">
        <is>
          <t>Transactional emails / month</t>
        </is>
      </c>
      <c r="B10" s="5" t="n">
        <v>8000</v>
      </c>
      <c r="C10" s="6" t="inlineStr">
        <is>
          <t>Invites, resets, dunning, reminders</t>
        </is>
      </c>
    </row>
    <row r="11">
      <c r="A11" s="4" t="inlineStr">
        <is>
          <t>Azure OpenAI tokens / month (millions)</t>
        </is>
      </c>
      <c r="B11" s="5" t="n">
        <v>5</v>
      </c>
      <c r="C11" s="6" t="inlineStr">
        <is>
          <t>Auto-linking + classification</t>
        </is>
      </c>
    </row>
    <row r="12">
      <c r="A12" s="4" t="inlineStr">
        <is>
          <t>OCR pages / month</t>
        </is>
      </c>
      <c r="B12" s="5" t="n">
        <v>4000</v>
      </c>
      <c r="C12" s="6" t="inlineStr">
        <is>
          <t>Document text extraction</t>
        </is>
      </c>
    </row>
    <row r="13">
      <c r="A13" s="4" t="inlineStr">
        <is>
          <t>Mapbox map loads / month</t>
        </is>
      </c>
      <c r="B13" s="5" t="n">
        <v>10000</v>
      </c>
      <c r="C13" s="6" t="inlineStr">
        <is>
          <t>Marketing-site / viewer map</t>
        </is>
      </c>
    </row>
    <row r="14">
      <c r="A14" s="4" t="inlineStr">
        <is>
          <t>Monthly revenue processed ($)</t>
        </is>
      </c>
      <c r="B14" s="5" t="n">
        <v>20000</v>
      </c>
      <c r="C14" s="6" t="inlineStr">
        <is>
          <t>Subscriptions billed to customers</t>
        </is>
      </c>
    </row>
    <row r="15">
      <c r="A15" s="4" t="inlineStr">
        <is>
          <t>Share of revenue that is international (%)</t>
        </is>
      </c>
      <c r="B15" s="5" t="n">
        <v>30</v>
      </c>
      <c r="C15" s="6" t="inlineStr">
        <is>
          <t>Higher card fees</t>
        </is>
      </c>
    </row>
    <row r="16">
      <c r="A16" s="4" t="inlineStr">
        <is>
          <t>Users needing enterprise SSO</t>
        </is>
      </c>
      <c r="B16" s="5" t="n">
        <v>0</v>
      </c>
      <c r="C16" s="6" t="inlineStr">
        <is>
          <t>Okta/Entra per-user add-on</t>
        </is>
      </c>
    </row>
    <row r="17">
      <c r="A17" s="4" t="inlineStr">
        <is>
          <t>3D model conversions / month (APS)</t>
        </is>
      </c>
      <c r="B17" s="5" t="n">
        <v>0</v>
      </c>
      <c r="C17" s="6" t="inlineStr">
        <is>
          <t>0 = use free IfcOpenShell instead</t>
        </is>
      </c>
    </row>
    <row r="19">
      <c r="A19" s="7" t="inlineStr">
        <is>
          <t>UNIT-RATE ASSUMPTIONS (edit to match your contracts)</t>
        </is>
      </c>
    </row>
    <row r="20">
      <c r="A20" s="3" t="inlineStr">
        <is>
          <t>Rate</t>
        </is>
      </c>
      <c r="B20" s="3" t="inlineStr">
        <is>
          <t>Value</t>
        </is>
      </c>
      <c r="C20" s="3" t="inlineStr">
        <is>
          <t>Unit</t>
        </is>
      </c>
    </row>
    <row r="21">
      <c r="A21" s="4" t="inlineStr">
        <is>
          <t>Stripe domestic fee</t>
        </is>
      </c>
      <c r="B21" s="5" t="n">
        <v>0.029</v>
      </c>
      <c r="C21" s="6" t="inlineStr">
        <is>
          <t>fraction of revenue</t>
        </is>
      </c>
    </row>
    <row r="22">
      <c r="A22" s="4" t="inlineStr">
        <is>
          <t>Stripe international fee</t>
        </is>
      </c>
      <c r="B22" s="5" t="n">
        <v>0.0325</v>
      </c>
      <c r="C22" s="6" t="inlineStr">
        <is>
          <t>fraction of revenue</t>
        </is>
      </c>
    </row>
    <row r="23">
      <c r="A23" s="4" t="inlineStr">
        <is>
          <t>Storage $/GB-month</t>
        </is>
      </c>
      <c r="B23" s="5" t="n">
        <v>0.015</v>
      </c>
      <c r="C23" s="6" t="inlineStr">
        <is>
          <t>R2 ~0.015 / S3 ~0.023</t>
        </is>
      </c>
    </row>
    <row r="24">
      <c r="A24" s="4" t="inlineStr">
        <is>
          <t>Egress $/GB</t>
        </is>
      </c>
      <c r="B24" s="5" t="n">
        <v>0.05</v>
      </c>
      <c r="C24" s="6" t="inlineStr">
        <is>
          <t>R2=0 / S3~0.09 / DO included</t>
        </is>
      </c>
    </row>
    <row r="25">
      <c r="A25" s="4" t="inlineStr">
        <is>
          <t>Email $ per 1,000</t>
        </is>
      </c>
      <c r="B25" s="5" t="n">
        <v>1.25</v>
      </c>
      <c r="C25" s="6" t="inlineStr">
        <is>
          <t>Postmark tiered</t>
        </is>
      </c>
    </row>
    <row r="26">
      <c r="A26" s="4" t="inlineStr">
        <is>
          <t>Azure OpenAI $ per 1M tokens (blended)</t>
        </is>
      </c>
      <c r="B26" s="5" t="n">
        <v>4</v>
      </c>
      <c r="C26" s="6" t="inlineStr">
        <is>
          <t>GPT-4o blended in/out</t>
        </is>
      </c>
    </row>
    <row r="27">
      <c r="A27" s="4" t="inlineStr">
        <is>
          <t>OCR $ per 1,000 pages</t>
        </is>
      </c>
      <c r="B27" s="5" t="n">
        <v>1.25</v>
      </c>
      <c r="C27" s="6" t="inlineStr">
        <is>
          <t>Azure AI Vision S1</t>
        </is>
      </c>
    </row>
    <row r="28">
      <c r="A28" s="4" t="inlineStr">
        <is>
          <t>Mapbox $ per 1,000 loads over free tier</t>
        </is>
      </c>
      <c r="B28" s="5" t="n">
        <v>0.5</v>
      </c>
      <c r="C28" s="6" t="inlineStr">
        <is>
          <t>free 50k/mo</t>
        </is>
      </c>
    </row>
    <row r="29">
      <c r="A29" s="4" t="inlineStr">
        <is>
          <t>SSO $/user-month</t>
        </is>
      </c>
      <c r="B29" s="5" t="n">
        <v>3</v>
      </c>
      <c r="C29" s="6" t="inlineStr">
        <is>
          <t>Okta ~2 / Entra P1 ~6</t>
        </is>
      </c>
    </row>
    <row r="30">
      <c r="A30" s="4" t="inlineStr">
        <is>
          <t>APS $/model conversion (flex tokens)</t>
        </is>
      </c>
      <c r="B30" s="5" t="n">
        <v>1.5</v>
      </c>
      <c r="C30" s="6" t="inlineStr">
        <is>
          <t>approx</t>
        </is>
      </c>
    </row>
    <row r="31">
      <c r="A31" s="4" t="inlineStr">
        <is>
          <t>Hosting base $/month</t>
        </is>
      </c>
      <c r="B31" s="5" t="n">
        <v>120</v>
      </c>
      <c r="C31" s="6" t="inlineStr">
        <is>
          <t>VPS + managed PG/Redis</t>
        </is>
      </c>
    </row>
    <row r="32">
      <c r="A32" s="4" t="inlineStr">
        <is>
          <t>Email platform base $/month</t>
        </is>
      </c>
      <c r="B32" s="5" t="n">
        <v>15</v>
      </c>
      <c r="C32" s="6" t="inlineStr">
        <is>
          <t>Postmark Basic</t>
        </is>
      </c>
    </row>
    <row r="33">
      <c r="A33" s="4" t="inlineStr">
        <is>
          <t>Expo EAS $/month</t>
        </is>
      </c>
      <c r="B33" s="5" t="n">
        <v>99</v>
      </c>
      <c r="C33" s="6" t="inlineStr">
        <is>
          <t>0 if free tier</t>
        </is>
      </c>
    </row>
    <row r="34">
      <c r="A34" s="4" t="inlineStr">
        <is>
          <t>Sentry $/month</t>
        </is>
      </c>
      <c r="B34" s="5" t="n">
        <v>26</v>
      </c>
      <c r="C34" s="6" t="inlineStr">
        <is>
          <t>0 if free tier</t>
        </is>
      </c>
    </row>
  </sheetData>
  <mergeCells count="3">
    <mergeCell ref="A1:C1"/>
    <mergeCell ref="A19:C19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4" customWidth="1" min="3" max="3"/>
    <col width="16" customWidth="1" min="4" max="4"/>
    <col width="14" customWidth="1" min="5" max="5"/>
    <col width="60" customWidth="1" min="6" max="6"/>
  </cols>
  <sheetData>
    <row r="1">
      <c r="A1" s="1" t="inlineStr">
        <is>
          <t>PLANSCAPE — MONTHLY COST MODEL</t>
        </is>
      </c>
    </row>
    <row r="2">
      <c r="A2" s="2" t="inlineStr">
        <is>
          <t>Costs recalc from the Inputs tab. Yellow = pulled from inputs; grey = computed.</t>
        </is>
      </c>
    </row>
    <row r="4">
      <c r="A4" s="3" t="inlineStr">
        <is>
          <t>Service</t>
        </is>
      </c>
      <c r="B4" s="3" t="inlineStr">
        <is>
          <t>Category</t>
        </is>
      </c>
      <c r="C4" s="3" t="inlineStr">
        <is>
          <t>Cost driver</t>
        </is>
      </c>
      <c r="D4" s="3" t="inlineStr">
        <is>
          <t>Monthly cost ($)</t>
        </is>
      </c>
      <c r="E4" s="3" t="inlineStr">
        <is>
          <t>Annual ($)</t>
        </is>
      </c>
      <c r="F4" s="3" t="inlineStr">
        <is>
          <t>Pricing link</t>
        </is>
      </c>
    </row>
    <row r="5">
      <c r="A5" s="4" t="inlineStr">
        <is>
          <t>Hosting (VPS + managed PG/Redis)</t>
        </is>
      </c>
      <c r="B5" s="8" t="inlineStr">
        <is>
          <t>Required</t>
        </is>
      </c>
      <c r="C5" s="6" t="inlineStr">
        <is>
          <t>Flat base</t>
        </is>
      </c>
      <c r="D5" s="9">
        <f>rate_hosting</f>
        <v/>
      </c>
      <c r="E5" s="9">
        <f>D5*12</f>
        <v/>
      </c>
      <c r="F5" s="10" t="inlineStr">
        <is>
          <t>https://www.digitalocean.com/pricing</t>
        </is>
      </c>
    </row>
    <row r="6">
      <c r="A6" s="4" t="inlineStr">
        <is>
          <t>Object storage</t>
        </is>
      </c>
      <c r="B6" s="8" t="inlineStr">
        <is>
          <t>Required</t>
        </is>
      </c>
      <c r="C6" s="6" t="inlineStr">
        <is>
          <t>Per GB stored</t>
        </is>
      </c>
      <c r="D6" s="9">
        <f>storage_gb*rate_s3_gb</f>
        <v/>
      </c>
      <c r="E6" s="9">
        <f>D6*12</f>
        <v/>
      </c>
      <c r="F6" s="10" t="inlineStr">
        <is>
          <t>https://developers.cloudflare.com/r2/pricing/</t>
        </is>
      </c>
    </row>
    <row r="7">
      <c r="A7" s="4" t="inlineStr">
        <is>
          <t>Data egress</t>
        </is>
      </c>
      <c r="B7" s="8" t="inlineStr">
        <is>
          <t>Required</t>
        </is>
      </c>
      <c r="C7" s="6" t="inlineStr">
        <is>
          <t>Per GB out</t>
        </is>
      </c>
      <c r="D7" s="9">
        <f>egress_gb*rate_egress_gb</f>
        <v/>
      </c>
      <c r="E7" s="9">
        <f>D7*12</f>
        <v/>
      </c>
      <c r="F7" s="10" t="inlineStr">
        <is>
          <t>https://aws.amazon.com/s3/pricing/</t>
        </is>
      </c>
    </row>
    <row r="8">
      <c r="A8" s="4" t="inlineStr">
        <is>
          <t>Stripe (domestic)</t>
        </is>
      </c>
      <c r="B8" s="8" t="inlineStr">
        <is>
          <t>Required</t>
        </is>
      </c>
      <c r="C8" s="6" t="inlineStr">
        <is>
          <t>% of domestic revenue</t>
        </is>
      </c>
      <c r="D8" s="9">
        <f>revenue_month*(1-intl_share/100)*rate_stripe_dom</f>
        <v/>
      </c>
      <c r="E8" s="9">
        <f>D8*12</f>
        <v/>
      </c>
      <c r="F8" s="10" t="inlineStr">
        <is>
          <t>https://stripe.com/pricing</t>
        </is>
      </c>
    </row>
    <row r="9">
      <c r="A9" s="4" t="inlineStr">
        <is>
          <t>Stripe (international)</t>
        </is>
      </c>
      <c r="B9" s="8" t="inlineStr">
        <is>
          <t>Required</t>
        </is>
      </c>
      <c r="C9" s="6" t="inlineStr">
        <is>
          <t>% of intl revenue</t>
        </is>
      </c>
      <c r="D9" s="9">
        <f>revenue_month*(intl_share/100)*rate_stripe_intl</f>
        <v/>
      </c>
      <c r="E9" s="9">
        <f>D9*12</f>
        <v/>
      </c>
      <c r="F9" s="10" t="inlineStr">
        <is>
          <t>https://stripe.com/pricing</t>
        </is>
      </c>
    </row>
    <row r="10">
      <c r="A10" s="4" t="inlineStr">
        <is>
          <t>Email platform base</t>
        </is>
      </c>
      <c r="B10" s="8" t="inlineStr">
        <is>
          <t>Required</t>
        </is>
      </c>
      <c r="C10" s="6" t="inlineStr">
        <is>
          <t>Flat base</t>
        </is>
      </c>
      <c r="D10" s="9">
        <f>rate_postmark_base</f>
        <v/>
      </c>
      <c r="E10" s="9">
        <f>D10*12</f>
        <v/>
      </c>
      <c r="F10" s="10" t="inlineStr">
        <is>
          <t>https://postmarkapp.com/pricing</t>
        </is>
      </c>
    </row>
    <row r="11">
      <c r="A11" s="4" t="inlineStr">
        <is>
          <t>Email volume</t>
        </is>
      </c>
      <c r="B11" s="8" t="inlineStr">
        <is>
          <t>Required</t>
        </is>
      </c>
      <c r="C11" s="6" t="inlineStr">
        <is>
          <t>Per 1,000 emails</t>
        </is>
      </c>
      <c r="D11" s="9">
        <f>MAX(0,emails_month-10000)/1000*rate_email_k</f>
        <v/>
      </c>
      <c r="E11" s="9">
        <f>D11*12</f>
        <v/>
      </c>
      <c r="F11" s="10" t="inlineStr">
        <is>
          <t>https://postmarkapp.com/pricing</t>
        </is>
      </c>
    </row>
    <row r="12">
      <c r="A12" s="4" t="inlineStr">
        <is>
          <t>Azure OpenAI</t>
        </is>
      </c>
      <c r="B12" s="8" t="inlineStr">
        <is>
          <t>AI</t>
        </is>
      </c>
      <c r="C12" s="6" t="inlineStr">
        <is>
          <t>Per 1M tokens</t>
        </is>
      </c>
      <c r="D12" s="9">
        <f>ai_tokens_m*rate_ai_m</f>
        <v/>
      </c>
      <c r="E12" s="9">
        <f>D12*12</f>
        <v/>
      </c>
      <c r="F12" s="10" t="inlineStr">
        <is>
          <t>https://azure.microsoft.com/en-us/pricing/details/cognitive-services/openai-service/</t>
        </is>
      </c>
    </row>
    <row r="13">
      <c r="A13" s="4" t="inlineStr">
        <is>
          <t>Azure AI Vision (OCR)</t>
        </is>
      </c>
      <c r="B13" s="8" t="inlineStr">
        <is>
          <t>AI</t>
        </is>
      </c>
      <c r="C13" s="6" t="inlineStr">
        <is>
          <t>Per 1,000 pages</t>
        </is>
      </c>
      <c r="D13" s="9">
        <f>MAX(0,ocr_pages-5000)/1000*rate_ocr_k</f>
        <v/>
      </c>
      <c r="E13" s="9">
        <f>D13*12</f>
        <v/>
      </c>
      <c r="F13" s="10" t="inlineStr">
        <is>
          <t>https://azure.microsoft.com/en-us/pricing/details/cognitive-services/computer-vision/</t>
        </is>
      </c>
    </row>
    <row r="14">
      <c r="A14" s="4" t="inlineStr">
        <is>
          <t>Firebase Cloud Messaging</t>
        </is>
      </c>
      <c r="B14" s="8" t="inlineStr">
        <is>
          <t>Push</t>
        </is>
      </c>
      <c r="C14" s="6" t="inlineStr">
        <is>
          <t>Flat (free)</t>
        </is>
      </c>
      <c r="D14" s="9">
        <f>0</f>
        <v/>
      </c>
      <c r="E14" s="9">
        <f>D14*12</f>
        <v/>
      </c>
      <c r="F14" s="10" t="inlineStr">
        <is>
          <t>https://firebase.google.com/pricing</t>
        </is>
      </c>
    </row>
    <row r="15">
      <c r="A15" s="4" t="inlineStr">
        <is>
          <t>Mapbox</t>
        </is>
      </c>
      <c r="B15" s="8" t="inlineStr">
        <is>
          <t>Maps</t>
        </is>
      </c>
      <c r="C15" s="6" t="inlineStr">
        <is>
          <t>Per 1,000 loads over free</t>
        </is>
      </c>
      <c r="D15" s="9">
        <f>MAX(0,map_loads-50000)/1000*rate_map_k</f>
        <v/>
      </c>
      <c r="E15" s="9">
        <f>D15*12</f>
        <v/>
      </c>
      <c r="F15" s="10" t="inlineStr">
        <is>
          <t>https://www.mapbox.com/pricing</t>
        </is>
      </c>
    </row>
    <row r="16">
      <c r="A16" s="4" t="inlineStr">
        <is>
          <t>Autodesk APS (3D conversion)</t>
        </is>
      </c>
      <c r="B16" s="11" t="inlineStr">
        <is>
          <t>Optional</t>
        </is>
      </c>
      <c r="C16" s="6" t="inlineStr">
        <is>
          <t>Per conversion</t>
        </is>
      </c>
      <c r="D16" s="9">
        <f>model_conversions*rate_aps_conv</f>
        <v/>
      </c>
      <c r="E16" s="9">
        <f>D16*12</f>
        <v/>
      </c>
      <c r="F16" s="10" t="inlineStr">
        <is>
          <t>https://aps.autodesk.com/pricing</t>
        </is>
      </c>
    </row>
    <row r="17">
      <c r="A17" s="4" t="inlineStr">
        <is>
          <t>Enterprise SSO (Okta/Entra)</t>
        </is>
      </c>
      <c r="B17" s="11" t="inlineStr">
        <is>
          <t>Optional</t>
        </is>
      </c>
      <c r="C17" s="6" t="inlineStr">
        <is>
          <t>Per SSO user</t>
        </is>
      </c>
      <c r="D17" s="9">
        <f>sso_users*rate_sso_user</f>
        <v/>
      </c>
      <c r="E17" s="9">
        <f>D17*12</f>
        <v/>
      </c>
      <c r="F17" s="10" t="inlineStr">
        <is>
          <t>https://www.okta.com/pricing/</t>
        </is>
      </c>
    </row>
    <row r="18">
      <c r="A18" s="4" t="inlineStr">
        <is>
          <t>Expo EAS (mobile builds)</t>
        </is>
      </c>
      <c r="B18" s="8" t="inlineStr">
        <is>
          <t>Mobile</t>
        </is>
      </c>
      <c r="C18" s="6" t="inlineStr">
        <is>
          <t>Flat</t>
        </is>
      </c>
      <c r="D18" s="9">
        <f>rate_eas</f>
        <v/>
      </c>
      <c r="E18" s="9">
        <f>D18*12</f>
        <v/>
      </c>
      <c r="F18" s="10" t="inlineStr">
        <is>
          <t>https://expo.dev/pricing</t>
        </is>
      </c>
    </row>
    <row r="19">
      <c r="A19" s="4" t="inlineStr">
        <is>
          <t>Sentry (crash reporting)</t>
        </is>
      </c>
      <c r="B19" s="11" t="inlineStr">
        <is>
          <t>Optional</t>
        </is>
      </c>
      <c r="C19" s="6" t="inlineStr">
        <is>
          <t>Flat</t>
        </is>
      </c>
      <c r="D19" s="9">
        <f>rate_sentry</f>
        <v/>
      </c>
      <c r="E19" s="9">
        <f>D19*12</f>
        <v/>
      </c>
      <c r="F19" s="10" t="inlineStr">
        <is>
          <t>https://sentry.io/pricing/</t>
        </is>
      </c>
    </row>
    <row r="21">
      <c r="A21" s="12" t="inlineStr">
        <is>
          <t>MONTHLY TOTAL</t>
        </is>
      </c>
      <c r="B21" s="13" t="n"/>
      <c r="C21" s="13" t="n"/>
      <c r="D21" s="14">
        <f>SUM(D5:D19)</f>
        <v/>
      </c>
      <c r="E21" s="14">
        <f>SUM(E5:E19)</f>
        <v/>
      </c>
      <c r="F21" s="13" t="n"/>
    </row>
    <row r="23">
      <c r="A23" s="15" t="inlineStr">
        <is>
          <t>Cost per firm / month</t>
        </is>
      </c>
      <c r="D23" s="16">
        <f>D21/MAX(1,firms)</f>
        <v/>
      </c>
    </row>
    <row r="24">
      <c r="A24" s="15" t="inlineStr">
        <is>
          <t>Cost per user / month</t>
        </is>
      </c>
      <c r="D24" s="16">
        <f>D21/MAX(1,users)</f>
        <v/>
      </c>
    </row>
    <row r="25">
      <c r="A25" s="15" t="inlineStr">
        <is>
          <t>Cost per project / month</t>
        </is>
      </c>
      <c r="D25" s="16">
        <f>D21/MAX(1,projects)</f>
        <v/>
      </c>
    </row>
    <row r="27">
      <c r="A27" s="17" t="inlineStr">
        <is>
          <t>One-off costs (not in monthly total):</t>
        </is>
      </c>
    </row>
    <row r="28">
      <c r="A28" t="inlineStr">
        <is>
          <t>Apple Developer Program</t>
        </is>
      </c>
      <c r="D28" t="inlineStr">
        <is>
          <t>$99 / year</t>
        </is>
      </c>
      <c r="F28" s="18" t="inlineStr">
        <is>
          <t>https://developer.apple.com/programs/</t>
        </is>
      </c>
    </row>
    <row r="29">
      <c r="A29" t="inlineStr">
        <is>
          <t>Google Play Console</t>
        </is>
      </c>
      <c r="D29" t="inlineStr">
        <is>
          <t>$25 once</t>
        </is>
      </c>
      <c r="F29" s="18" t="inlineStr">
        <is>
          <t>https://play.google.com/console/signup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8" r:id="rId16"/>
    <hyperlink xmlns:r="http://schemas.openxmlformats.org/officeDocument/2006/relationships" ref="F29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237E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32" customWidth="1" min="4" max="4"/>
    <col width="58" customWidth="1" min="5" max="5"/>
    <col width="50" customWidth="1" min="6" max="6"/>
  </cols>
  <sheetData>
    <row r="1">
      <c r="A1" s="19" t="inlineStr">
        <is>
          <t>PAID SERVICES — REFERENCE (indicative, early 2026 — verify on link)</t>
        </is>
      </c>
    </row>
    <row r="3">
      <c r="A3" s="3" t="inlineStr">
        <is>
          <t>Service</t>
        </is>
      </c>
      <c r="B3" s="3" t="inlineStr">
        <is>
          <t>Category</t>
        </is>
      </c>
      <c r="C3" s="3" t="inlineStr">
        <is>
          <t>Scaling driver</t>
        </is>
      </c>
      <c r="D3" s="3" t="inlineStr">
        <is>
          <t>Indicative price</t>
        </is>
      </c>
      <c r="E3" s="3" t="inlineStr">
        <is>
          <t>Pricing link</t>
        </is>
      </c>
      <c r="F3" s="3" t="inlineStr">
        <is>
          <t>Sign-up link</t>
        </is>
      </c>
    </row>
    <row r="4">
      <c r="A4" s="20" t="inlineStr">
        <is>
          <t>Stripe</t>
        </is>
      </c>
      <c r="B4" s="6" t="inlineStr">
        <is>
          <t>Payments (req)</t>
        </is>
      </c>
      <c r="C4" s="6" t="inlineStr">
        <is>
          <t>% per transaction</t>
        </is>
      </c>
      <c r="D4" s="6" t="inlineStr">
        <is>
          <t>2.9% + $0.30 US; 3.25%+20p intl</t>
        </is>
      </c>
      <c r="E4" s="21" t="inlineStr">
        <is>
          <t>https://stripe.com/pricing</t>
        </is>
      </c>
      <c r="F4" s="21" t="inlineStr">
        <is>
          <t>https://dashboard.stripe.com/register</t>
        </is>
      </c>
    </row>
    <row r="5">
      <c r="A5" s="20" t="inlineStr">
        <is>
          <t>Flutterwave</t>
        </is>
      </c>
      <c r="B5" s="6" t="inlineStr">
        <is>
          <t>Payments (req)</t>
        </is>
      </c>
      <c r="C5" s="6" t="inlineStr">
        <is>
          <t>% per transaction</t>
        </is>
      </c>
      <c r="D5" s="6" t="inlineStr">
        <is>
          <t>~1.4% local / ~3.8% intl</t>
        </is>
      </c>
      <c r="E5" s="21" t="inlineStr">
        <is>
          <t>https://flutterwave.com/pricing</t>
        </is>
      </c>
      <c r="F5" s="21" t="inlineStr">
        <is>
          <t>https://dashboard.flutterwave.com/signup</t>
        </is>
      </c>
    </row>
    <row r="6">
      <c r="A6" s="20" t="inlineStr">
        <is>
          <t>Azure OpenAI</t>
        </is>
      </c>
      <c r="B6" s="6" t="inlineStr">
        <is>
          <t>AI (req)</t>
        </is>
      </c>
      <c r="C6" s="6" t="inlineStr">
        <is>
          <t>per 1M tokens</t>
        </is>
      </c>
      <c r="D6" s="6" t="inlineStr">
        <is>
          <t>GPT-4o ~$2.50 in/$10 out; mini ~$0.15/$0.60</t>
        </is>
      </c>
      <c r="E6" s="21" t="inlineStr">
        <is>
          <t>https://azure.microsoft.com/en-us/pricing/details/cognitive-services/openai-service/</t>
        </is>
      </c>
      <c r="F6" s="21" t="inlineStr">
        <is>
          <t>https://azure.microsoft.com/free</t>
        </is>
      </c>
    </row>
    <row r="7">
      <c r="A7" s="20" t="inlineStr">
        <is>
          <t>Azure AI Vision (OCR)</t>
        </is>
      </c>
      <c r="B7" s="6" t="inlineStr">
        <is>
          <t>AI (req)</t>
        </is>
      </c>
      <c r="C7" s="6" t="inlineStr">
        <is>
          <t>per 1,000 pages</t>
        </is>
      </c>
      <c r="D7" s="6" t="inlineStr">
        <is>
          <t>Free 5k/mo; ~$1.00-1.50 per 1k</t>
        </is>
      </c>
      <c r="E7" s="21" t="inlineStr">
        <is>
          <t>https://azure.microsoft.com/en-us/pricing/details/cognitive-services/computer-vision/</t>
        </is>
      </c>
      <c r="F7" s="21" t="inlineStr">
        <is>
          <t>https://azure.microsoft.com/free</t>
        </is>
      </c>
    </row>
    <row r="8">
      <c r="A8" s="20" t="inlineStr">
        <is>
          <t>Firebase FCM</t>
        </is>
      </c>
      <c r="B8" s="6" t="inlineStr">
        <is>
          <t>Push (req)</t>
        </is>
      </c>
      <c r="C8" s="6" t="inlineStr">
        <is>
          <t>flat</t>
        </is>
      </c>
      <c r="D8" s="6" t="inlineStr">
        <is>
          <t>$0 free</t>
        </is>
      </c>
      <c r="E8" s="21" t="inlineStr">
        <is>
          <t>https://firebase.google.com/pricing</t>
        </is>
      </c>
      <c r="F8" s="21" t="inlineStr">
        <is>
          <t>https://console.firebase.google.com</t>
        </is>
      </c>
    </row>
    <row r="9">
      <c r="A9" s="20" t="inlineStr">
        <is>
          <t>Postmark</t>
        </is>
      </c>
      <c r="B9" s="6" t="inlineStr">
        <is>
          <t>Email (req)</t>
        </is>
      </c>
      <c r="C9" s="6" t="inlineStr">
        <is>
          <t>per emails/mo</t>
        </is>
      </c>
      <c r="D9" s="6" t="inlineStr">
        <is>
          <t>$15/mo for 10k, tiered</t>
        </is>
      </c>
      <c r="E9" s="21" t="inlineStr">
        <is>
          <t>https://postmarkapp.com/pricing</t>
        </is>
      </c>
      <c r="F9" s="21" t="inlineStr">
        <is>
          <t>https://account.postmarkapp.com/sign_up</t>
        </is>
      </c>
    </row>
    <row r="10">
      <c r="A10" s="20" t="inlineStr">
        <is>
          <t>AWS S3</t>
        </is>
      </c>
      <c r="B10" s="6" t="inlineStr">
        <is>
          <t>Storage (req)</t>
        </is>
      </c>
      <c r="C10" s="6" t="inlineStr">
        <is>
          <t>per GB + egress</t>
        </is>
      </c>
      <c r="D10" s="6" t="inlineStr">
        <is>
          <t>~$0.023/GB-mo + ~$0.09/GB egress</t>
        </is>
      </c>
      <c r="E10" s="21" t="inlineStr">
        <is>
          <t>https://aws.amazon.com/s3/pricing/</t>
        </is>
      </c>
      <c r="F10" s="21" t="inlineStr">
        <is>
          <t>https://aws.amazon.com</t>
        </is>
      </c>
    </row>
    <row r="11">
      <c r="A11" s="20" t="inlineStr">
        <is>
          <t>Cloudflare R2</t>
        </is>
      </c>
      <c r="B11" s="6" t="inlineStr">
        <is>
          <t>Storage (req-alt)</t>
        </is>
      </c>
      <c r="C11" s="6" t="inlineStr">
        <is>
          <t>per GB, no egress</t>
        </is>
      </c>
      <c r="D11" s="6" t="inlineStr">
        <is>
          <t>$0.015/GB-mo, $0 egress</t>
        </is>
      </c>
      <c r="E11" s="21" t="inlineStr">
        <is>
          <t>https://developers.cloudflare.com/r2/pricing/</t>
        </is>
      </c>
      <c r="F11" s="21" t="inlineStr">
        <is>
          <t>https://dash.cloudflare.com/sign-up</t>
        </is>
      </c>
    </row>
    <row r="12">
      <c r="A12" s="20" t="inlineStr">
        <is>
          <t>DigitalOcean Spaces</t>
        </is>
      </c>
      <c r="B12" s="6" t="inlineStr">
        <is>
          <t>Storage (req-alt)</t>
        </is>
      </c>
      <c r="C12" s="6" t="inlineStr">
        <is>
          <t>flat + overage</t>
        </is>
      </c>
      <c r="D12" s="6" t="inlineStr">
        <is>
          <t>$5/mo 250GB +1TB transfer</t>
        </is>
      </c>
      <c r="E12" s="21" t="inlineStr">
        <is>
          <t>https://www.digitalocean.com/pricing/spaces-object-storage</t>
        </is>
      </c>
      <c r="F12" s="21" t="inlineStr">
        <is>
          <t>https://cloud.digitalocean.com/registrations/new</t>
        </is>
      </c>
    </row>
    <row r="13">
      <c r="A13" s="20" t="inlineStr">
        <is>
          <t>Autodesk APS / Forge</t>
        </is>
      </c>
      <c r="B13" s="6" t="inlineStr">
        <is>
          <t>3D (opt)</t>
        </is>
      </c>
      <c r="C13" s="6" t="inlineStr">
        <is>
          <t>flex tokens/conversion</t>
        </is>
      </c>
      <c r="D13" s="6" t="inlineStr">
        <is>
          <t>Pay-as-you-go cloud credits</t>
        </is>
      </c>
      <c r="E13" s="21" t="inlineStr">
        <is>
          <t>https://aps.autodesk.com/pricing</t>
        </is>
      </c>
      <c r="F13" s="21" t="inlineStr">
        <is>
          <t>https://aps.autodesk.com</t>
        </is>
      </c>
    </row>
    <row r="14">
      <c r="A14" s="20" t="inlineStr">
        <is>
          <t>Sentry</t>
        </is>
      </c>
      <c r="B14" s="6" t="inlineStr">
        <is>
          <t>Monitoring (opt)</t>
        </is>
      </c>
      <c r="C14" s="6" t="inlineStr">
        <is>
          <t>per events/users</t>
        </is>
      </c>
      <c r="D14" s="6" t="inlineStr">
        <is>
          <t>Free dev; Team $26/mo</t>
        </is>
      </c>
      <c r="E14" s="21" t="inlineStr">
        <is>
          <t>https://sentry.io/pricing</t>
        </is>
      </c>
      <c r="F14" s="21" t="inlineStr">
        <is>
          <t>https://sentry.io/signup</t>
        </is>
      </c>
    </row>
    <row r="15">
      <c r="A15" s="20" t="inlineStr">
        <is>
          <t>Mapbox</t>
        </is>
      </c>
      <c r="B15" s="6" t="inlineStr">
        <is>
          <t>Maps</t>
        </is>
      </c>
      <c r="C15" s="6" t="inlineStr">
        <is>
          <t>per map loads</t>
        </is>
      </c>
      <c r="D15" s="6" t="inlineStr">
        <is>
          <t>Free 50k/mo then per 1k</t>
        </is>
      </c>
      <c r="E15" s="21" t="inlineStr">
        <is>
          <t>https://www.mapbox.com/pricing</t>
        </is>
      </c>
      <c r="F15" s="21" t="inlineStr">
        <is>
          <t>https://account.mapbox.com/auth/signup</t>
        </is>
      </c>
    </row>
    <row r="16">
      <c r="A16" s="20" t="inlineStr">
        <is>
          <t>Expo EAS</t>
        </is>
      </c>
      <c r="B16" s="6" t="inlineStr">
        <is>
          <t>Mobile builds</t>
        </is>
      </c>
      <c r="C16" s="6" t="inlineStr">
        <is>
          <t>per build mins/seats</t>
        </is>
      </c>
      <c r="D16" s="6" t="inlineStr">
        <is>
          <t>Free limited; Production $99/mo</t>
        </is>
      </c>
      <c r="E16" s="21" t="inlineStr">
        <is>
          <t>https://expo.dev/pricing</t>
        </is>
      </c>
      <c r="F16" s="21" t="inlineStr">
        <is>
          <t>https://expo.dev/signup</t>
        </is>
      </c>
    </row>
    <row r="17">
      <c r="A17" s="20" t="inlineStr">
        <is>
          <t>Apple Developer</t>
        </is>
      </c>
      <c r="B17" s="6" t="inlineStr">
        <is>
          <t>Mobile (req to ship iOS)</t>
        </is>
      </c>
      <c r="C17" s="6" t="inlineStr">
        <is>
          <t>flat/year</t>
        </is>
      </c>
      <c r="D17" s="6" t="inlineStr">
        <is>
          <t>$99/year</t>
        </is>
      </c>
      <c r="E17" s="21" t="inlineStr">
        <is>
          <t>https://developer.apple.com/programs</t>
        </is>
      </c>
      <c r="F17" s="21" t="inlineStr">
        <is>
          <t>https://developer.apple.com/programs/enroll</t>
        </is>
      </c>
    </row>
    <row r="18">
      <c r="A18" s="20" t="inlineStr">
        <is>
          <t>Google Play Console</t>
        </is>
      </c>
      <c r="B18" s="6" t="inlineStr">
        <is>
          <t>Mobile (req to ship Android)</t>
        </is>
      </c>
      <c r="C18" s="6" t="inlineStr">
        <is>
          <t>one-time</t>
        </is>
      </c>
      <c r="D18" s="6" t="inlineStr">
        <is>
          <t>$25 once</t>
        </is>
      </c>
      <c r="E18" s="21" t="inlineStr">
        <is>
          <t>https://play.google.com/console/signup</t>
        </is>
      </c>
      <c r="F18" s="21" t="inlineStr">
        <is>
          <t>https://play.google.com/console/signup</t>
        </is>
      </c>
    </row>
    <row r="19">
      <c r="A19" s="20" t="inlineStr">
        <is>
          <t>Slack</t>
        </is>
      </c>
      <c r="B19" s="6" t="inlineStr">
        <is>
          <t>Webhooks (opt)</t>
        </is>
      </c>
      <c r="C19" s="6" t="inlineStr">
        <is>
          <t>per user/mo</t>
        </is>
      </c>
      <c r="D19" s="6" t="inlineStr">
        <is>
          <t>Free tier; Pro ~$7.25/user</t>
        </is>
      </c>
      <c r="E19" s="21" t="inlineStr">
        <is>
          <t>https://slack.com/pricing</t>
        </is>
      </c>
      <c r="F19" s="21" t="inlineStr">
        <is>
          <t>https://slack.com/get-started</t>
        </is>
      </c>
    </row>
    <row r="20">
      <c r="A20" s="20" t="inlineStr">
        <is>
          <t>Microsoft Teams</t>
        </is>
      </c>
      <c r="B20" s="6" t="inlineStr">
        <is>
          <t>Webhooks (opt)</t>
        </is>
      </c>
      <c r="C20" s="6" t="inlineStr">
        <is>
          <t>M365 seat</t>
        </is>
      </c>
      <c r="D20" s="6" t="inlineStr">
        <is>
          <t>From ~$4/user (Business Basic)</t>
        </is>
      </c>
      <c r="E20" s="21" t="inlineStr">
        <is>
          <t>https://www.microsoft.com/microsoft-teams</t>
        </is>
      </c>
      <c r="F20" s="21" t="inlineStr">
        <is>
          <t>https://www.microsoft.com/microsoft-365</t>
        </is>
      </c>
    </row>
    <row r="21">
      <c r="A21" s="20" t="inlineStr">
        <is>
          <t>Okta SSO</t>
        </is>
      </c>
      <c r="B21" s="6" t="inlineStr">
        <is>
          <t>Identity (opt)</t>
        </is>
      </c>
      <c r="C21" s="6" t="inlineStr">
        <is>
          <t>per user/mo</t>
        </is>
      </c>
      <c r="D21" s="6" t="inlineStr">
        <is>
          <t>SSO ~$2/user/mo</t>
        </is>
      </c>
      <c r="E21" s="21" t="inlineStr">
        <is>
          <t>https://www.okta.com/pricing/</t>
        </is>
      </c>
      <c r="F21" s="21" t="inlineStr">
        <is>
          <t>https://www.okta.com/free-trial/</t>
        </is>
      </c>
    </row>
    <row r="22">
      <c r="A22" s="20" t="inlineStr">
        <is>
          <t>Microsoft Entra ID P1</t>
        </is>
      </c>
      <c r="B22" s="6" t="inlineStr">
        <is>
          <t>Identity (opt)</t>
        </is>
      </c>
      <c r="C22" s="6" t="inlineStr">
        <is>
          <t>per user/mo</t>
        </is>
      </c>
      <c r="D22" s="6" t="inlineStr">
        <is>
          <t>~$6/user/mo</t>
        </is>
      </c>
      <c r="E22" s="21" t="inlineStr">
        <is>
          <t>https://www.microsoft.com/security/business/microsoft-entra-pricing</t>
        </is>
      </c>
      <c r="F22" s="21" t="inlineStr">
        <is>
          <t>https://azure.microsoft.com/free</t>
        </is>
      </c>
    </row>
    <row r="23">
      <c r="A23" s="20" t="inlineStr">
        <is>
          <t>Seq</t>
        </is>
      </c>
      <c r="B23" s="6" t="inlineStr">
        <is>
          <t>Logs (opt)</t>
        </is>
      </c>
      <c r="C23" s="6" t="inlineStr">
        <is>
          <t>per seat/license</t>
        </is>
      </c>
      <c r="D23" s="6" t="inlineStr">
        <is>
          <t>Free single-user; Team paid</t>
        </is>
      </c>
      <c r="E23" s="21" t="inlineStr">
        <is>
          <t>https://datalust.co/pricing</t>
        </is>
      </c>
      <c r="F23" s="21" t="inlineStr">
        <is>
          <t>https://datalust.co</t>
        </is>
      </c>
    </row>
  </sheetData>
  <mergeCells count="1">
    <mergeCell ref="A1:F1"/>
  </mergeCells>
  <hyperlinks>
    <hyperlink xmlns:r="http://schemas.openxmlformats.org/officeDocument/2006/relationships" ref="E4" r:id="rId1"/>
    <hyperlink xmlns:r="http://schemas.openxmlformats.org/officeDocument/2006/relationships" ref="F4" r:id="rId2"/>
    <hyperlink xmlns:r="http://schemas.openxmlformats.org/officeDocument/2006/relationships" ref="E5" r:id="rId3"/>
    <hyperlink xmlns:r="http://schemas.openxmlformats.org/officeDocument/2006/relationships" ref="F5" r:id="rId4"/>
    <hyperlink xmlns:r="http://schemas.openxmlformats.org/officeDocument/2006/relationships" ref="E6" r:id="rId5"/>
    <hyperlink xmlns:r="http://schemas.openxmlformats.org/officeDocument/2006/relationships" ref="F6" r:id="rId6"/>
    <hyperlink xmlns:r="http://schemas.openxmlformats.org/officeDocument/2006/relationships" ref="E7" r:id="rId7"/>
    <hyperlink xmlns:r="http://schemas.openxmlformats.org/officeDocument/2006/relationships" ref="F7" r:id="rId8"/>
    <hyperlink xmlns:r="http://schemas.openxmlformats.org/officeDocument/2006/relationships" ref="E8" r:id="rId9"/>
    <hyperlink xmlns:r="http://schemas.openxmlformats.org/officeDocument/2006/relationships" ref="F8" r:id="rId10"/>
    <hyperlink xmlns:r="http://schemas.openxmlformats.org/officeDocument/2006/relationships" ref="E9" r:id="rId11"/>
    <hyperlink xmlns:r="http://schemas.openxmlformats.org/officeDocument/2006/relationships" ref="F9" r:id="rId12"/>
    <hyperlink xmlns:r="http://schemas.openxmlformats.org/officeDocument/2006/relationships" ref="E10" r:id="rId13"/>
    <hyperlink xmlns:r="http://schemas.openxmlformats.org/officeDocument/2006/relationships" ref="F10" r:id="rId14"/>
    <hyperlink xmlns:r="http://schemas.openxmlformats.org/officeDocument/2006/relationships" ref="E11" r:id="rId15"/>
    <hyperlink xmlns:r="http://schemas.openxmlformats.org/officeDocument/2006/relationships" ref="F11" r:id="rId16"/>
    <hyperlink xmlns:r="http://schemas.openxmlformats.org/officeDocument/2006/relationships" ref="E12" r:id="rId17"/>
    <hyperlink xmlns:r="http://schemas.openxmlformats.org/officeDocument/2006/relationships" ref="F12" r:id="rId18"/>
    <hyperlink xmlns:r="http://schemas.openxmlformats.org/officeDocument/2006/relationships" ref="E13" r:id="rId19"/>
    <hyperlink xmlns:r="http://schemas.openxmlformats.org/officeDocument/2006/relationships" ref="F13" r:id="rId20"/>
    <hyperlink xmlns:r="http://schemas.openxmlformats.org/officeDocument/2006/relationships" ref="E14" r:id="rId21"/>
    <hyperlink xmlns:r="http://schemas.openxmlformats.org/officeDocument/2006/relationships" ref="F14" r:id="rId22"/>
    <hyperlink xmlns:r="http://schemas.openxmlformats.org/officeDocument/2006/relationships" ref="E15" r:id="rId23"/>
    <hyperlink xmlns:r="http://schemas.openxmlformats.org/officeDocument/2006/relationships" ref="F15" r:id="rId24"/>
    <hyperlink xmlns:r="http://schemas.openxmlformats.org/officeDocument/2006/relationships" ref="E16" r:id="rId25"/>
    <hyperlink xmlns:r="http://schemas.openxmlformats.org/officeDocument/2006/relationships" ref="F16" r:id="rId26"/>
    <hyperlink xmlns:r="http://schemas.openxmlformats.org/officeDocument/2006/relationships" ref="E17" r:id="rId27"/>
    <hyperlink xmlns:r="http://schemas.openxmlformats.org/officeDocument/2006/relationships" ref="F17" r:id="rId28"/>
    <hyperlink xmlns:r="http://schemas.openxmlformats.org/officeDocument/2006/relationships" ref="E18" r:id="rId29"/>
    <hyperlink xmlns:r="http://schemas.openxmlformats.org/officeDocument/2006/relationships" ref="F18" r:id="rId30"/>
    <hyperlink xmlns:r="http://schemas.openxmlformats.org/officeDocument/2006/relationships" ref="E19" r:id="rId31"/>
    <hyperlink xmlns:r="http://schemas.openxmlformats.org/officeDocument/2006/relationships" ref="F19" r:id="rId32"/>
    <hyperlink xmlns:r="http://schemas.openxmlformats.org/officeDocument/2006/relationships" ref="E20" r:id="rId33"/>
    <hyperlink xmlns:r="http://schemas.openxmlformats.org/officeDocument/2006/relationships" ref="F20" r:id="rId34"/>
    <hyperlink xmlns:r="http://schemas.openxmlformats.org/officeDocument/2006/relationships" ref="E21" r:id="rId35"/>
    <hyperlink xmlns:r="http://schemas.openxmlformats.org/officeDocument/2006/relationships" ref="F21" r:id="rId36"/>
    <hyperlink xmlns:r="http://schemas.openxmlformats.org/officeDocument/2006/relationships" ref="E22" r:id="rId37"/>
    <hyperlink xmlns:r="http://schemas.openxmlformats.org/officeDocument/2006/relationships" ref="F22" r:id="rId38"/>
    <hyperlink xmlns:r="http://schemas.openxmlformats.org/officeDocument/2006/relationships" ref="E23" r:id="rId39"/>
    <hyperlink xmlns:r="http://schemas.openxmlformats.org/officeDocument/2006/relationships" ref="F23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07D8B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4" customWidth="1" min="3" max="3"/>
  </cols>
  <sheetData>
    <row r="1">
      <c r="A1" s="22" t="inlineStr">
        <is>
          <t>FREE / OPEN-SOURCE / SELF-HOSTABLE — NO SUBSCRIPTION</t>
        </is>
      </c>
    </row>
    <row r="3">
      <c r="A3" s="23" t="inlineStr">
        <is>
          <t>Service</t>
        </is>
      </c>
      <c r="B3" s="23" t="inlineStr">
        <is>
          <t>Role in Planscape</t>
        </is>
      </c>
      <c r="C3" s="23" t="inlineStr">
        <is>
          <t>Note</t>
        </is>
      </c>
    </row>
    <row r="4">
      <c r="A4" s="20" t="inlineStr">
        <is>
          <t>PostgreSQL 16</t>
        </is>
      </c>
      <c r="B4" s="6" t="inlineStr">
        <is>
          <t>Primary database</t>
        </is>
      </c>
      <c r="C4" s="6" t="inlineStr">
        <is>
          <t>Self-host; pay only if managed</t>
        </is>
      </c>
    </row>
    <row r="5">
      <c r="A5" s="20" t="inlineStr">
        <is>
          <t>Redis 7</t>
        </is>
      </c>
      <c r="B5" s="6" t="inlineStr">
        <is>
          <t>Cache, SignalR backplane, jobs</t>
        </is>
      </c>
      <c r="C5" s="6" t="inlineStr">
        <is>
          <t>Self-host</t>
        </is>
      </c>
    </row>
    <row r="6">
      <c r="A6" s="20" t="inlineStr">
        <is>
          <t>MinIO</t>
        </is>
      </c>
      <c r="B6" s="6" t="inlineStr">
        <is>
          <t>S3-compatible storage</t>
        </is>
      </c>
      <c r="C6" s="6" t="inlineStr">
        <is>
          <t>Free alternative to S3/R2</t>
        </is>
      </c>
    </row>
    <row r="7">
      <c r="A7" s="20" t="inlineStr">
        <is>
          <t>Local filesystem</t>
        </is>
      </c>
      <c r="B7" s="6" t="inlineStr">
        <is>
          <t>Storage fallback</t>
        </is>
      </c>
      <c r="C7" s="6" t="inlineStr">
        <is>
          <t>Free</t>
        </is>
      </c>
    </row>
    <row r="8">
      <c r="A8" s="20" t="inlineStr">
        <is>
          <t>Hangfire</t>
        </is>
      </c>
      <c r="B8" s="6" t="inlineStr">
        <is>
          <t>Background jobs</t>
        </is>
      </c>
      <c r="C8" s="6" t="inlineStr">
        <is>
          <t>Postgres-backed, free</t>
        </is>
      </c>
    </row>
    <row r="9">
      <c r="A9" s="20" t="inlineStr">
        <is>
          <t>SignalR</t>
        </is>
      </c>
      <c r="B9" s="6" t="inlineStr">
        <is>
          <t>Real-time hubs</t>
        </is>
      </c>
      <c r="C9" s="6" t="inlineStr">
        <is>
          <t>Built into ASP.NET Core</t>
        </is>
      </c>
    </row>
    <row r="10">
      <c r="A10" s="20" t="inlineStr">
        <is>
          <t>IfcOpenShell / ifcconvert</t>
        </is>
      </c>
      <c r="B10" s="6" t="inlineStr">
        <is>
          <t>3D IFC-&gt;glTF conversion</t>
        </is>
      </c>
      <c r="C10" s="6" t="inlineStr">
        <is>
          <t>Free alternative to APS</t>
        </is>
      </c>
    </row>
    <row r="11">
      <c r="A11" s="20" t="inlineStr">
        <is>
          <t>Expo Go</t>
        </is>
      </c>
      <c r="B11" s="6" t="inlineStr">
        <is>
          <t>Dev runtime</t>
        </is>
      </c>
      <c r="C11" s="6" t="inlineStr">
        <is>
          <t>Free (only EAS builds cost)</t>
        </is>
      </c>
    </row>
    <row r="12">
      <c r="A12" s="20" t="inlineStr">
        <is>
          <t>Expo Push</t>
        </is>
      </c>
      <c r="B12" s="6" t="inlineStr">
        <is>
          <t>Push notifications</t>
        </is>
      </c>
      <c r="C12" s="6" t="inlineStr">
        <is>
          <t>Free</t>
        </is>
      </c>
    </row>
    <row r="13">
      <c r="A13" s="20" t="inlineStr">
        <is>
          <t>Generic SMTP</t>
        </is>
      </c>
      <c r="B13" s="6" t="inlineStr">
        <is>
          <t>Email</t>
        </is>
      </c>
      <c r="C13" s="6" t="inlineStr">
        <is>
          <t>Free alternative to Postmark</t>
        </is>
      </c>
    </row>
    <row r="14">
      <c r="A14" s="20" t="inlineStr">
        <is>
          <t>Prometheus</t>
        </is>
      </c>
      <c r="B14" s="6" t="inlineStr">
        <is>
          <t>Metrics</t>
        </is>
      </c>
      <c r="C14" s="6" t="inlineStr">
        <is>
          <t>Self-host, opt-in</t>
        </is>
      </c>
    </row>
    <row r="15">
      <c r="A15" s="20" t="inlineStr">
        <is>
          <t>Grafana</t>
        </is>
      </c>
      <c r="B15" s="6" t="inlineStr">
        <is>
          <t>Dashboards</t>
        </is>
      </c>
      <c r="C15" s="6" t="inlineStr">
        <is>
          <t>Self-host, opt-in</t>
        </is>
      </c>
    </row>
    <row r="16">
      <c r="A16" s="20" t="inlineStr">
        <is>
          <t>OpenTelemetry Collector</t>
        </is>
      </c>
      <c r="B16" s="6" t="inlineStr">
        <is>
          <t>Tracing</t>
        </is>
      </c>
      <c r="C16" s="6" t="inlineStr">
        <is>
          <t>Self-host, opt-in</t>
        </is>
      </c>
    </row>
    <row r="17">
      <c r="A17" s="20" t="inlineStr">
        <is>
          <t>Elasticsearch / OpenSearch</t>
        </is>
      </c>
      <c r="B17" s="6" t="inlineStr">
        <is>
          <t>Log search</t>
        </is>
      </c>
      <c r="C17" s="6" t="inlineStr">
        <is>
          <t>Self-host, opt-in</t>
        </is>
      </c>
    </row>
    <row r="18">
      <c r="A18" s="20" t="inlineStr">
        <is>
          <t>ClamAV</t>
        </is>
      </c>
      <c r="B18" s="6" t="inlineStr">
        <is>
          <t>Antivirus on upload</t>
        </is>
      </c>
      <c r="C18" s="6" t="inlineStr">
        <is>
          <t>Self-host, opt-in (off by default)</t>
        </is>
      </c>
    </row>
    <row r="19">
      <c r="A19" s="20" t="inlineStr">
        <is>
          <t>QuestPDF</t>
        </is>
      </c>
      <c r="B19" s="6" t="inlineStr">
        <is>
          <t>Invoice PDF generation</t>
        </is>
      </c>
      <c r="C19" s="6" t="inlineStr">
        <is>
          <t>Free for revenue &lt; $1M</t>
        </is>
      </c>
    </row>
    <row r="20">
      <c r="A20" s="20" t="inlineStr">
        <is>
          <t>ImageSharp / SkiaSharp</t>
        </is>
      </c>
      <c r="B20" s="6" t="inlineStr">
        <is>
          <t>Image processing, redaction</t>
        </is>
      </c>
      <c r="C20" s="6" t="inlineStr">
        <is>
          <t>Open-source NuGet</t>
        </is>
      </c>
    </row>
    <row r="21">
      <c r="A21" s="20" t="inlineStr">
        <is>
          <t>ONNX Runtime</t>
        </is>
      </c>
      <c r="B21" s="6" t="inlineStr">
        <is>
          <t>Face/plate detection</t>
        </is>
      </c>
      <c r="C21" s="6" t="inlineStr">
        <is>
          <t>Open-source</t>
        </is>
      </c>
    </row>
    <row r="22">
      <c r="A22" s="20" t="inlineStr">
        <is>
          <t>xbim.Essentials</t>
        </is>
      </c>
      <c r="B22" s="6" t="inlineStr">
        <is>
          <t>IFC parsing</t>
        </is>
      </c>
      <c r="C22" s="6" t="inlineStr">
        <is>
          <t>Open-source</t>
        </is>
      </c>
    </row>
    <row r="23">
      <c r="A23" s="20" t="inlineStr">
        <is>
          <t>Next.js</t>
        </is>
      </c>
      <c r="B23" s="6" t="inlineStr">
        <is>
          <t>Web dashboard</t>
        </is>
      </c>
      <c r="C23" s="6" t="inlineStr">
        <is>
          <t>Self-hostable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24AA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34" customWidth="1" min="4" max="4"/>
  </cols>
  <sheetData>
    <row r="1">
      <c r="A1" s="19" t="inlineStr">
        <is>
          <t>INDICATIVE MONTHLY COST BY SCALE</t>
        </is>
      </c>
    </row>
    <row r="2">
      <c r="A2" s="2" t="inlineStr">
        <is>
          <t>Plug these into the Inputs tab to get exact numbers.</t>
        </is>
      </c>
    </row>
    <row r="4">
      <c r="A4" s="3" t="inlineStr">
        <is>
          <t>Scale</t>
        </is>
      </c>
      <c r="B4" s="3" t="inlineStr">
        <is>
          <t>Profile</t>
        </is>
      </c>
      <c r="C4" s="3" t="inlineStr">
        <is>
          <t>Main paid items</t>
        </is>
      </c>
      <c r="D4" s="3" t="inlineStr">
        <is>
          <t>Indicative monthly</t>
        </is>
      </c>
    </row>
    <row r="5">
      <c r="A5" s="20" t="inlineStr">
        <is>
          <t>Solo / pilot</t>
        </is>
      </c>
      <c r="B5" s="6" t="inlineStr">
        <is>
          <t>1 firm, &lt;=5 users, 1 project</t>
        </is>
      </c>
      <c r="C5" s="6" t="inlineStr">
        <is>
          <t>VPS, free FCM/Expo, free-tier Azure, Mapbox free; Stripe % only</t>
        </is>
      </c>
      <c r="D5" s="6" t="inlineStr">
        <is>
          <t>$30-80 + ~3% revenue + $99/yr Apple</t>
        </is>
      </c>
    </row>
    <row r="6">
      <c r="A6" s="20" t="inlineStr">
        <is>
          <t>Small</t>
        </is>
      </c>
      <c r="B6" s="6" t="inlineStr">
        <is>
          <t>&lt;=25 users, ~10 projects</t>
        </is>
      </c>
      <c r="C6" s="6" t="inlineStr">
        <is>
          <t>Managed PG/Redis, R2/Spaces, Postmark $15, modest Azure, EAS $99</t>
        </is>
      </c>
      <c r="D6" s="6" t="inlineStr">
        <is>
          <t>$200-350 + payment %</t>
        </is>
      </c>
    </row>
    <row r="7">
      <c r="A7" s="20" t="inlineStr">
        <is>
          <t>Mid</t>
        </is>
      </c>
      <c r="B7" s="6" t="inlineStr">
        <is>
          <t>Multi-firm, 100+ users</t>
        </is>
      </c>
      <c r="C7" s="6" t="inlineStr">
        <is>
          <t>Bigger DB, more storage, higher Azure spend, Sentry, Slack Pro</t>
        </is>
      </c>
      <c r="D7" s="6" t="inlineStr">
        <is>
          <t>$600-1,200 + payment %</t>
        </is>
      </c>
    </row>
    <row r="8">
      <c r="A8" s="20" t="inlineStr">
        <is>
          <t>Enterprise</t>
        </is>
      </c>
      <c r="B8" s="6" t="inlineStr">
        <is>
          <t>Unlimited, SSO required</t>
        </is>
      </c>
      <c r="C8" s="6" t="inlineStr">
        <is>
          <t>HA PG/Redis, large storage/egress, heavy Azure AI, Okta/Entra SSO, APS, Seq/Grafana</t>
        </is>
      </c>
      <c r="D8" s="6" t="inlineStr">
        <is>
          <t>$3k-10k+ + payment % + per-user SSO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2026-05-25T11:40:59Z</dcterms:created>
  <dcterms:modified xsi:type="dcterms:W3CDTF">2026-05-25T11:40:59Z</dcterms:modified>
</cp:coreProperties>
</file>