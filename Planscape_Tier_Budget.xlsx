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ier Budget" sheetId="2" state="visible" r:id="rId2"/>
    <sheet name="When to Add What" sheetId="3" state="visible" r:id="rId3"/>
    <sheet name="Services Catalog" sheetId="4" state="visible" r:id="rId4"/>
    <sheet name="Deploy by Tier" sheetId="5" state="visible" r:id="rId5"/>
  </sheets>
  <definedNames>
    <definedName name="rate_storage_gb">'Tier Budget'!$B$2</definedName>
    <definedName name="rate_sso_user">'Tier Budget'!$B$3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A237E"/>
      <sz val="16"/>
    </font>
    <font>
      <b val="1"/>
      <color rgb="001A237E"/>
      <sz val="12"/>
    </font>
    <font>
      <sz val="11"/>
    </font>
    <font>
      <b val="1"/>
      <color rgb="001A237E"/>
      <sz val="14"/>
    </font>
    <font>
      <b val="1"/>
    </font>
    <font>
      <b val="1"/>
      <color rgb="00FFFFFF"/>
      <sz val="11"/>
    </font>
    <font>
      <b val="1"/>
      <color rgb="00E8912D"/>
    </font>
    <font>
      <b val="1"/>
      <color rgb="001A237E"/>
    </font>
    <font>
      <i val="1"/>
      <color rgb="00C62828"/>
      <sz val="9"/>
    </font>
    <font>
      <i val="1"/>
      <color rgb="00555555"/>
      <sz val="9"/>
    </font>
    <font>
      <b val="1"/>
      <color rgb="00C62828"/>
    </font>
    <font>
      <color rgb="001565C0"/>
      <u val="single"/>
    </font>
    <font>
      <b val="1"/>
      <color rgb="002E7D32"/>
    </font>
  </fonts>
  <fills count="8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8" fillId="5" borderId="0" pivotButton="0" quotePrefix="0" xfId="0"/>
    <xf numFmtId="0" fontId="0" fillId="5" borderId="0" pivotButton="0" quotePrefix="0" xfId="0"/>
    <xf numFmtId="0" fontId="0" fillId="0" borderId="1" applyAlignment="1" pivotButton="0" quotePrefix="0" xfId="0">
      <alignment vertical="top" wrapText="1"/>
    </xf>
    <xf numFmtId="4" fontId="0" fillId="2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6" fillId="7" borderId="1" pivotButton="0" quotePrefix="0" xfId="0"/>
    <xf numFmtId="0" fontId="0" fillId="7" borderId="1" pivotButton="0" quotePrefix="0" xfId="0"/>
    <xf numFmtId="4" fontId="6" fillId="7" borderId="1" pivotButton="0" quotePrefix="0" xfId="0"/>
    <xf numFmtId="4" fontId="5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hetzner.com/cloud" TargetMode="External" Id="rId1" /><Relationship Type="http://schemas.openxmlformats.org/officeDocument/2006/relationships/hyperlink" Target="https://accounts.hetzner.com/signUp" TargetMode="External" Id="rId2" /><Relationship Type="http://schemas.openxmlformats.org/officeDocument/2006/relationships/hyperlink" Target="https://www.digitalocean.com/pricing/managed-databases" TargetMode="External" Id="rId3" /><Relationship Type="http://schemas.openxmlformats.org/officeDocument/2006/relationships/hyperlink" Target="https://cloud.digitalocean.com/registrations/new" TargetMode="External" Id="rId4" /><Relationship Type="http://schemas.openxmlformats.org/officeDocument/2006/relationships/hyperlink" Target="https://www.digitalocean.com/pricing/managed-databases" TargetMode="External" Id="rId5" /><Relationship Type="http://schemas.openxmlformats.org/officeDocument/2006/relationships/hyperlink" Target="https://cloud.digitalocean.com/registrations/new" TargetMode="External" Id="rId6" /><Relationship Type="http://schemas.openxmlformats.org/officeDocument/2006/relationships/hyperlink" Target="https://developers.cloudflare.com/r2/pricing/" TargetMode="External" Id="rId7" /><Relationship Type="http://schemas.openxmlformats.org/officeDocument/2006/relationships/hyperlink" Target="https://dash.cloudflare.com/sign-up" TargetMode="External" Id="rId8" /><Relationship Type="http://schemas.openxmlformats.org/officeDocument/2006/relationships/hyperlink" Target="https://aws.amazon.com/s3/pricing/" TargetMode="External" Id="rId9" /><Relationship Type="http://schemas.openxmlformats.org/officeDocument/2006/relationships/hyperlink" Target="https://aws.amazon.com" TargetMode="External" Id="rId10" /><Relationship Type="http://schemas.openxmlformats.org/officeDocument/2006/relationships/hyperlink" Target="https://www.digitalocean.com/pricing/spaces-object-storage" TargetMode="External" Id="rId11" /><Relationship Type="http://schemas.openxmlformats.org/officeDocument/2006/relationships/hyperlink" Target="https://cloud.digitalocean.com/registrations/new" TargetMode="External" Id="rId12" /><Relationship Type="http://schemas.openxmlformats.org/officeDocument/2006/relationships/hyperlink" Target="https://min.io/pricing" TargetMode="External" Id="rId13" /><Relationship Type="http://schemas.openxmlformats.org/officeDocument/2006/relationships/hyperlink" Target="https://min.io" TargetMode="External" Id="rId14" /><Relationship Type="http://schemas.openxmlformats.org/officeDocument/2006/relationships/hyperlink" Target="https://www.brevo.com/pricing/" TargetMode="External" Id="rId15" /><Relationship Type="http://schemas.openxmlformats.org/officeDocument/2006/relationships/hyperlink" Target="https://www.brevo.com" TargetMode="External" Id="rId16" /><Relationship Type="http://schemas.openxmlformats.org/officeDocument/2006/relationships/hyperlink" Target="https://postmarkapp.com/pricing" TargetMode="External" Id="rId17" /><Relationship Type="http://schemas.openxmlformats.org/officeDocument/2006/relationships/hyperlink" Target="https://account.postmarkapp.com/sign_up" TargetMode="External" Id="rId18" /><Relationship Type="http://schemas.openxmlformats.org/officeDocument/2006/relationships/hyperlink" Target="https://firebase.google.com/pricing" TargetMode="External" Id="rId19" /><Relationship Type="http://schemas.openxmlformats.org/officeDocument/2006/relationships/hyperlink" Target="https://console.firebase.google.com" TargetMode="External" Id="rId20" /><Relationship Type="http://schemas.openxmlformats.org/officeDocument/2006/relationships/hyperlink" Target="https://docs.expo.dev/push-notifications/overview/" TargetMode="External" Id="rId21" /><Relationship Type="http://schemas.openxmlformats.org/officeDocument/2006/relationships/hyperlink" Target="https://expo.dev/signup" TargetMode="External" Id="rId22" /><Relationship Type="http://schemas.openxmlformats.org/officeDocument/2006/relationships/hyperlink" Target="https://stripe.com/pricing" TargetMode="External" Id="rId23" /><Relationship Type="http://schemas.openxmlformats.org/officeDocument/2006/relationships/hyperlink" Target="https://dashboard.stripe.com/register" TargetMode="External" Id="rId24" /><Relationship Type="http://schemas.openxmlformats.org/officeDocument/2006/relationships/hyperlink" Target="https://flutterwave.com/pricing" TargetMode="External" Id="rId25" /><Relationship Type="http://schemas.openxmlformats.org/officeDocument/2006/relationships/hyperlink" Target="https://dashboard.flutterwave.com/signup" TargetMode="External" Id="rId26" /><Relationship Type="http://schemas.openxmlformats.org/officeDocument/2006/relationships/hyperlink" Target="https://azure.microsoft.com/en-us/pricing/details/cognitive-services/openai-service/" TargetMode="External" Id="rId27" /><Relationship Type="http://schemas.openxmlformats.org/officeDocument/2006/relationships/hyperlink" Target="https://azure.microsoft.com/free" TargetMode="External" Id="rId28" /><Relationship Type="http://schemas.openxmlformats.org/officeDocument/2006/relationships/hyperlink" Target="https://azure.microsoft.com/en-us/pricing/details/cognitive-services/computer-vision/" TargetMode="External" Id="rId29" /><Relationship Type="http://schemas.openxmlformats.org/officeDocument/2006/relationships/hyperlink" Target="https://azure.microsoft.com/free" TargetMode="External" Id="rId30" /><Relationship Type="http://schemas.openxmlformats.org/officeDocument/2006/relationships/hyperlink" Target="https://aps.autodesk.com/pricing" TargetMode="External" Id="rId31" /><Relationship Type="http://schemas.openxmlformats.org/officeDocument/2006/relationships/hyperlink" Target="https://aps.autodesk.com" TargetMode="External" Id="rId32" /><Relationship Type="http://schemas.openxmlformats.org/officeDocument/2006/relationships/hyperlink" Target="https://ifcopenshell.org/" TargetMode="External" Id="rId33" /><Relationship Type="http://schemas.openxmlformats.org/officeDocument/2006/relationships/hyperlink" Target="https://ifcopenshell.org/" TargetMode="External" Id="rId34" /><Relationship Type="http://schemas.openxmlformats.org/officeDocument/2006/relationships/hyperlink" Target="https://sentry.io/pricing/" TargetMode="External" Id="rId35" /><Relationship Type="http://schemas.openxmlformats.org/officeDocument/2006/relationships/hyperlink" Target="https://sentry.io/signup/" TargetMode="External" Id="rId36" /><Relationship Type="http://schemas.openxmlformats.org/officeDocument/2006/relationships/hyperlink" Target="https://www.mapbox.com/pricing" TargetMode="External" Id="rId37" /><Relationship Type="http://schemas.openxmlformats.org/officeDocument/2006/relationships/hyperlink" Target="https://account.mapbox.com/auth/signup/" TargetMode="External" Id="rId38" /><Relationship Type="http://schemas.openxmlformats.org/officeDocument/2006/relationships/hyperlink" Target="https://www.okta.com/pricing/" TargetMode="External" Id="rId39" /><Relationship Type="http://schemas.openxmlformats.org/officeDocument/2006/relationships/hyperlink" Target="https://www.okta.com/free-trial/" TargetMode="External" Id="rId40" /><Relationship Type="http://schemas.openxmlformats.org/officeDocument/2006/relationships/hyperlink" Target="https://www.microsoft.com/security/business/microsoft-entra-pricing" TargetMode="External" Id="rId41" /><Relationship Type="http://schemas.openxmlformats.org/officeDocument/2006/relationships/hyperlink" Target="https://azure.microsoft.com/free" TargetMode="External" Id="rId42" /><Relationship Type="http://schemas.openxmlformats.org/officeDocument/2006/relationships/hyperlink" Target="https://datalust.co/pricing" TargetMode="External" Id="rId43" /><Relationship Type="http://schemas.openxmlformats.org/officeDocument/2006/relationships/hyperlink" Target="https://datalust.co" TargetMode="External" Id="rId44" /><Relationship Type="http://schemas.openxmlformats.org/officeDocument/2006/relationships/hyperlink" Target="https://slack.com/pricing" TargetMode="External" Id="rId45" /><Relationship Type="http://schemas.openxmlformats.org/officeDocument/2006/relationships/hyperlink" Target="https://slack.com/get-started" TargetMode="External" Id="rId46" /><Relationship Type="http://schemas.openxmlformats.org/officeDocument/2006/relationships/hyperlink" Target="https://developer.apple.com/programs/" TargetMode="External" Id="rId47" /><Relationship Type="http://schemas.openxmlformats.org/officeDocument/2006/relationships/hyperlink" Target="https://developer.apple.com/programs/enroll/" TargetMode="External" Id="rId48" /><Relationship Type="http://schemas.openxmlformats.org/officeDocument/2006/relationships/hyperlink" Target="https://play.google.com/console/signup" TargetMode="External" Id="rId49" /><Relationship Type="http://schemas.openxmlformats.org/officeDocument/2006/relationships/hyperlink" Target="https://play.google.com/console/signup" TargetMode="External" Id="rId50" /><Relationship Type="http://schemas.openxmlformats.org/officeDocument/2006/relationships/hyperlink" Target="https://expo.dev/pricing" TargetMode="External" Id="rId51" /><Relationship Type="http://schemas.openxmlformats.org/officeDocument/2006/relationships/hyperlink" Target="https://expo.dev/signup" TargetMode="External" Id="rId52" /><Relationship Type="http://schemas.openxmlformats.org/officeDocument/2006/relationships/hyperlink" Target="https://www.cloudflare.com/products/registrar/" TargetMode="External" Id="rId53" /><Relationship Type="http://schemas.openxmlformats.org/officeDocument/2006/relationships/hyperlink" Target="https://dash.cloudflare.com/sign-up" TargetMode="External" Id="rId54" /></Relationships>
</file>

<file path=xl/worksheets/sheet1.xml><?xml version="1.0" encoding="utf-8"?>
<worksheet xmlns="http://schemas.openxmlformats.org/spreadsheetml/2006/main">
  <sheetPr>
    <tabColor rgb="00E8912D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PLANSCAPE — TIER BUDGET &amp; GROWTH PLAN</t>
        </is>
      </c>
    </row>
    <row r="2">
      <c r="A2" t="inlineStr"/>
    </row>
    <row r="3">
      <c r="A3" s="2" t="inlineStr">
        <is>
          <t>HOW TO USE THIS WORKBOOK</t>
        </is>
      </c>
    </row>
    <row r="4">
      <c r="A4" s="3" t="inlineStr">
        <is>
          <t xml:space="preserve">  - 'Tier Budget': monthly + annual cost per growth tier. Edit YELLOW cells (counts + rates).</t>
        </is>
      </c>
    </row>
    <row r="5">
      <c r="A5" s="3" t="inlineStr">
        <is>
          <t xml:space="preserve">  - 'When to Add What': the trigger to move to the next tier and exactly what to provision.</t>
        </is>
      </c>
    </row>
    <row r="6">
      <c r="A6" s="3" t="inlineStr">
        <is>
          <t xml:space="preserve">  - 'Services Catalog': every service - free vs paid, when it enters, real price, pricing + signup links.</t>
        </is>
      </c>
    </row>
    <row r="7">
      <c r="A7" s="3" t="inlineStr">
        <is>
          <t xml:space="preserve">  - 'Deploy by Tier': the architecture at each stage (one box -&gt; managed -&gt; HA -&gt; multi-node).</t>
        </is>
      </c>
    </row>
    <row r="8">
      <c r="A8" t="inlineStr"/>
    </row>
    <row r="9">
      <c r="A9" s="2" t="inlineStr">
        <is>
          <t>GUIDING PRINCIPLES</t>
        </is>
      </c>
    </row>
    <row r="10">
      <c r="A10" s="3" t="inlineStr">
        <is>
          <t xml:space="preserve">  1. Start web-first. Skip Apple ($99/yr) + Google Play ($25) until native apps - send links / PWA.</t>
        </is>
      </c>
    </row>
    <row r="11">
      <c r="A11" s="3" t="inlineStr">
        <is>
          <t xml:space="preserve">  2. One box until it hurts. Run the whole docker-compose on a single VPS through the Starter tier.</t>
        </is>
      </c>
    </row>
    <row r="12">
      <c r="A12" s="3" t="inlineStr">
        <is>
          <t xml:space="preserve">  3. Split the database first. PostgreSQL is the first thing to outgrow the box - move to managed at Growth.</t>
        </is>
      </c>
    </row>
    <row r="13">
      <c r="A13" s="3" t="inlineStr">
        <is>
          <t xml:space="preserve">  4. Storage is the only cost that climbs with projects. Local disk until ~50 GB, then R2 (zero egress).</t>
        </is>
      </c>
    </row>
    <row r="14">
      <c r="A14" s="3" t="inlineStr">
        <is>
          <t xml:space="preserve">  5. AI is opt-in. Azure OpenAI/Vision only cost money when you switch on smart-linking / OCR.</t>
        </is>
      </c>
    </row>
    <row r="15">
      <c r="A15" s="3" t="inlineStr">
        <is>
          <t xml:space="preserve">  6. Payments add no monthly fee - only a % per transaction. Turn on when you bill in-app.</t>
        </is>
      </c>
    </row>
    <row r="16">
      <c r="A16" s="3" t="inlineStr">
        <is>
          <t xml:space="preserve">  7. Add HA + observability + SSO only at Scale/Enterprise, when downtime and audits cost real money.</t>
        </is>
      </c>
    </row>
    <row r="17">
      <c r="A17" t="inlineStr"/>
    </row>
    <row r="18">
      <c r="A18" s="3" t="inlineStr">
        <is>
          <t>Prices are indicative (early 2026). Confirm on the linked pricing pages and overwrite the yellow rate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G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MONTHLY BUDGET BY TIER (edit yellow cells)</t>
        </is>
      </c>
    </row>
    <row r="2">
      <c r="A2" s="5" t="inlineStr">
        <is>
          <t>Storage $/GB-mo:</t>
        </is>
      </c>
      <c r="B2" s="6" t="n">
        <v>0.015</v>
      </c>
    </row>
    <row r="3">
      <c r="A3" s="5" t="inlineStr">
        <is>
          <t>SSO $/user-mo:</t>
        </is>
      </c>
      <c r="B3" s="6" t="n">
        <v>3</v>
      </c>
    </row>
    <row r="5">
      <c r="A5" s="7" t="inlineStr">
        <is>
          <t>Item</t>
        </is>
      </c>
      <c r="B5" s="7" t="inlineStr">
        <is>
          <t>Note / driver</t>
        </is>
      </c>
      <c r="C5" s="7" t="inlineStr">
        <is>
          <t>Pilot</t>
        </is>
      </c>
      <c r="D5" s="7" t="inlineStr">
        <is>
          <t>Starter</t>
        </is>
      </c>
      <c r="E5" s="7" t="inlineStr">
        <is>
          <t>Growth</t>
        </is>
      </c>
      <c r="F5" s="7" t="inlineStr">
        <is>
          <t>Scale</t>
        </is>
      </c>
      <c r="G5" s="7" t="inlineStr">
        <is>
          <t>Enterprise</t>
        </is>
      </c>
    </row>
    <row r="6">
      <c r="A6" s="8" t="inlineStr">
        <is>
          <t>SCALE (editable)</t>
        </is>
      </c>
      <c r="B6" s="9" t="n"/>
      <c r="C6" s="9" t="n"/>
      <c r="D6" s="9" t="n"/>
      <c r="E6" s="9" t="n"/>
      <c r="F6" s="9" t="n"/>
      <c r="G6" s="9" t="n"/>
    </row>
    <row r="7">
      <c r="A7" s="10" t="inlineStr">
        <is>
          <t>Firms</t>
        </is>
      </c>
      <c r="B7" s="11" t="n"/>
      <c r="C7" s="6" t="n">
        <v>2</v>
      </c>
      <c r="D7" s="6" t="n">
        <v>5</v>
      </c>
      <c r="E7" s="6" t="n">
        <v>20</v>
      </c>
      <c r="F7" s="6" t="n">
        <v>50</v>
      </c>
      <c r="G7" s="6" t="n">
        <v>150</v>
      </c>
    </row>
    <row r="8">
      <c r="A8" s="10" t="inlineStr">
        <is>
          <t>Projects</t>
        </is>
      </c>
      <c r="B8" s="11" t="n"/>
      <c r="C8" s="6" t="n">
        <v>10</v>
      </c>
      <c r="D8" s="6" t="n">
        <v>50</v>
      </c>
      <c r="E8" s="6" t="n">
        <v>400</v>
      </c>
      <c r="F8" s="6" t="n">
        <v>1500</v>
      </c>
      <c r="G8" s="6" t="n">
        <v>5000</v>
      </c>
    </row>
    <row r="9">
      <c r="A9" s="10" t="inlineStr">
        <is>
          <t>Users (coordinators)</t>
        </is>
      </c>
      <c r="B9" s="11" t="n"/>
      <c r="C9" s="6" t="n">
        <v>20</v>
      </c>
      <c r="D9" s="6" t="n">
        <v>100</v>
      </c>
      <c r="E9" s="6" t="n">
        <v>1000</v>
      </c>
      <c r="F9" s="6" t="n">
        <v>5000</v>
      </c>
      <c r="G9" s="6" t="n">
        <v>15000</v>
      </c>
    </row>
    <row r="10">
      <c r="A10" s="10" t="inlineStr">
        <is>
          <t>Object storage billed (GB)</t>
        </is>
      </c>
      <c r="B10" s="11" t="n"/>
      <c r="C10" s="6" t="n">
        <v>0</v>
      </c>
      <c r="D10" s="6" t="n">
        <v>0</v>
      </c>
      <c r="E10" s="6" t="n">
        <v>1000</v>
      </c>
      <c r="F10" s="6" t="n">
        <v>5000</v>
      </c>
      <c r="G10" s="6" t="n">
        <v>20000</v>
      </c>
    </row>
    <row r="11">
      <c r="A11" s="10" t="inlineStr">
        <is>
          <t>SSO users</t>
        </is>
      </c>
      <c r="B11" s="11" t="n"/>
      <c r="C11" s="6" t="n">
        <v>0</v>
      </c>
      <c r="D11" s="6" t="n">
        <v>0</v>
      </c>
      <c r="E11" s="6" t="n">
        <v>0</v>
      </c>
      <c r="F11" s="6" t="n">
        <v>0</v>
      </c>
      <c r="G11" s="6" t="n">
        <v>15000</v>
      </c>
    </row>
    <row r="12">
      <c r="A12" s="12" t="inlineStr">
        <is>
          <t>MONTHLY COSTS ($)</t>
        </is>
      </c>
      <c r="B12" s="13" t="n"/>
      <c r="C12" s="13" t="n"/>
      <c r="D12" s="13" t="n"/>
      <c r="E12" s="13" t="n"/>
      <c r="F12" s="13" t="n"/>
      <c r="G12" s="13" t="n"/>
    </row>
    <row r="13">
      <c r="A13" s="10" t="inlineStr">
        <is>
          <t>App / server compute</t>
        </is>
      </c>
      <c r="B13" s="14" t="inlineStr">
        <is>
          <t>VPS or droplets (API+worker)</t>
        </is>
      </c>
      <c r="C13" s="15" t="n">
        <v>15</v>
      </c>
      <c r="D13" s="15" t="n">
        <v>48</v>
      </c>
      <c r="E13" s="15" t="n">
        <v>96</v>
      </c>
      <c r="F13" s="15" t="n">
        <v>400</v>
      </c>
      <c r="G13" s="15" t="n">
        <v>1500</v>
      </c>
    </row>
    <row r="14">
      <c r="A14" s="10" t="inlineStr">
        <is>
          <t>Database (PostgreSQL)</t>
        </is>
      </c>
      <c r="B14" s="14" t="inlineStr">
        <is>
          <t>In-box early; managed + standby later</t>
        </is>
      </c>
      <c r="C14" s="15" t="n">
        <v>0</v>
      </c>
      <c r="D14" s="15" t="n">
        <v>0</v>
      </c>
      <c r="E14" s="15" t="n">
        <v>120</v>
      </c>
      <c r="F14" s="15" t="n">
        <v>480</v>
      </c>
      <c r="G14" s="15" t="n">
        <v>2000</v>
      </c>
    </row>
    <row r="15">
      <c r="A15" s="10" t="inlineStr">
        <is>
          <t>Cache (Redis)</t>
        </is>
      </c>
      <c r="B15" s="14" t="inlineStr">
        <is>
          <t>In-box early; managed later</t>
        </is>
      </c>
      <c r="C15" s="15" t="n">
        <v>0</v>
      </c>
      <c r="D15" s="15" t="n">
        <v>0</v>
      </c>
      <c r="E15" s="15" t="n">
        <v>15</v>
      </c>
      <c r="F15" s="15" t="n">
        <v>60</v>
      </c>
      <c r="G15" s="15" t="n">
        <v>300</v>
      </c>
    </row>
    <row r="16">
      <c r="A16" s="10" t="inlineStr">
        <is>
          <t>Object storage</t>
        </is>
      </c>
      <c r="B16" s="14" t="inlineStr">
        <is>
          <t>Local disk(0) early; R2/Spaces later</t>
        </is>
      </c>
      <c r="C16" s="16">
        <f>C10*rate_storage_gb</f>
        <v/>
      </c>
      <c r="D16" s="16">
        <f>D10*rate_storage_gb</f>
        <v/>
      </c>
      <c r="E16" s="16">
        <f>E10*rate_storage_gb</f>
        <v/>
      </c>
      <c r="F16" s="16">
        <f>F10*rate_storage_gb</f>
        <v/>
      </c>
      <c r="G16" s="16">
        <f>G10*rate_storage_gb</f>
        <v/>
      </c>
    </row>
    <row r="17">
      <c r="A17" s="10" t="inlineStr">
        <is>
          <t>Connection pooling (PgBouncer)</t>
        </is>
      </c>
      <c r="B17" s="14" t="inlineStr">
        <is>
          <t>Self-hosted in compose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</row>
    <row r="18">
      <c r="A18" s="10" t="inlineStr">
        <is>
          <t>Email sending</t>
        </is>
      </c>
      <c r="B18" s="14" t="inlineStr">
        <is>
          <t>Free tier early; Postmark/SES later</t>
        </is>
      </c>
      <c r="C18" s="15" t="n">
        <v>0</v>
      </c>
      <c r="D18" s="15" t="n">
        <v>15</v>
      </c>
      <c r="E18" s="15" t="n">
        <v>15</v>
      </c>
      <c r="F18" s="15" t="n">
        <v>50</v>
      </c>
      <c r="G18" s="15" t="n">
        <v>150</v>
      </c>
    </row>
    <row r="19">
      <c r="A19" s="10" t="inlineStr">
        <is>
          <t>Push (Firebase + Expo)</t>
        </is>
      </c>
      <c r="B19" s="14" t="inlineStr">
        <is>
          <t>Free at every tier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</row>
    <row r="20">
      <c r="A20" s="10" t="inlineStr">
        <is>
          <t>Domain + TLS</t>
        </is>
      </c>
      <c r="B20" s="14" t="inlineStr">
        <is>
          <t>Domain ~$12/yr; Let's Encrypt free</t>
        </is>
      </c>
      <c r="C20" s="15" t="n">
        <v>1</v>
      </c>
      <c r="D20" s="15" t="n">
        <v>1</v>
      </c>
      <c r="E20" s="15" t="n">
        <v>2</v>
      </c>
      <c r="F20" s="15" t="n">
        <v>2</v>
      </c>
      <c r="G20" s="15" t="n">
        <v>5</v>
      </c>
    </row>
    <row r="21">
      <c r="A21" s="10" t="inlineStr">
        <is>
          <t>Backups</t>
        </is>
      </c>
      <c r="B21" s="14" t="inlineStr">
        <is>
          <t>Snapshots / managed backup</t>
        </is>
      </c>
      <c r="C21" s="15" t="n">
        <v>3</v>
      </c>
      <c r="D21" s="15" t="n">
        <v>10</v>
      </c>
      <c r="E21" s="15" t="n">
        <v>28</v>
      </c>
      <c r="F21" s="15" t="n">
        <v>120</v>
      </c>
      <c r="G21" s="15" t="n">
        <v>400</v>
      </c>
    </row>
    <row r="22">
      <c r="A22" s="10" t="inlineStr">
        <is>
          <t>Payments (Stripe/Flutterwave)</t>
        </is>
      </c>
      <c r="B22" s="14" t="inlineStr">
        <is>
          <t>% per txn, no monthly fee</t>
        </is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</row>
    <row r="23">
      <c r="A23" s="10" t="inlineStr">
        <is>
          <t>Azure OpenAI (smart-linking)</t>
        </is>
      </c>
      <c r="B23" s="17" t="inlineStr">
        <is>
          <t>Usage-based; optional feature</t>
        </is>
      </c>
      <c r="C23" s="15" t="n">
        <v>0</v>
      </c>
      <c r="D23" s="15" t="n">
        <v>0</v>
      </c>
      <c r="E23" s="15" t="n">
        <v>40</v>
      </c>
      <c r="F23" s="15" t="n">
        <v>400</v>
      </c>
      <c r="G23" s="15" t="n">
        <v>2000</v>
      </c>
    </row>
    <row r="24">
      <c r="A24" s="10" t="inlineStr">
        <is>
          <t>Azure AI Vision (OCR)</t>
        </is>
      </c>
      <c r="B24" s="17" t="inlineStr">
        <is>
          <t>Usage-based; optional feature</t>
        </is>
      </c>
      <c r="C24" s="15" t="n">
        <v>0</v>
      </c>
      <c r="D24" s="15" t="n">
        <v>0</v>
      </c>
      <c r="E24" s="15" t="n">
        <v>10</v>
      </c>
      <c r="F24" s="15" t="n">
        <v>80</v>
      </c>
      <c r="G24" s="15" t="n">
        <v>400</v>
      </c>
    </row>
    <row r="25">
      <c r="A25" s="10" t="inlineStr">
        <is>
          <t>Crash reporting (Sentry)</t>
        </is>
      </c>
      <c r="B25" s="14" t="inlineStr">
        <is>
          <t>Free tier early</t>
        </is>
      </c>
      <c r="C25" s="15" t="n">
        <v>0</v>
      </c>
      <c r="D25" s="15" t="n">
        <v>0</v>
      </c>
      <c r="E25" s="15" t="n">
        <v>0</v>
      </c>
      <c r="F25" s="15" t="n">
        <v>26</v>
      </c>
      <c r="G25" s="15" t="n">
        <v>80</v>
      </c>
    </row>
    <row r="26">
      <c r="A26" s="10" t="inlineStr">
        <is>
          <t>Observability (Seq/Grafana)</t>
        </is>
      </c>
      <c r="B26" s="14" t="inlineStr">
        <is>
          <t>Self-host free; managed at top</t>
        </is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200</v>
      </c>
    </row>
    <row r="27">
      <c r="A27" s="10" t="inlineStr">
        <is>
          <t>Enterprise SSO (Okta/Entra)</t>
        </is>
      </c>
      <c r="B27" s="14" t="inlineStr">
        <is>
          <t>Per-user; enterprise only</t>
        </is>
      </c>
      <c r="C27" s="16">
        <f>C11*rate_sso_user</f>
        <v/>
      </c>
      <c r="D27" s="16">
        <f>D11*rate_sso_user</f>
        <v/>
      </c>
      <c r="E27" s="16">
        <f>E11*rate_sso_user</f>
        <v/>
      </c>
      <c r="F27" s="16">
        <f>F11*rate_sso_user</f>
        <v/>
      </c>
      <c r="G27" s="16">
        <f>G11*rate_sso_user</f>
        <v/>
      </c>
    </row>
    <row r="28">
      <c r="A28" s="10" t="inlineStr">
        <is>
          <t>3D conversion (APS/Forge)</t>
        </is>
      </c>
      <c r="B28" s="17" t="inlineStr">
        <is>
          <t>Optional; IfcOpenShell is free</t>
        </is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</row>
    <row r="29">
      <c r="A29" s="10" t="inlineStr">
        <is>
          <t>Mobile app stores (Apple/Google/EAS)</t>
        </is>
      </c>
      <c r="B29" s="14" t="inlineStr">
        <is>
          <t>Web-first = $0; add for native apps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</row>
    <row r="30">
      <c r="A30" s="18" t="inlineStr">
        <is>
          <t>MONTHLY TOTAL</t>
        </is>
      </c>
      <c r="B30" s="19" t="n"/>
      <c r="C30" s="20">
        <f>SUM(C13:C29)</f>
        <v/>
      </c>
      <c r="D30" s="20">
        <f>SUM(D13:D29)</f>
        <v/>
      </c>
      <c r="E30" s="20">
        <f>SUM(E13:E29)</f>
        <v/>
      </c>
      <c r="F30" s="20">
        <f>SUM(F13:F29)</f>
        <v/>
      </c>
      <c r="G30" s="20">
        <f>SUM(G13:G29)</f>
        <v/>
      </c>
    </row>
    <row r="31">
      <c r="A31" s="10" t="inlineStr">
        <is>
          <t>ANNUAL TOTAL</t>
        </is>
      </c>
      <c r="B31" s="11" t="n"/>
      <c r="C31" s="21">
        <f>C30*12</f>
        <v/>
      </c>
      <c r="D31" s="21">
        <f>D30*12</f>
        <v/>
      </c>
      <c r="E31" s="21">
        <f>E30*12</f>
        <v/>
      </c>
      <c r="F31" s="21">
        <f>F30*12</f>
        <v/>
      </c>
      <c r="G31" s="21">
        <f>G30*12</f>
        <v/>
      </c>
    </row>
    <row r="33">
      <c r="A33" s="10" t="inlineStr">
        <is>
          <t>Cost per firm / month</t>
        </is>
      </c>
      <c r="B33" s="11" t="n"/>
      <c r="C33" s="22">
        <f>C30/MAX(1,C7)</f>
        <v/>
      </c>
      <c r="D33" s="22">
        <f>D30/MAX(1,D7)</f>
        <v/>
      </c>
      <c r="E33" s="22">
        <f>E30/MAX(1,E7)</f>
        <v/>
      </c>
      <c r="F33" s="22">
        <f>F30/MAX(1,F7)</f>
        <v/>
      </c>
      <c r="G33" s="22">
        <f>G30/MAX(1,G7)</f>
        <v/>
      </c>
    </row>
    <row r="34">
      <c r="A34" s="10" t="inlineStr">
        <is>
          <t>Cost per user / month</t>
        </is>
      </c>
      <c r="B34" s="11" t="n"/>
      <c r="C34" s="22">
        <f>C30/MAX(1,C9)</f>
        <v/>
      </c>
      <c r="D34" s="22">
        <f>D30/MAX(1,D9)</f>
        <v/>
      </c>
      <c r="E34" s="22">
        <f>E30/MAX(1,E9)</f>
        <v/>
      </c>
      <c r="F34" s="22">
        <f>F30/MAX(1,F9)</f>
        <v/>
      </c>
      <c r="G34" s="22">
        <f>G30/MAX(1,G9)</f>
        <v/>
      </c>
    </row>
    <row r="35">
      <c r="A35" s="10" t="inlineStr">
        <is>
          <t>Cost per project / month</t>
        </is>
      </c>
      <c r="B35" s="11" t="n"/>
      <c r="C35" s="22">
        <f>C30/MAX(1,C8)</f>
        <v/>
      </c>
      <c r="D35" s="22">
        <f>D30/MAX(1,D8)</f>
        <v/>
      </c>
      <c r="E35" s="22">
        <f>E30/MAX(1,E8)</f>
        <v/>
      </c>
      <c r="F35" s="22">
        <f>F30/MAX(1,F8)</f>
        <v/>
      </c>
      <c r="G35" s="22">
        <f>G30/MAX(1,G8)</f>
        <v/>
      </c>
    </row>
    <row r="37">
      <c r="A37" s="23" t="inlineStr">
        <is>
          <t>Plus: payments = % per transaction (Stripe 2.9%+$0.30 domestic / 3.25%+20p intl; Flutterwave ~1.4% local).</t>
        </is>
      </c>
    </row>
    <row r="38">
      <c r="A38" s="23" t="inlineStr">
        <is>
          <t>One-off when you go native: Apple $99/yr + Google Play $25 once. Web-first launch needs neither.</t>
        </is>
      </c>
    </row>
  </sheetData>
  <mergeCells count="2">
    <mergeCell ref="A38:G38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1B9A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2" customWidth="1" min="4" max="4"/>
    <col width="16" customWidth="1" min="5" max="5"/>
  </cols>
  <sheetData>
    <row r="1">
      <c r="A1" s="4" t="inlineStr">
        <is>
          <t>GROWTH ROADMAP — TRIGGERS &amp; ACTIONS</t>
        </is>
      </c>
    </row>
    <row r="3">
      <c r="A3" s="7" t="inlineStr">
        <is>
          <t>Tier</t>
        </is>
      </c>
      <c r="B3" s="7" t="inlineStr">
        <is>
          <t>Typical scale</t>
        </is>
      </c>
      <c r="C3" s="7" t="inlineStr">
        <is>
          <t>Trigger to enter</t>
        </is>
      </c>
      <c r="D3" s="7" t="inlineStr">
        <is>
          <t>What to add / change</t>
        </is>
      </c>
      <c r="E3" s="7" t="inlineStr">
        <is>
          <t>Approx monthly</t>
        </is>
      </c>
    </row>
    <row r="4">
      <c r="A4" s="24" t="inlineStr">
        <is>
          <t>Pilot</t>
        </is>
      </c>
      <c r="B4" s="14" t="inlineStr">
        <is>
          <t>2 firms / 10 proj / 20 users</t>
        </is>
      </c>
      <c r="C4" s="14" t="inlineStr">
        <is>
          <t>Day one. Validating with friendly firms.</t>
        </is>
      </c>
      <c r="D4" s="14" t="inlineStr">
        <is>
          <t>1 small VPS running full docker-compose; local-disk storage; free email tier (Brevo/SES); free push; web links only.</t>
        </is>
      </c>
      <c r="E4" s="24" t="inlineStr">
        <is>
          <t>~$16</t>
        </is>
      </c>
    </row>
    <row r="5">
      <c r="A5" s="24" t="inlineStr">
        <is>
          <t>Starter</t>
        </is>
      </c>
      <c r="B5" s="14" t="inlineStr">
        <is>
          <t>5 firms / 50 proj / 100 users</t>
        </is>
      </c>
      <c r="C5" s="14" t="inlineStr">
        <is>
          <t>First paying customers; &gt;~20 GB of files.</t>
        </is>
      </c>
      <c r="D5" s="14" t="inlineStr">
        <is>
          <t>Bigger VPS (4 vCPU/16 GB); move files to R2/Spaces; Postmark for deliverability; turn on Stripe/Flutterwave billing.</t>
        </is>
      </c>
      <c r="E5" s="24" t="inlineStr">
        <is>
          <t>~$60-90</t>
        </is>
      </c>
    </row>
    <row r="6">
      <c r="A6" s="24" t="inlineStr">
        <is>
          <t>Growth</t>
        </is>
      </c>
      <c r="B6" s="14" t="inlineStr">
        <is>
          <t>20 firms / 400 proj / 1,000 users</t>
        </is>
      </c>
      <c r="C6" s="14" t="inlineStr">
        <is>
          <t>Single box strains; need uptime; ~50-200 concurrent.</t>
        </is>
      </c>
      <c r="D6" s="14" t="inlineStr">
        <is>
          <t>Move PostgreSQL to managed; managed Redis; separate worker node; nightly backups; enable Azure AI features if selling them.</t>
        </is>
      </c>
      <c r="E6" s="24" t="inlineStr">
        <is>
          <t>~$280-400</t>
        </is>
      </c>
    </row>
    <row r="7">
      <c r="A7" s="24" t="inlineStr">
        <is>
          <t>Scale</t>
        </is>
      </c>
      <c r="B7" s="14" t="inlineStr">
        <is>
          <t>50 firms / 1,500 proj / 5,000 users</t>
        </is>
      </c>
      <c r="C7" s="14" t="inlineStr">
        <is>
          <t>Downtime now costs money; multi-region users.</t>
        </is>
      </c>
      <c r="D7" s="14" t="inlineStr">
        <is>
          <t>HA Postgres (primary+standby); 2x app nodes + load balancer; PgBouncer pooling; Sentry; observability stack; 5 TB storage.</t>
        </is>
      </c>
      <c r="E7" s="24" t="inlineStr">
        <is>
          <t>~$1,200-2,500</t>
        </is>
      </c>
    </row>
    <row r="8">
      <c r="A8" s="24" t="inlineStr">
        <is>
          <t>Enterprise</t>
        </is>
      </c>
      <c r="B8" s="14" t="inlineStr">
        <is>
          <t>150+ firms / 5,000+ proj / 15,000+ users</t>
        </is>
      </c>
      <c r="C8" s="14" t="inlineStr">
        <is>
          <t>Procurement, audits, SSO mandates, SLAs.</t>
        </is>
      </c>
      <c r="D8" s="14" t="inlineStr">
        <is>
          <t>SSO (Okta/Entra, per-user); SAML/SCIM; APS high-fidelity 3D; managed logs/SIEM; ClamAV; dedicated DB tier; 24/7 on-call.</t>
        </is>
      </c>
      <c r="E8" s="24" t="inlineStr">
        <is>
          <t>$5k-12k+</t>
        </is>
      </c>
    </row>
    <row r="10">
      <c r="A10" s="2" t="inlineStr">
        <is>
          <t>FEATURE-DRIVEN ADD-ONS (independent of tier)</t>
        </is>
      </c>
    </row>
    <row r="11">
      <c r="A11" s="7" t="inlineStr">
        <is>
          <t>When you want to...</t>
        </is>
      </c>
      <c r="B11" s="7" t="inlineStr">
        <is>
          <t>Add this</t>
        </is>
      </c>
      <c r="C11" s="7" t="inlineStr">
        <is>
          <t>Cost</t>
        </is>
      </c>
      <c r="D11" s="7" t="inlineStr"/>
      <c r="E11" s="7" t="inlineStr"/>
    </row>
    <row r="12">
      <c r="A12" s="14" t="inlineStr">
        <is>
          <t>Bill customers inside the app</t>
        </is>
      </c>
      <c r="B12" s="24" t="inlineStr">
        <is>
          <t>Stripe (global) + Flutterwave (Africa)</t>
        </is>
      </c>
      <c r="C12" s="14" t="inlineStr">
        <is>
          <t>% per txn, $0/mo</t>
        </is>
      </c>
    </row>
    <row r="13">
      <c r="A13" s="14" t="inlineStr">
        <is>
          <t>Ship a native iOS/Android app</t>
        </is>
      </c>
      <c r="B13" s="24" t="inlineStr">
        <is>
          <t>Apple Developer + Google Play + Expo EAS</t>
        </is>
      </c>
      <c r="C13" s="14" t="inlineStr">
        <is>
          <t>$99/yr + $25 + ~$99/mo</t>
        </is>
      </c>
    </row>
    <row r="14">
      <c r="A14" s="14" t="inlineStr">
        <is>
          <t>Auto-link elements / NLP / OCR</t>
        </is>
      </c>
      <c r="B14" s="24" t="inlineStr">
        <is>
          <t>Azure OpenAI + Azure AI Vision</t>
        </is>
      </c>
      <c r="C14" s="14" t="inlineStr">
        <is>
          <t>usage-based</t>
        </is>
      </c>
    </row>
    <row r="15">
      <c r="A15" s="14" t="inlineStr">
        <is>
          <t>High-fidelity 3D model viewer</t>
        </is>
      </c>
      <c r="B15" s="24" t="inlineStr">
        <is>
          <t>Autodesk APS (else free IfcOpenShell)</t>
        </is>
      </c>
      <c r="C15" s="14" t="inlineStr">
        <is>
          <t>flex tokens</t>
        </is>
      </c>
    </row>
    <row r="16">
      <c r="A16" s="14" t="inlineStr">
        <is>
          <t>Enterprise customer SSO</t>
        </is>
      </c>
      <c r="B16" s="24" t="inlineStr">
        <is>
          <t>Okta or Microsoft Entra ID P1</t>
        </is>
      </c>
      <c r="C16" s="14" t="inlineStr">
        <is>
          <t>$2-6/user/mo</t>
        </is>
      </c>
    </row>
    <row r="17">
      <c r="A17" s="14" t="inlineStr">
        <is>
          <t>Crash visibility on mobile</t>
        </is>
      </c>
      <c r="B17" s="24" t="inlineStr">
        <is>
          <t>Sentry</t>
        </is>
      </c>
      <c r="C17" s="14" t="inlineStr">
        <is>
          <t>free tier / $26/mo</t>
        </is>
      </c>
    </row>
    <row r="18">
      <c r="A18" s="14" t="inlineStr">
        <is>
          <t>Push to Slack/Teams channels</t>
        </is>
      </c>
      <c r="B18" s="24" t="inlineStr">
        <is>
          <t>Webhook URLs (free)</t>
        </is>
      </c>
      <c r="C18" s="14" t="inlineStr">
        <is>
          <t>$0</t>
        </is>
      </c>
    </row>
    <row r="19">
      <c r="A19" s="14" t="inlineStr">
        <is>
          <t>Structured log search + alerts</t>
        </is>
      </c>
      <c r="B19" s="24" t="inlineStr">
        <is>
          <t>Seq or Elastic/OpenSearch (self-host free)</t>
        </is>
      </c>
      <c r="C19" s="14" t="inlineStr">
        <is>
          <t>$0 self-host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37E"/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8" customWidth="1" min="4" max="4"/>
    <col width="30" customWidth="1" min="5" max="5"/>
    <col width="58" customWidth="1" min="6" max="6"/>
    <col width="50" customWidth="1" min="7" max="7"/>
  </cols>
  <sheetData>
    <row r="1">
      <c r="A1" s="4" t="inlineStr">
        <is>
          <t>SERVICES CATALOG (indicative early-2026 prices)</t>
        </is>
      </c>
    </row>
    <row r="3">
      <c r="A3" s="7" t="inlineStr">
        <is>
          <t>Service</t>
        </is>
      </c>
      <c r="B3" s="7" t="inlineStr">
        <is>
          <t>Free or Paid</t>
        </is>
      </c>
      <c r="C3" s="7" t="inlineStr">
        <is>
          <t>Enters at tier</t>
        </is>
      </c>
      <c r="D3" s="7" t="inlineStr">
        <is>
          <t>Scaling driver</t>
        </is>
      </c>
      <c r="E3" s="7" t="inlineStr">
        <is>
          <t>Indicative price</t>
        </is>
      </c>
      <c r="F3" s="7" t="inlineStr">
        <is>
          <t>Pricing link</t>
        </is>
      </c>
      <c r="G3" s="7" t="inlineStr">
        <is>
          <t>Sign-up link</t>
        </is>
      </c>
    </row>
    <row r="4">
      <c r="A4" s="24" t="inlineStr">
        <is>
          <t>VPS / compute (Hetzner/DO)</t>
        </is>
      </c>
      <c r="B4" s="25" t="inlineStr">
        <is>
          <t>Paid</t>
        </is>
      </c>
      <c r="C4" s="14" t="inlineStr">
        <is>
          <t>Pilot</t>
        </is>
      </c>
      <c r="D4" s="14" t="inlineStr">
        <is>
          <t>per server size</t>
        </is>
      </c>
      <c r="E4" s="14" t="inlineStr">
        <is>
          <t>$15-1,500/mo</t>
        </is>
      </c>
      <c r="F4" s="26" t="inlineStr">
        <is>
          <t>https://www.hetzner.com/cloud</t>
        </is>
      </c>
      <c r="G4" s="26" t="inlineStr">
        <is>
          <t>https://accounts.hetzner.com/signUp</t>
        </is>
      </c>
    </row>
    <row r="5">
      <c r="A5" s="24" t="inlineStr">
        <is>
          <t>PostgreSQL</t>
        </is>
      </c>
      <c r="B5" s="14" t="inlineStr">
        <is>
          <t>Free self-host / Paid managed</t>
        </is>
      </c>
      <c r="C5" s="14" t="inlineStr">
        <is>
          <t>Growth (managed)</t>
        </is>
      </c>
      <c r="D5" s="14" t="inlineStr">
        <is>
          <t>CPU/RAM/disk</t>
        </is>
      </c>
      <c r="E5" s="14" t="inlineStr">
        <is>
          <t>$0 -&gt; $120-2,000/mo</t>
        </is>
      </c>
      <c r="F5" s="26" t="inlineStr">
        <is>
          <t>https://www.digitalocean.com/pricing/managed-databases</t>
        </is>
      </c>
      <c r="G5" s="26" t="inlineStr">
        <is>
          <t>https://cloud.digitalocean.com/registrations/new</t>
        </is>
      </c>
    </row>
    <row r="6">
      <c r="A6" s="24" t="inlineStr">
        <is>
          <t>Redis / Valkey</t>
        </is>
      </c>
      <c r="B6" s="14" t="inlineStr">
        <is>
          <t>Free self-host / Paid managed</t>
        </is>
      </c>
      <c r="C6" s="14" t="inlineStr">
        <is>
          <t>Growth (managed)</t>
        </is>
      </c>
      <c r="D6" s="14" t="inlineStr">
        <is>
          <t>memory</t>
        </is>
      </c>
      <c r="E6" s="14" t="inlineStr">
        <is>
          <t>$0 -&gt; $15-300/mo</t>
        </is>
      </c>
      <c r="F6" s="26" t="inlineStr">
        <is>
          <t>https://www.digitalocean.com/pricing/managed-databases</t>
        </is>
      </c>
      <c r="G6" s="26" t="inlineStr">
        <is>
          <t>https://cloud.digitalocean.com/registrations/new</t>
        </is>
      </c>
    </row>
    <row r="7">
      <c r="A7" s="24" t="inlineStr">
        <is>
          <t>Object storage (Cloudflare R2)</t>
        </is>
      </c>
      <c r="B7" s="25" t="inlineStr">
        <is>
          <t>Paid</t>
        </is>
      </c>
      <c r="C7" s="14" t="inlineStr">
        <is>
          <t>Growth</t>
        </is>
      </c>
      <c r="D7" s="14" t="inlineStr">
        <is>
          <t>per GB, no egress</t>
        </is>
      </c>
      <c r="E7" s="14" t="inlineStr">
        <is>
          <t>$0.015/GB-mo</t>
        </is>
      </c>
      <c r="F7" s="26" t="inlineStr">
        <is>
          <t>https://developers.cloudflare.com/r2/pricing/</t>
        </is>
      </c>
      <c r="G7" s="26" t="inlineStr">
        <is>
          <t>https://dash.cloudflare.com/sign-up</t>
        </is>
      </c>
    </row>
    <row r="8">
      <c r="A8" s="24" t="inlineStr">
        <is>
          <t>Object storage (AWS S3)</t>
        </is>
      </c>
      <c r="B8" s="25" t="inlineStr">
        <is>
          <t>Paid</t>
        </is>
      </c>
      <c r="C8" s="14" t="inlineStr">
        <is>
          <t>Growth</t>
        </is>
      </c>
      <c r="D8" s="14" t="inlineStr">
        <is>
          <t>per GB + egress</t>
        </is>
      </c>
      <c r="E8" s="14" t="inlineStr">
        <is>
          <t>~$0.023/GB + egress</t>
        </is>
      </c>
      <c r="F8" s="26" t="inlineStr">
        <is>
          <t>https://aws.amazon.com/s3/pricing/</t>
        </is>
      </c>
      <c r="G8" s="26" t="inlineStr">
        <is>
          <t>https://aws.amazon.com</t>
        </is>
      </c>
    </row>
    <row r="9">
      <c r="A9" s="24" t="inlineStr">
        <is>
          <t>Object storage (DO Spaces)</t>
        </is>
      </c>
      <c r="B9" s="25" t="inlineStr">
        <is>
          <t>Paid</t>
        </is>
      </c>
      <c r="C9" s="14" t="inlineStr">
        <is>
          <t>Growth</t>
        </is>
      </c>
      <c r="D9" s="14" t="inlineStr">
        <is>
          <t>flat + overage</t>
        </is>
      </c>
      <c r="E9" s="14" t="inlineStr">
        <is>
          <t>$5/mo 250GB</t>
        </is>
      </c>
      <c r="F9" s="26" t="inlineStr">
        <is>
          <t>https://www.digitalocean.com/pricing/spaces-object-storage</t>
        </is>
      </c>
      <c r="G9" s="26" t="inlineStr">
        <is>
          <t>https://cloud.digitalocean.com/registrations/new</t>
        </is>
      </c>
    </row>
    <row r="10">
      <c r="A10" s="24" t="inlineStr">
        <is>
          <t>MinIO (self-host storage)</t>
        </is>
      </c>
      <c r="B10" s="27" t="inlineStr">
        <is>
          <t>Free</t>
        </is>
      </c>
      <c r="C10" s="14" t="inlineStr">
        <is>
          <t>Pilot</t>
        </is>
      </c>
      <c r="D10" s="14" t="inlineStr">
        <is>
          <t>disk only</t>
        </is>
      </c>
      <c r="E10" s="14" t="inlineStr">
        <is>
          <t>$0</t>
        </is>
      </c>
      <c r="F10" s="26" t="inlineStr">
        <is>
          <t>https://min.io/pricing</t>
        </is>
      </c>
      <c r="G10" s="26" t="inlineStr">
        <is>
          <t>https://min.io</t>
        </is>
      </c>
    </row>
    <row r="11">
      <c r="A11" s="24" t="inlineStr">
        <is>
          <t>Email - Brevo / AWS SES</t>
        </is>
      </c>
      <c r="B11" s="14" t="inlineStr">
        <is>
          <t>Free tier / Paid</t>
        </is>
      </c>
      <c r="C11" s="14" t="inlineStr">
        <is>
          <t>Pilot</t>
        </is>
      </c>
      <c r="D11" s="14" t="inlineStr">
        <is>
          <t>per email</t>
        </is>
      </c>
      <c r="E11" s="14" t="inlineStr">
        <is>
          <t>free 300/day / $0.10 per 1k</t>
        </is>
      </c>
      <c r="F11" s="26" t="inlineStr">
        <is>
          <t>https://www.brevo.com/pricing/</t>
        </is>
      </c>
      <c r="G11" s="26" t="inlineStr">
        <is>
          <t>https://www.brevo.com</t>
        </is>
      </c>
    </row>
    <row r="12">
      <c r="A12" s="24" t="inlineStr">
        <is>
          <t>Email - Postmark</t>
        </is>
      </c>
      <c r="B12" s="25" t="inlineStr">
        <is>
          <t>Paid</t>
        </is>
      </c>
      <c r="C12" s="14" t="inlineStr">
        <is>
          <t>Starter</t>
        </is>
      </c>
      <c r="D12" s="14" t="inlineStr">
        <is>
          <t>per emails/mo</t>
        </is>
      </c>
      <c r="E12" s="14" t="inlineStr">
        <is>
          <t>$15/mo for 10k</t>
        </is>
      </c>
      <c r="F12" s="26" t="inlineStr">
        <is>
          <t>https://postmarkapp.com/pricing</t>
        </is>
      </c>
      <c r="G12" s="26" t="inlineStr">
        <is>
          <t>https://account.postmarkapp.com/sign_up</t>
        </is>
      </c>
    </row>
    <row r="13">
      <c r="A13" s="24" t="inlineStr">
        <is>
          <t>Firebase FCM (push)</t>
        </is>
      </c>
      <c r="B13" s="27" t="inlineStr">
        <is>
          <t>Free</t>
        </is>
      </c>
      <c r="C13" s="14" t="inlineStr">
        <is>
          <t>Pilot</t>
        </is>
      </c>
      <c r="D13" s="14" t="inlineStr">
        <is>
          <t>flat</t>
        </is>
      </c>
      <c r="E13" s="14" t="inlineStr">
        <is>
          <t>$0</t>
        </is>
      </c>
      <c r="F13" s="26" t="inlineStr">
        <is>
          <t>https://firebase.google.com/pricing</t>
        </is>
      </c>
      <c r="G13" s="26" t="inlineStr">
        <is>
          <t>https://console.firebase.google.com</t>
        </is>
      </c>
    </row>
    <row r="14">
      <c r="A14" s="24" t="inlineStr">
        <is>
          <t>Expo Push</t>
        </is>
      </c>
      <c r="B14" s="27" t="inlineStr">
        <is>
          <t>Free</t>
        </is>
      </c>
      <c r="C14" s="14" t="inlineStr">
        <is>
          <t>Pilot</t>
        </is>
      </c>
      <c r="D14" s="14" t="inlineStr">
        <is>
          <t>flat</t>
        </is>
      </c>
      <c r="E14" s="14" t="inlineStr">
        <is>
          <t>$0</t>
        </is>
      </c>
      <c r="F14" s="26" t="inlineStr">
        <is>
          <t>https://docs.expo.dev/push-notifications/overview/</t>
        </is>
      </c>
      <c r="G14" s="26" t="inlineStr">
        <is>
          <t>https://expo.dev/signup</t>
        </is>
      </c>
    </row>
    <row r="15">
      <c r="A15" s="24" t="inlineStr">
        <is>
          <t>Stripe</t>
        </is>
      </c>
      <c r="B15" s="25" t="inlineStr">
        <is>
          <t>Paid</t>
        </is>
      </c>
      <c r="C15" s="14" t="inlineStr">
        <is>
          <t>Starter (billing)</t>
        </is>
      </c>
      <c r="D15" s="14" t="inlineStr">
        <is>
          <t>% per txn</t>
        </is>
      </c>
      <c r="E15" s="14" t="inlineStr">
        <is>
          <t>2.9%+$0.30 / 3.25%+20p intl</t>
        </is>
      </c>
      <c r="F15" s="26" t="inlineStr">
        <is>
          <t>https://stripe.com/pricing</t>
        </is>
      </c>
      <c r="G15" s="26" t="inlineStr">
        <is>
          <t>https://dashboard.stripe.com/register</t>
        </is>
      </c>
    </row>
    <row r="16">
      <c r="A16" s="24" t="inlineStr">
        <is>
          <t>Flutterwave</t>
        </is>
      </c>
      <c r="B16" s="25" t="inlineStr">
        <is>
          <t>Paid</t>
        </is>
      </c>
      <c r="C16" s="14" t="inlineStr">
        <is>
          <t>Starter (billing)</t>
        </is>
      </c>
      <c r="D16" s="14" t="inlineStr">
        <is>
          <t>% per txn</t>
        </is>
      </c>
      <c r="E16" s="14" t="inlineStr">
        <is>
          <t>~1.4% local / ~3.8% intl</t>
        </is>
      </c>
      <c r="F16" s="26" t="inlineStr">
        <is>
          <t>https://flutterwave.com/pricing</t>
        </is>
      </c>
      <c r="G16" s="26" t="inlineStr">
        <is>
          <t>https://dashboard.flutterwave.com/signup</t>
        </is>
      </c>
    </row>
    <row r="17">
      <c r="A17" s="24" t="inlineStr">
        <is>
          <t>Azure OpenAI</t>
        </is>
      </c>
      <c r="B17" s="25" t="inlineStr">
        <is>
          <t>Paid</t>
        </is>
      </c>
      <c r="C17" s="14" t="inlineStr">
        <is>
          <t>Growth (feature)</t>
        </is>
      </c>
      <c r="D17" s="14" t="inlineStr">
        <is>
          <t>per 1M tokens</t>
        </is>
      </c>
      <c r="E17" s="14" t="inlineStr">
        <is>
          <t>GPT-4o ~$2.50/$10; mini ~$0.15/$0.60</t>
        </is>
      </c>
      <c r="F17" s="26" t="inlineStr">
        <is>
          <t>https://azure.microsoft.com/en-us/pricing/details/cognitive-services/openai-service/</t>
        </is>
      </c>
      <c r="G17" s="26" t="inlineStr">
        <is>
          <t>https://azure.microsoft.com/free</t>
        </is>
      </c>
    </row>
    <row r="18">
      <c r="A18" s="24" t="inlineStr">
        <is>
          <t>Azure AI Vision (OCR)</t>
        </is>
      </c>
      <c r="B18" s="14" t="inlineStr">
        <is>
          <t>Free tier / Paid</t>
        </is>
      </c>
      <c r="C18" s="14" t="inlineStr">
        <is>
          <t>Growth (feature)</t>
        </is>
      </c>
      <c r="D18" s="14" t="inlineStr">
        <is>
          <t>per 1k pages</t>
        </is>
      </c>
      <c r="E18" s="14" t="inlineStr">
        <is>
          <t>free 5k/mo; ~$1-1.50/1k</t>
        </is>
      </c>
      <c r="F18" s="26" t="inlineStr">
        <is>
          <t>https://azure.microsoft.com/en-us/pricing/details/cognitive-services/computer-vision/</t>
        </is>
      </c>
      <c r="G18" s="26" t="inlineStr">
        <is>
          <t>https://azure.microsoft.com/free</t>
        </is>
      </c>
    </row>
    <row r="19">
      <c r="A19" s="24" t="inlineStr">
        <is>
          <t>Autodesk APS / Forge</t>
        </is>
      </c>
      <c r="B19" s="25" t="inlineStr">
        <is>
          <t>Paid</t>
        </is>
      </c>
      <c r="C19" s="14" t="inlineStr">
        <is>
          <t>Enterprise (opt)</t>
        </is>
      </c>
      <c r="D19" s="14" t="inlineStr">
        <is>
          <t>flex tokens</t>
        </is>
      </c>
      <c r="E19" s="14" t="inlineStr">
        <is>
          <t>pay-as-you-go credits</t>
        </is>
      </c>
      <c r="F19" s="26" t="inlineStr">
        <is>
          <t>https://aps.autodesk.com/pricing</t>
        </is>
      </c>
      <c r="G19" s="26" t="inlineStr">
        <is>
          <t>https://aps.autodesk.com</t>
        </is>
      </c>
    </row>
    <row r="20">
      <c r="A20" s="24" t="inlineStr">
        <is>
          <t>IfcOpenShell (3D conv.)</t>
        </is>
      </c>
      <c r="B20" s="27" t="inlineStr">
        <is>
          <t>Free</t>
        </is>
      </c>
      <c r="C20" s="14" t="inlineStr">
        <is>
          <t>Pilot</t>
        </is>
      </c>
      <c r="D20" s="14" t="inlineStr">
        <is>
          <t>self-host</t>
        </is>
      </c>
      <c r="E20" s="14" t="inlineStr">
        <is>
          <t>$0</t>
        </is>
      </c>
      <c r="F20" s="26" t="inlineStr">
        <is>
          <t>https://ifcopenshell.org/</t>
        </is>
      </c>
      <c r="G20" s="26" t="inlineStr">
        <is>
          <t>https://ifcopenshell.org/</t>
        </is>
      </c>
    </row>
    <row r="21">
      <c r="A21" s="24" t="inlineStr">
        <is>
          <t>Sentry</t>
        </is>
      </c>
      <c r="B21" s="14" t="inlineStr">
        <is>
          <t>Free tier / Paid</t>
        </is>
      </c>
      <c r="C21" s="14" t="inlineStr">
        <is>
          <t>Scale</t>
        </is>
      </c>
      <c r="D21" s="14" t="inlineStr">
        <is>
          <t>events/users</t>
        </is>
      </c>
      <c r="E21" s="14" t="inlineStr">
        <is>
          <t>free / $26/mo Team</t>
        </is>
      </c>
      <c r="F21" s="26" t="inlineStr">
        <is>
          <t>https://sentry.io/pricing/</t>
        </is>
      </c>
      <c r="G21" s="26" t="inlineStr">
        <is>
          <t>https://sentry.io/signup/</t>
        </is>
      </c>
    </row>
    <row r="22">
      <c r="A22" s="24" t="inlineStr">
        <is>
          <t>Mapbox</t>
        </is>
      </c>
      <c r="B22" s="14" t="inlineStr">
        <is>
          <t>Free tier / Paid</t>
        </is>
      </c>
      <c r="C22" s="14" t="inlineStr">
        <is>
          <t>Pilot (site)</t>
        </is>
      </c>
      <c r="D22" s="14" t="inlineStr">
        <is>
          <t>map loads</t>
        </is>
      </c>
      <c r="E22" s="14" t="inlineStr">
        <is>
          <t>free 50k/mo</t>
        </is>
      </c>
      <c r="F22" s="26" t="inlineStr">
        <is>
          <t>https://www.mapbox.com/pricing</t>
        </is>
      </c>
      <c r="G22" s="26" t="inlineStr">
        <is>
          <t>https://account.mapbox.com/auth/signup/</t>
        </is>
      </c>
    </row>
    <row r="23">
      <c r="A23" s="24" t="inlineStr">
        <is>
          <t>Okta SSO</t>
        </is>
      </c>
      <c r="B23" s="25" t="inlineStr">
        <is>
          <t>Paid</t>
        </is>
      </c>
      <c r="C23" s="14" t="inlineStr">
        <is>
          <t>Enterprise</t>
        </is>
      </c>
      <c r="D23" s="14" t="inlineStr">
        <is>
          <t>per user/mo</t>
        </is>
      </c>
      <c r="E23" s="14" t="inlineStr">
        <is>
          <t>~$2/user/mo</t>
        </is>
      </c>
      <c r="F23" s="26" t="inlineStr">
        <is>
          <t>https://www.okta.com/pricing/</t>
        </is>
      </c>
      <c r="G23" s="26" t="inlineStr">
        <is>
          <t>https://www.okta.com/free-trial/</t>
        </is>
      </c>
    </row>
    <row r="24">
      <c r="A24" s="24" t="inlineStr">
        <is>
          <t>Microsoft Entra ID P1</t>
        </is>
      </c>
      <c r="B24" s="25" t="inlineStr">
        <is>
          <t>Paid</t>
        </is>
      </c>
      <c r="C24" s="14" t="inlineStr">
        <is>
          <t>Enterprise</t>
        </is>
      </c>
      <c r="D24" s="14" t="inlineStr">
        <is>
          <t>per user/mo</t>
        </is>
      </c>
      <c r="E24" s="14" t="inlineStr">
        <is>
          <t>~$6/user/mo</t>
        </is>
      </c>
      <c r="F24" s="26" t="inlineStr">
        <is>
          <t>https://www.microsoft.com/security/business/microsoft-entra-pricing</t>
        </is>
      </c>
      <c r="G24" s="26" t="inlineStr">
        <is>
          <t>https://azure.microsoft.com/free</t>
        </is>
      </c>
    </row>
    <row r="25">
      <c r="A25" s="24" t="inlineStr">
        <is>
          <t>Seq (logs)</t>
        </is>
      </c>
      <c r="B25" s="14" t="inlineStr">
        <is>
          <t>Free single / Paid</t>
        </is>
      </c>
      <c r="C25" s="14" t="inlineStr">
        <is>
          <t>Scale</t>
        </is>
      </c>
      <c r="D25" s="14" t="inlineStr">
        <is>
          <t>per seat</t>
        </is>
      </c>
      <c r="E25" s="14" t="inlineStr">
        <is>
          <t>free 1-user; Team paid</t>
        </is>
      </c>
      <c r="F25" s="26" t="inlineStr">
        <is>
          <t>https://datalust.co/pricing</t>
        </is>
      </c>
      <c r="G25" s="26" t="inlineStr">
        <is>
          <t>https://datalust.co</t>
        </is>
      </c>
    </row>
    <row r="26">
      <c r="A26" s="24" t="inlineStr">
        <is>
          <t>Slack (webhooks)</t>
        </is>
      </c>
      <c r="B26" s="14" t="inlineStr">
        <is>
          <t>Free tier / Paid</t>
        </is>
      </c>
      <c r="C26" s="14" t="inlineStr">
        <is>
          <t>Growth (opt)</t>
        </is>
      </c>
      <c r="D26" s="14" t="inlineStr">
        <is>
          <t>per user/mo</t>
        </is>
      </c>
      <c r="E26" s="14" t="inlineStr">
        <is>
          <t>free / ~$7.25/user</t>
        </is>
      </c>
      <c r="F26" s="26" t="inlineStr">
        <is>
          <t>https://slack.com/pricing</t>
        </is>
      </c>
      <c r="G26" s="26" t="inlineStr">
        <is>
          <t>https://slack.com/get-started</t>
        </is>
      </c>
    </row>
    <row r="27">
      <c r="A27" s="24" t="inlineStr">
        <is>
          <t>Apple Developer</t>
        </is>
      </c>
      <c r="B27" s="25" t="inlineStr">
        <is>
          <t>Paid</t>
        </is>
      </c>
      <c r="C27" s="14" t="inlineStr">
        <is>
          <t>when native iOS</t>
        </is>
      </c>
      <c r="D27" s="14" t="inlineStr">
        <is>
          <t>flat/yr</t>
        </is>
      </c>
      <c r="E27" s="14" t="inlineStr">
        <is>
          <t>$99/yr</t>
        </is>
      </c>
      <c r="F27" s="26" t="inlineStr">
        <is>
          <t>https://developer.apple.com/programs/</t>
        </is>
      </c>
      <c r="G27" s="26" t="inlineStr">
        <is>
          <t>https://developer.apple.com/programs/enroll/</t>
        </is>
      </c>
    </row>
    <row r="28">
      <c r="A28" s="24" t="inlineStr">
        <is>
          <t>Google Play Console</t>
        </is>
      </c>
      <c r="B28" s="25" t="inlineStr">
        <is>
          <t>Paid</t>
        </is>
      </c>
      <c r="C28" s="14" t="inlineStr">
        <is>
          <t>when native Android</t>
        </is>
      </c>
      <c r="D28" s="14" t="inlineStr">
        <is>
          <t>one-time</t>
        </is>
      </c>
      <c r="E28" s="14" t="inlineStr">
        <is>
          <t>$25 once</t>
        </is>
      </c>
      <c r="F28" s="26" t="inlineStr">
        <is>
          <t>https://play.google.com/console/signup</t>
        </is>
      </c>
      <c r="G28" s="26" t="inlineStr">
        <is>
          <t>https://play.google.com/console/signup</t>
        </is>
      </c>
    </row>
    <row r="29">
      <c r="A29" s="24" t="inlineStr">
        <is>
          <t>Expo EAS</t>
        </is>
      </c>
      <c r="B29" s="14" t="inlineStr">
        <is>
          <t>Free tier / Paid</t>
        </is>
      </c>
      <c r="C29" s="14" t="inlineStr">
        <is>
          <t>when native apps</t>
        </is>
      </c>
      <c r="D29" s="14" t="inlineStr">
        <is>
          <t>build mins/seats</t>
        </is>
      </c>
      <c r="E29" s="14" t="inlineStr">
        <is>
          <t>free / $99/mo Production</t>
        </is>
      </c>
      <c r="F29" s="26" t="inlineStr">
        <is>
          <t>https://expo.dev/pricing</t>
        </is>
      </c>
      <c r="G29" s="26" t="inlineStr">
        <is>
          <t>https://expo.dev/signup</t>
        </is>
      </c>
    </row>
    <row r="30">
      <c r="A30" s="24" t="inlineStr">
        <is>
          <t>Domain registrar</t>
        </is>
      </c>
      <c r="B30" s="25" t="inlineStr">
        <is>
          <t>Paid</t>
        </is>
      </c>
      <c r="C30" s="14" t="inlineStr">
        <is>
          <t>Pilot</t>
        </is>
      </c>
      <c r="D30" s="14" t="inlineStr">
        <is>
          <t>per domain/yr</t>
        </is>
      </c>
      <c r="E30" s="14" t="inlineStr">
        <is>
          <t>~$12/yr</t>
        </is>
      </c>
      <c r="F30" s="26" t="inlineStr">
        <is>
          <t>https://www.cloudflare.com/products/registrar/</t>
        </is>
      </c>
      <c r="G30" s="26" t="inlineStr">
        <is>
          <t>https://dash.cloudflare.com/sign-up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F13" r:id="rId19"/>
    <hyperlink xmlns:r="http://schemas.openxmlformats.org/officeDocument/2006/relationships" ref="G13" r:id="rId20"/>
    <hyperlink xmlns:r="http://schemas.openxmlformats.org/officeDocument/2006/relationships" ref="F14" r:id="rId21"/>
    <hyperlink xmlns:r="http://schemas.openxmlformats.org/officeDocument/2006/relationships" ref="G14" r:id="rId22"/>
    <hyperlink xmlns:r="http://schemas.openxmlformats.org/officeDocument/2006/relationships" ref="F15" r:id="rId23"/>
    <hyperlink xmlns:r="http://schemas.openxmlformats.org/officeDocument/2006/relationships" ref="G15" r:id="rId24"/>
    <hyperlink xmlns:r="http://schemas.openxmlformats.org/officeDocument/2006/relationships" ref="F16" r:id="rId25"/>
    <hyperlink xmlns:r="http://schemas.openxmlformats.org/officeDocument/2006/relationships" ref="G16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F18" r:id="rId29"/>
    <hyperlink xmlns:r="http://schemas.openxmlformats.org/officeDocument/2006/relationships" ref="G18" r:id="rId30"/>
    <hyperlink xmlns:r="http://schemas.openxmlformats.org/officeDocument/2006/relationships" ref="F19" r:id="rId31"/>
    <hyperlink xmlns:r="http://schemas.openxmlformats.org/officeDocument/2006/relationships" ref="G19" r:id="rId32"/>
    <hyperlink xmlns:r="http://schemas.openxmlformats.org/officeDocument/2006/relationships" ref="F20" r:id="rId33"/>
    <hyperlink xmlns:r="http://schemas.openxmlformats.org/officeDocument/2006/relationships" ref="G20" r:id="rId34"/>
    <hyperlink xmlns:r="http://schemas.openxmlformats.org/officeDocument/2006/relationships" ref="F21" r:id="rId35"/>
    <hyperlink xmlns:r="http://schemas.openxmlformats.org/officeDocument/2006/relationships" ref="G21" r:id="rId36"/>
    <hyperlink xmlns:r="http://schemas.openxmlformats.org/officeDocument/2006/relationships" ref="F22" r:id="rId37"/>
    <hyperlink xmlns:r="http://schemas.openxmlformats.org/officeDocument/2006/relationships" ref="G22" r:id="rId38"/>
    <hyperlink xmlns:r="http://schemas.openxmlformats.org/officeDocument/2006/relationships" ref="F23" r:id="rId39"/>
    <hyperlink xmlns:r="http://schemas.openxmlformats.org/officeDocument/2006/relationships" ref="G23" r:id="rId40"/>
    <hyperlink xmlns:r="http://schemas.openxmlformats.org/officeDocument/2006/relationships" ref="F24" r:id="rId41"/>
    <hyperlink xmlns:r="http://schemas.openxmlformats.org/officeDocument/2006/relationships" ref="G24" r:id="rId42"/>
    <hyperlink xmlns:r="http://schemas.openxmlformats.org/officeDocument/2006/relationships" ref="F25" r:id="rId43"/>
    <hyperlink xmlns:r="http://schemas.openxmlformats.org/officeDocument/2006/relationships" ref="G25" r:id="rId44"/>
    <hyperlink xmlns:r="http://schemas.openxmlformats.org/officeDocument/2006/relationships" ref="F26" r:id="rId45"/>
    <hyperlink xmlns:r="http://schemas.openxmlformats.org/officeDocument/2006/relationships" ref="G26" r:id="rId46"/>
    <hyperlink xmlns:r="http://schemas.openxmlformats.org/officeDocument/2006/relationships" ref="F27" r:id="rId47"/>
    <hyperlink xmlns:r="http://schemas.openxmlformats.org/officeDocument/2006/relationships" ref="G27" r:id="rId48"/>
    <hyperlink xmlns:r="http://schemas.openxmlformats.org/officeDocument/2006/relationships" ref="F28" r:id="rId49"/>
    <hyperlink xmlns:r="http://schemas.openxmlformats.org/officeDocument/2006/relationships" ref="G28" r:id="rId50"/>
    <hyperlink xmlns:r="http://schemas.openxmlformats.org/officeDocument/2006/relationships" ref="F29" r:id="rId51"/>
    <hyperlink xmlns:r="http://schemas.openxmlformats.org/officeDocument/2006/relationships" ref="G29" r:id="rId52"/>
    <hyperlink xmlns:r="http://schemas.openxmlformats.org/officeDocument/2006/relationships" ref="F30" r:id="rId53"/>
    <hyperlink xmlns:r="http://schemas.openxmlformats.org/officeDocument/2006/relationships" ref="G30" r:id="rId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6E7A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72" customWidth="1" min="3" max="3"/>
  </cols>
  <sheetData>
    <row r="1">
      <c r="A1" s="4" t="inlineStr">
        <is>
          <t>ARCHITECTURE &amp; PROVISIONING BY TIER</t>
        </is>
      </c>
    </row>
    <row r="3">
      <c r="A3" s="7" t="inlineStr">
        <is>
          <t>Tier</t>
        </is>
      </c>
      <c r="B3" s="7" t="inlineStr">
        <is>
          <t>Architecture</t>
        </is>
      </c>
      <c r="C3" s="7" t="inlineStr">
        <is>
          <t>Provisioning checklist</t>
        </is>
      </c>
    </row>
    <row r="4">
      <c r="A4" s="24" t="inlineStr">
        <is>
          <t>Pilot</t>
        </is>
      </c>
      <c r="B4" s="14" t="inlineStr">
        <is>
          <t>Single VPS. Full docker-compose (api+worker+postgres+redis). Local-disk storage. Caddy for TLS.</t>
        </is>
      </c>
      <c r="C4" s="14" t="inlineStr">
        <is>
          <t>1) Create VPS + DNS A-record  2) clone repo  3) .env: set DB_PASSWORD + JWT_KEY only  4) docker compose up -d (no extra profiles)  5) Caddy/nginx TLS  6) set Cors__Origins + EXPO_PUBLIC_API_BASE  7) send link.</t>
        </is>
      </c>
    </row>
    <row r="5">
      <c r="A5" s="24" t="inlineStr">
        <is>
          <t>Starter</t>
        </is>
      </c>
      <c r="B5" s="14" t="inlineStr">
        <is>
          <t>Single larger VPS. Storage moved to R2/Spaces. Postmark email. Stripe/Flutterwave keys added.</t>
        </is>
      </c>
      <c r="C5" s="14" t="inlineStr">
        <is>
          <t>Resize VPS to 4 vCPU/16 GB; set Storage__S3__* to R2; set Smtp__*; add Billing__Stripe__* + webhook; keep Postgres/Redis in-box.</t>
        </is>
      </c>
    </row>
    <row r="6">
      <c r="A6" s="24" t="inlineStr">
        <is>
          <t>Growth</t>
        </is>
      </c>
      <c r="B6" s="14" t="inlineStr">
        <is>
          <t>Managed Postgres + managed Redis. App + worker as separate containers/nodes. Nightly backups.</t>
        </is>
      </c>
      <c r="C6" s="14" t="inlineStr">
        <is>
          <t>Provision managed PG (point ConnectionStrings__Default at it) + managed Redis (Redis__Connection); run worker with PLANSCAPE_ROLE=worker; enable backups; (opt) set Azure OpenAI/Vision keys + ModelConverter.</t>
        </is>
      </c>
    </row>
    <row r="7">
      <c r="A7" s="24" t="inlineStr">
        <is>
          <t>Scale</t>
        </is>
      </c>
      <c r="B7" s="14" t="inlineStr">
        <is>
          <t>HA: PG primary+standby, 2x app nodes behind LB, PgBouncer (--profile pool), Redis cluster. Observability on.</t>
        </is>
      </c>
      <c r="C7" s="14" t="inlineStr">
        <is>
          <t>Add standby + failover; load balancer; docker compose --profile pool (PgBouncer); --profile observability (Prometheus/Grafana); Sentry DSN; scale storage to 5 TB; rate-limit via Redis.</t>
        </is>
      </c>
    </row>
    <row r="8">
      <c r="A8" s="24" t="inlineStr">
        <is>
          <t>Enterprise</t>
        </is>
      </c>
      <c r="B8" s="14" t="inlineStr">
        <is>
          <t>Multi-node, multi-AZ. Dedicated DB. SSO/SAML/SCIM. APS conversion. Managed SIEM/logs. AV scanning.</t>
        </is>
      </c>
      <c r="C8" s="14" t="inlineStr">
        <is>
          <t>Configure per-tenant SsoConfig (OIDC/SAML/SCIM); ModelConverter__Provider=aps + APS creds; --profile av (ClamAV); ship logs to managed Seq/Elastic; 24/7 monitoring + on-call; security review.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2026-05-25T11:57:51Z</dcterms:created>
  <dcterms:modified xsi:type="dcterms:W3CDTF">2026-05-25T11:57:51Z</dcterms:modified>
</cp:coreProperties>
</file>