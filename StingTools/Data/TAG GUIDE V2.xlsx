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COVER" sheetId="1" state="visible" r:id="rId1"/>
    <sheet xmlns:r="http://schemas.openxmlformats.org/officeDocument/2006/relationships" name="01-CATEGORY-GAP-ANALYSIS" sheetId="2" state="visible" r:id="rId2"/>
    <sheet xmlns:r="http://schemas.openxmlformats.org/officeDocument/2006/relationships" name="02-WARNING-THRESHOLDS" sheetId="3" state="visible" r:id="rId3"/>
    <sheet xmlns:r="http://schemas.openxmlformats.org/officeDocument/2006/relationships" name="03-TAG-CONTAINER-ARCH" sheetId="4" state="visible" r:id="rId4"/>
    <sheet xmlns:r="http://schemas.openxmlformats.org/officeDocument/2006/relationships" name="04-BOQ-AUTOMATION-MAP" sheetId="5" state="visible" r:id="rId5"/>
    <sheet xmlns:r="http://schemas.openxmlformats.org/officeDocument/2006/relationships" name="05-NEW-PARAMETERS-v4.2" sheetId="6" state="visible" r:id="rId6"/>
    <sheet xmlns:r="http://schemas.openxmlformats.org/officeDocument/2006/relationships" name="06-VALIDATION-CHECKLIST" sheetId="7" state="visible" r:id="rId7"/>
    <sheet xmlns:r="http://schemas.openxmlformats.org/officeDocument/2006/relationships" name="07-PARA-ENGINE-UNIFIED" sheetId="8" state="visible" r:id="rId8"/>
    <sheet xmlns:r="http://schemas.openxmlformats.org/officeDocument/2006/relationships" name="08-BOQ-TEMPLATE-SCHEDULES" sheetId="9" state="visible" r:id="rId9"/>
    <sheet xmlns:r="http://schemas.openxmlformats.org/officeDocument/2006/relationships" name="09-FORMULA-INPUT-GAP" sheetId="10" state="visible" r:id="rId10"/>
    <sheet xmlns:r="http://schemas.openxmlformats.org/officeDocument/2006/relationships" name="10-NEW-FORMULAS-v4.3" sheetId="11" state="visible" r:id="rId11"/>
    <sheet xmlns:r="http://schemas.openxmlformats.org/officeDocument/2006/relationships" name="11-VALIDATION-v4.3"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4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i val="1"/>
      <color rgb="FF4472C4"/>
      <sz val="10"/>
    </font>
    <font>
      <name val="Arial"/>
      <charset val="1"/>
      <family val="0"/>
      <b val="1"/>
      <color rgb="FF1F3864"/>
      <sz val="11"/>
    </font>
    <font>
      <name val="Arial"/>
      <charset val="1"/>
      <family val="0"/>
      <b val="1"/>
      <sz val="9"/>
    </font>
    <font>
      <name val="Arial"/>
      <charset val="1"/>
      <family val="0"/>
      <sz val="9"/>
    </font>
    <font>
      <name val="Arial"/>
      <charset val="1"/>
      <family val="0"/>
      <i val="1"/>
      <color rgb="FF808080"/>
      <sz val="9"/>
    </font>
    <font>
      <name val="Arial"/>
      <charset val="1"/>
      <family val="0"/>
      <i val="1"/>
      <color rgb="FF7F7F7F"/>
      <sz val="9"/>
    </font>
    <font>
      <name val="Arial"/>
      <charset val="1"/>
      <family val="0"/>
      <b val="1"/>
      <color rgb="FF1F3864"/>
      <sz val="12"/>
    </font>
    <font>
      <name val="Arial"/>
      <charset val="1"/>
      <family val="0"/>
      <b val="1"/>
      <color rgb="FFFFFFFF"/>
      <sz val="10"/>
    </font>
    <font>
      <name val="Arial"/>
      <charset val="1"/>
      <family val="0"/>
      <b val="1"/>
      <color rgb="FFCC0000"/>
      <sz val="9"/>
    </font>
    <font>
      <name val="Arial"/>
      <charset val="1"/>
      <family val="0"/>
      <b val="1"/>
      <sz val="10"/>
    </font>
    <font>
      <name val="Arial"/>
      <charset val="1"/>
      <family val="0"/>
      <b val="1"/>
      <color rgb="FF1F3864"/>
      <sz val="9"/>
    </font>
    <font>
      <name val="Arial"/>
      <charset val="1"/>
      <family val="0"/>
      <b val="1"/>
      <color rgb="FFFFFFFF"/>
      <sz val="8"/>
    </font>
    <font>
      <name val="Arial"/>
      <charset val="1"/>
      <family val="0"/>
      <i val="1"/>
      <color rgb="FF00695C"/>
      <sz val="7"/>
    </font>
    <font>
      <name val="Arial"/>
      <charset val="1"/>
      <family val="0"/>
      <b val="1"/>
      <sz val="8"/>
    </font>
    <font>
      <name val="Arial"/>
      <charset val="1"/>
      <family val="0"/>
      <sz val="8"/>
    </font>
    <font>
      <name val="Arial"/>
      <charset val="1"/>
      <family val="0"/>
      <b val="1"/>
      <color rgb="FF1F1F1F"/>
      <sz val="8"/>
    </font>
    <font>
      <name val="Arial"/>
      <charset val="1"/>
      <family val="0"/>
      <color rgb="FF1F1F1F"/>
      <sz val="8"/>
    </font>
    <font>
      <name val="Arial"/>
      <charset val="1"/>
      <family val="0"/>
      <sz val="10"/>
    </font>
    <font>
      <name val="Arial"/>
      <charset val="1"/>
      <family val="0"/>
      <b val="1"/>
      <color rgb="FF1F3864"/>
      <sz val="10"/>
    </font>
    <font>
      <name val="Arial"/>
      <charset val="1"/>
      <family val="0"/>
      <color rgb="FFFF8F00"/>
      <sz val="8"/>
    </font>
    <font>
      <name val="Arial"/>
      <charset val="1"/>
      <family val="0"/>
      <color rgb="FFC62828"/>
      <sz val="8"/>
    </font>
    <font>
      <name val="Arial"/>
      <charset val="1"/>
      <family val="0"/>
      <b val="1"/>
      <color rgb="FFFFFFFF"/>
      <sz val="12"/>
    </font>
    <font>
      <name val="Arial"/>
      <charset val="1"/>
      <family val="0"/>
      <i val="1"/>
      <color rgb="FF1F1F1F"/>
      <sz val="8"/>
    </font>
    <font>
      <name val="Arial"/>
      <charset val="1"/>
      <family val="0"/>
      <b val="1"/>
      <color rgb="FFFFFFFF"/>
      <sz val="9"/>
    </font>
    <font>
      <name val="Arial"/>
      <charset val="1"/>
      <family val="0"/>
      <b val="1"/>
      <color rgb="FF1B2A4A"/>
      <sz val="8"/>
    </font>
    <font>
      <name val="Arial"/>
      <charset val="1"/>
      <family val="0"/>
      <b val="1"/>
      <color rgb="FF00695C"/>
      <sz val="8"/>
    </font>
    <font>
      <name val="Arial"/>
      <charset val="1"/>
      <family val="0"/>
      <b val="1"/>
      <color rgb="FFC62828"/>
      <sz val="8"/>
    </font>
    <font>
      <name val="Arial"/>
      <charset val="1"/>
      <family val="0"/>
      <color rgb="FF2E7D32"/>
      <sz val="8"/>
    </font>
    <font>
      <name val="Arial"/>
      <b val="1"/>
      <color rgb="00016EA7"/>
      <sz val="11"/>
    </font>
    <font>
      <name val="Arial"/>
      <color rgb="00282828"/>
      <sz val="10"/>
    </font>
    <font>
      <name val="Arial"/>
      <i val="1"/>
      <color rgb="00282828"/>
      <sz val="10"/>
    </font>
    <font>
      <name val="Arial"/>
      <b val="1"/>
      <color rgb="00FFFFFF"/>
      <sz val="10"/>
    </font>
    <font>
      <name val="Arial"/>
      <b val="1"/>
      <color rgb="00282828"/>
      <sz val="10"/>
    </font>
    <font>
      <name val="Arial"/>
      <color rgb="00666666"/>
      <sz val="10"/>
    </font>
    <font>
      <name val="Arial"/>
      <b val="1"/>
      <color rgb="00FFFFFF"/>
      <sz val="12"/>
    </font>
    <font>
      <name val="Arial"/>
      <i val="1"/>
      <color rgb="00666666"/>
      <sz val="9"/>
    </font>
    <font>
      <name val="Arial"/>
      <b val="1"/>
      <color rgb="00143055"/>
      <sz val="10"/>
    </font>
  </fonts>
  <fills count="37">
    <fill>
      <patternFill/>
    </fill>
    <fill>
      <patternFill patternType="gray125"/>
    </fill>
    <fill>
      <patternFill patternType="solid">
        <fgColor rgb="FF1F3864"/>
        <bgColor rgb="FF2B3A6B"/>
      </patternFill>
    </fill>
    <fill>
      <patternFill patternType="solid">
        <fgColor rgb="FF2E5090"/>
        <bgColor rgb="FF3D5299"/>
      </patternFill>
    </fill>
    <fill>
      <patternFill patternType="solid">
        <fgColor rgb="FF4472C4"/>
        <bgColor rgb="FF3D5299"/>
      </patternFill>
    </fill>
    <fill>
      <patternFill patternType="solid">
        <fgColor rgb="FFE2EFDA"/>
        <bgColor rgb="FFE0F2F1"/>
      </patternFill>
    </fill>
    <fill>
      <patternFill patternType="solid">
        <fgColor rgb="FFFCE4D6"/>
        <bgColor rgb="FFFFEBEE"/>
      </patternFill>
    </fill>
    <fill>
      <patternFill patternType="solid">
        <fgColor rgb="FFFFF2CC"/>
        <bgColor rgb="FFFFF3E0"/>
      </patternFill>
    </fill>
    <fill>
      <patternFill patternType="solid">
        <fgColor rgb="FFF4CCCC"/>
        <bgColor rgb="FFFCE4D6"/>
      </patternFill>
    </fill>
    <fill>
      <patternFill patternType="solid">
        <fgColor rgb="FFD6E4F0"/>
        <bgColor rgb="FFDCE6F9"/>
      </patternFill>
    </fill>
    <fill>
      <patternFill patternType="solid">
        <fgColor rgb="FF2E7D32"/>
        <bgColor rgb="FF008000"/>
      </patternFill>
    </fill>
    <fill>
      <patternFill patternType="solid">
        <fgColor rgb="FFF2F2F2"/>
        <bgColor rgb="FFFFEBEE"/>
      </patternFill>
    </fill>
    <fill>
      <patternFill patternType="solid">
        <fgColor rgb="FFFFFFFF"/>
        <bgColor rgb="FFFFFDE7"/>
      </patternFill>
    </fill>
    <fill>
      <patternFill patternType="solid">
        <fgColor rgb="FF2B3A6B"/>
        <bgColor rgb="FF1F3864"/>
      </patternFill>
    </fill>
    <fill>
      <patternFill patternType="solid">
        <fgColor rgb="FF1B2A4A"/>
        <bgColor rgb="FF1F3864"/>
      </patternFill>
    </fill>
    <fill>
      <patternFill patternType="solid">
        <fgColor rgb="FFDCE6F9"/>
        <bgColor rgb="FFD6E4F0"/>
      </patternFill>
    </fill>
    <fill>
      <patternFill patternType="solid">
        <fgColor rgb="FF3D5299"/>
        <bgColor rgb="FF2E5090"/>
      </patternFill>
    </fill>
    <fill>
      <patternFill patternType="solid">
        <fgColor rgb="FF00695C"/>
        <bgColor rgb="FF2E7D32"/>
      </patternFill>
    </fill>
    <fill>
      <patternFill patternType="solid">
        <fgColor rgb="FFE65100"/>
        <bgColor rgb="FFC62828"/>
      </patternFill>
    </fill>
    <fill>
      <patternFill patternType="solid">
        <fgColor rgb="FFB8C8F0"/>
        <bgColor rgb="FFB4C6E7"/>
      </patternFill>
    </fill>
    <fill>
      <patternFill patternType="solid">
        <fgColor rgb="FFE0F2F1"/>
        <bgColor rgb="FFE2EFDA"/>
      </patternFill>
    </fill>
    <fill>
      <patternFill patternType="solid">
        <fgColor rgb="FFF9A825"/>
        <bgColor rgb="FFFFC000"/>
      </patternFill>
    </fill>
    <fill>
      <patternFill patternType="solid">
        <fgColor rgb="FFFFFDE7"/>
        <bgColor rgb="FFFFF3E0"/>
      </patternFill>
    </fill>
    <fill>
      <patternFill patternType="solid">
        <fgColor rgb="FFC62828"/>
        <bgColor rgb="FF993366"/>
      </patternFill>
    </fill>
    <fill>
      <patternFill patternType="solid">
        <fgColor rgb="FFFFEBEE"/>
        <bgColor rgb="FFFFF3E0"/>
      </patternFill>
    </fill>
    <fill>
      <patternFill patternType="solid">
        <fgColor rgb="FF6A1B9A"/>
        <bgColor rgb="FF800080"/>
      </patternFill>
    </fill>
    <fill>
      <patternFill patternType="solid">
        <fgColor rgb="FFF3E5F5"/>
        <bgColor rgb="FFFFEBEE"/>
      </patternFill>
    </fill>
    <fill>
      <patternFill patternType="solid">
        <fgColor rgb="FFFFF3E0"/>
        <bgColor rgb="FFFFF2CC"/>
      </patternFill>
    </fill>
    <fill>
      <patternFill patternType="solid">
        <fgColor rgb="002E5D5B"/>
      </patternFill>
    </fill>
    <fill>
      <patternFill patternType="solid">
        <fgColor rgb="00FFF3E0"/>
      </patternFill>
    </fill>
    <fill>
      <patternFill patternType="solid">
        <fgColor rgb="00FFEBEE"/>
      </patternFill>
    </fill>
    <fill>
      <patternFill patternType="solid">
        <fgColor rgb="00016EA7"/>
      </patternFill>
    </fill>
    <fill>
      <patternFill patternType="solid">
        <fgColor rgb="00E3F2FD"/>
      </patternFill>
    </fill>
    <fill>
      <patternFill patternType="solid">
        <fgColor rgb="00E8F5E9"/>
      </patternFill>
    </fill>
    <fill>
      <patternFill patternType="solid">
        <fgColor rgb="00DF5426"/>
      </patternFill>
    </fill>
    <fill>
      <patternFill patternType="solid">
        <fgColor rgb="00143055"/>
      </patternFill>
    </fill>
    <fill>
      <patternFill patternType="solid">
        <fgColor rgb="00F5F5F5"/>
      </patternFill>
    </fill>
  </fills>
  <borders count="21">
    <border>
      <left/>
      <right/>
      <top/>
      <bottom/>
      <diagonal/>
    </border>
    <border>
      <left style="thin">
        <color rgb="FFB4C6E7"/>
      </left>
      <right style="thin">
        <color rgb="FFB4C6E7"/>
      </right>
      <top style="thin">
        <color rgb="FFB4C6E7"/>
      </top>
      <bottom style="thin">
        <color rgb="FFB4C6E7"/>
      </bottom>
      <diagonal/>
    </border>
    <border>
      <left style="medium">
        <color rgb="FF606060"/>
      </left>
      <right style="medium">
        <color rgb="FF606060"/>
      </right>
      <top style="medium">
        <color rgb="FF606060"/>
      </top>
      <bottom style="medium">
        <color rgb="FF606060"/>
      </bottom>
      <diagonal/>
    </border>
    <border>
      <left style="thin">
        <color rgb="FFB0B0B0"/>
      </left>
      <right style="thin">
        <color rgb="FFB0B0B0"/>
      </right>
      <top style="thin">
        <color rgb="FFB0B0B0"/>
      </top>
      <bottom style="thin">
        <color rgb="FFB0B0B0"/>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right/>
      <top style="thin">
        <color rgb="FFB4C6E7"/>
      </top>
      <bottom/>
      <diagonal/>
    </border>
    <border>
      <left/>
      <right style="thin">
        <color rgb="FFB4C6E7"/>
      </right>
      <top style="thin">
        <color rgb="FFB4C6E7"/>
      </top>
      <bottom/>
      <diagonal/>
    </border>
    <border>
      <left/>
      <right/>
      <top style="medium">
        <color rgb="FF606060"/>
      </top>
      <bottom/>
      <diagonal/>
    </border>
    <border>
      <left/>
      <right style="medium">
        <color rgb="FF606060"/>
      </right>
      <top style="medium">
        <color rgb="FF606060"/>
      </top>
      <bottom/>
      <diagonal/>
    </border>
    <border>
      <left/>
      <right/>
      <top style="medium">
        <color rgb="FF606060"/>
      </top>
      <bottom style="medium">
        <color rgb="FF606060"/>
      </bottom>
      <diagonal/>
    </border>
    <border>
      <left/>
      <right style="medium">
        <color rgb="FF606060"/>
      </right>
      <top style="medium">
        <color rgb="FF606060"/>
      </top>
      <bottom style="medium">
        <color rgb="FF606060"/>
      </bottom>
      <diagonal/>
    </border>
    <border>
      <left/>
      <right/>
      <top style="thin">
        <color rgb="FFB0B0B0"/>
      </top>
      <bottom/>
      <diagonal/>
    </border>
    <border>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00BCBEC0"/>
      </left>
      <right style="thin">
        <color rgb="00BCBEC0"/>
      </right>
      <top style="thin">
        <color rgb="00BCBEC0"/>
      </top>
      <bottom style="thin">
        <color rgb="00BCBEC0"/>
      </bottom>
    </border>
    <border>
      <left/>
      <right/>
      <top style="thin">
        <color rgb="00BCBEC0"/>
      </top>
      <bottom/>
      <diagonal/>
    </border>
    <border>
      <left/>
      <right style="thin">
        <color rgb="00BCBEC0"/>
      </right>
      <top style="thin">
        <color rgb="00BCBEC0"/>
      </top>
      <bottom/>
      <diagonal/>
    </border>
    <border>
      <left/>
      <right/>
      <top style="thin">
        <color rgb="00BCBEC0"/>
      </top>
      <bottom style="thin">
        <color rgb="00BCBEC0"/>
      </bottom>
      <diagonal/>
    </border>
    <border>
      <left/>
      <right style="thin">
        <color rgb="00BCBEC0"/>
      </right>
      <top style="thin">
        <color rgb="00BCBEC0"/>
      </top>
      <bottom style="thin">
        <color rgb="00BCBEC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2" fillId="4" borderId="1" applyAlignment="1" pivotButton="0" quotePrefix="0" xfId="0">
      <alignment horizontal="general" vertical="center"/>
    </xf>
    <xf numFmtId="0" fontId="8" fillId="5" borderId="1" applyAlignment="1" pivotButton="0" quotePrefix="0" xfId="0">
      <alignment horizontal="general" vertical="top" wrapText="1"/>
    </xf>
    <xf numFmtId="0" fontId="8" fillId="5" borderId="1" applyAlignment="1" pivotButton="0" quotePrefix="0" xfId="0">
      <alignment horizontal="general" vertical="top" wrapText="1"/>
    </xf>
    <xf numFmtId="0" fontId="13"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6" borderId="1" applyAlignment="1" pivotButton="0" quotePrefix="0" xfId="0">
      <alignment horizontal="general" vertical="top" wrapText="1"/>
    </xf>
    <xf numFmtId="0" fontId="13" fillId="6" borderId="1" applyAlignment="1" pivotButton="0" quotePrefix="0" xfId="0">
      <alignment horizontal="general" vertical="top" wrapText="1"/>
    </xf>
    <xf numFmtId="0" fontId="14" fillId="0" borderId="0" applyAlignment="1" pivotButton="0" quotePrefix="0" xfId="0">
      <alignment horizontal="general" vertical="bottom"/>
    </xf>
    <xf numFmtId="0" fontId="9" fillId="0" borderId="0" applyAlignment="1" pivotButton="0" quotePrefix="0" xfId="0">
      <alignment horizontal="general" vertical="bottom"/>
    </xf>
    <xf numFmtId="0" fontId="8" fillId="7" borderId="1" applyAlignment="1" pivotButton="0" quotePrefix="0" xfId="0">
      <alignment horizontal="general" vertical="top" wrapText="1"/>
    </xf>
    <xf numFmtId="0" fontId="8" fillId="8" borderId="1" applyAlignment="1" pivotButton="0" quotePrefix="0" xfId="0">
      <alignment horizontal="general" vertical="top" wrapText="1"/>
    </xf>
    <xf numFmtId="0" fontId="15" fillId="0" borderId="0" applyAlignment="1" pivotButton="0" quotePrefix="0" xfId="0">
      <alignment horizontal="general" vertical="bottom"/>
    </xf>
    <xf numFmtId="0" fontId="8" fillId="0" borderId="0" applyAlignment="1" pivotButton="0" quotePrefix="0" xfId="0">
      <alignment horizontal="general" vertical="bottom"/>
    </xf>
    <xf numFmtId="0" fontId="8" fillId="9" borderId="1" applyAlignment="1" pivotButton="0" quotePrefix="0" xfId="0">
      <alignment horizontal="general" vertical="top" wrapText="1"/>
    </xf>
    <xf numFmtId="0" fontId="16" fillId="10" borderId="2" applyAlignment="1" pivotButton="0" quotePrefix="0" xfId="0">
      <alignment horizontal="center" vertical="center" wrapText="1"/>
    </xf>
    <xf numFmtId="0" fontId="8" fillId="0" borderId="1" applyAlignment="1" pivotButton="0" quotePrefix="0" xfId="0">
      <alignment horizontal="general" vertical="top" wrapText="1"/>
    </xf>
    <xf numFmtId="0" fontId="17" fillId="5" borderId="3" applyAlignment="1" pivotButton="0" quotePrefix="0" xfId="0">
      <alignment horizontal="left" vertical="top" wrapText="1"/>
    </xf>
    <xf numFmtId="0" fontId="18" fillId="11" borderId="3" applyAlignment="1" pivotButton="0" quotePrefix="0" xfId="0">
      <alignment horizontal="left" vertical="top" wrapText="1"/>
    </xf>
    <xf numFmtId="0" fontId="19" fillId="11" borderId="3" applyAlignment="1" pivotButton="0" quotePrefix="0" xfId="0">
      <alignment horizontal="left" vertical="top" wrapText="1"/>
    </xf>
    <xf numFmtId="0" fontId="18" fillId="12" borderId="3" applyAlignment="1" pivotButton="0" quotePrefix="0" xfId="0">
      <alignment horizontal="left" vertical="top" wrapText="1"/>
    </xf>
    <xf numFmtId="0" fontId="19" fillId="12" borderId="3" applyAlignment="1" pivotButton="0" quotePrefix="0" xfId="0">
      <alignment horizontal="left" vertical="top" wrapText="1"/>
    </xf>
    <xf numFmtId="0" fontId="20" fillId="11" borderId="3" applyAlignment="1" pivotButton="0" quotePrefix="0" xfId="0">
      <alignment horizontal="left" vertical="top" wrapText="1"/>
    </xf>
    <xf numFmtId="0" fontId="21" fillId="11" borderId="3" applyAlignment="1" pivotButton="0" quotePrefix="0" xfId="0">
      <alignment horizontal="left" vertical="top" wrapText="1"/>
    </xf>
    <xf numFmtId="0" fontId="20" fillId="12" borderId="3" applyAlignment="1" pivotButton="0" quotePrefix="0" xfId="0">
      <alignment horizontal="left" vertical="top" wrapText="1"/>
    </xf>
    <xf numFmtId="0" fontId="21" fillId="12" borderId="3" applyAlignment="1" pivotButton="0" quotePrefix="0" xfId="0">
      <alignment horizontal="left" vertical="top" wrapText="1"/>
    </xf>
    <xf numFmtId="0" fontId="12" fillId="2" borderId="0" applyAlignment="1" pivotButton="0" quotePrefix="0" xfId="0">
      <alignment horizontal="general" vertical="bottom"/>
    </xf>
    <xf numFmtId="0" fontId="22" fillId="12" borderId="0" applyAlignment="1" pivotButton="0" quotePrefix="0" xfId="0">
      <alignment horizontal="general" vertical="bottom"/>
    </xf>
    <xf numFmtId="0" fontId="22" fillId="5"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23" fillId="0" borderId="0" applyAlignment="1" pivotButton="0" quotePrefix="0" xfId="0">
      <alignment horizontal="general" vertical="bottom"/>
    </xf>
    <xf numFmtId="0" fontId="16" fillId="13" borderId="3" applyAlignment="1" pivotButton="0" quotePrefix="0" xfId="0">
      <alignment horizontal="general" vertical="bottom"/>
    </xf>
    <xf numFmtId="0" fontId="0" fillId="13" borderId="3" applyAlignment="1" pivotButton="0" quotePrefix="0" xfId="0">
      <alignment horizontal="general" vertical="bottom"/>
    </xf>
    <xf numFmtId="0" fontId="18" fillId="11" borderId="3" applyAlignment="1" pivotButton="0" quotePrefix="0" xfId="0">
      <alignment horizontal="left" vertical="center"/>
    </xf>
    <xf numFmtId="0" fontId="19" fillId="11" borderId="3" applyAlignment="1" pivotButton="0" quotePrefix="0" xfId="0">
      <alignment horizontal="left" vertical="center"/>
    </xf>
    <xf numFmtId="0" fontId="18" fillId="12" borderId="3" applyAlignment="1" pivotButton="0" quotePrefix="0" xfId="0">
      <alignment horizontal="left" vertical="center"/>
    </xf>
    <xf numFmtId="0" fontId="19" fillId="12" borderId="3" applyAlignment="1" pivotButton="0" quotePrefix="0" xfId="0">
      <alignment horizontal="left" vertical="center"/>
    </xf>
    <xf numFmtId="0" fontId="11" fillId="0" borderId="0" applyAlignment="1" pivotButton="0" quotePrefix="0" xfId="0">
      <alignment horizontal="general" vertical="bottom"/>
    </xf>
    <xf numFmtId="0" fontId="20" fillId="11" borderId="3" applyAlignment="1" pivotButton="0" quotePrefix="0" xfId="0">
      <alignment horizontal="left" vertical="center" wrapText="1"/>
    </xf>
    <xf numFmtId="0" fontId="21" fillId="11" borderId="3" applyAlignment="1" pivotButton="0" quotePrefix="0" xfId="0">
      <alignment horizontal="left" vertical="center" wrapText="1"/>
    </xf>
    <xf numFmtId="0" fontId="24" fillId="11" borderId="3" applyAlignment="1" pivotButton="0" quotePrefix="0" xfId="0">
      <alignment horizontal="left" vertical="center" wrapText="1"/>
    </xf>
    <xf numFmtId="0" fontId="20" fillId="12" borderId="3" applyAlignment="1" pivotButton="0" quotePrefix="0" xfId="0">
      <alignment horizontal="left" vertical="center" wrapText="1"/>
    </xf>
    <xf numFmtId="0" fontId="21" fillId="12" borderId="3" applyAlignment="1" pivotButton="0" quotePrefix="0" xfId="0">
      <alignment horizontal="left" vertical="center" wrapText="1"/>
    </xf>
    <xf numFmtId="0" fontId="25" fillId="12" borderId="3" applyAlignment="1" pivotButton="0" quotePrefix="0" xfId="0">
      <alignment horizontal="left" vertical="center" wrapText="1"/>
    </xf>
    <xf numFmtId="0" fontId="24" fillId="12" borderId="3" applyAlignment="1" pivotButton="0" quotePrefix="0" xfId="0">
      <alignment horizontal="left" vertical="center" wrapText="1"/>
    </xf>
    <xf numFmtId="0" fontId="26" fillId="14" borderId="2" applyAlignment="1" pivotButton="0" quotePrefix="0" xfId="0">
      <alignment horizontal="left" vertical="center"/>
    </xf>
    <xf numFmtId="0" fontId="27" fillId="15" borderId="3" applyAlignment="1" pivotButton="0" quotePrefix="0" xfId="0">
      <alignment horizontal="left" vertical="center" wrapText="1"/>
    </xf>
    <xf numFmtId="0" fontId="28" fillId="13" borderId="2" applyAlignment="1" pivotButton="0" quotePrefix="0" xfId="0">
      <alignment horizontal="center" vertical="center" wrapText="1"/>
    </xf>
    <xf numFmtId="0" fontId="12" fillId="16" borderId="2" applyAlignment="1" pivotButton="0" quotePrefix="0" xfId="0">
      <alignment horizontal="left" vertical="center"/>
    </xf>
    <xf numFmtId="0" fontId="29" fillId="11" borderId="3" applyAlignment="1" pivotButton="0" quotePrefix="0" xfId="0">
      <alignment horizontal="left" vertical="top" wrapText="1"/>
    </xf>
    <xf numFmtId="0" fontId="30" fillId="11" borderId="3" applyAlignment="1" pivotButton="0" quotePrefix="0" xfId="0">
      <alignment horizontal="left" vertical="top" wrapText="1"/>
    </xf>
    <xf numFmtId="0" fontId="27" fillId="11" borderId="3" applyAlignment="1" pivotButton="0" quotePrefix="0" xfId="0">
      <alignment horizontal="left" vertical="top" wrapText="1"/>
    </xf>
    <xf numFmtId="0" fontId="31" fillId="11" borderId="3" applyAlignment="1" pivotButton="0" quotePrefix="0" xfId="0">
      <alignment horizontal="left" vertical="top" wrapText="1"/>
    </xf>
    <xf numFmtId="0" fontId="32" fillId="11" borderId="3" applyAlignment="1" pivotButton="0" quotePrefix="0" xfId="0">
      <alignment horizontal="left" vertical="top" wrapText="1"/>
    </xf>
    <xf numFmtId="0" fontId="29" fillId="12" borderId="3" applyAlignment="1" pivotButton="0" quotePrefix="0" xfId="0">
      <alignment horizontal="left" vertical="top" wrapText="1"/>
    </xf>
    <xf numFmtId="0" fontId="30" fillId="12" borderId="3" applyAlignment="1" pivotButton="0" quotePrefix="0" xfId="0">
      <alignment horizontal="left" vertical="top" wrapText="1"/>
    </xf>
    <xf numFmtId="0" fontId="27" fillId="12" borderId="3" applyAlignment="1" pivotButton="0" quotePrefix="0" xfId="0">
      <alignment horizontal="left" vertical="top" wrapText="1"/>
    </xf>
    <xf numFmtId="0" fontId="31" fillId="12" borderId="3" applyAlignment="1" pivotButton="0" quotePrefix="0" xfId="0">
      <alignment horizontal="left" vertical="top" wrapText="1"/>
    </xf>
    <xf numFmtId="0" fontId="32" fillId="12" borderId="3" applyAlignment="1" pivotButton="0" quotePrefix="0" xfId="0">
      <alignment horizontal="left" vertical="top" wrapText="1"/>
    </xf>
    <xf numFmtId="0" fontId="12" fillId="17" borderId="2" applyAlignment="1" pivotButton="0" quotePrefix="0" xfId="0">
      <alignment horizontal="left" vertical="center"/>
    </xf>
    <xf numFmtId="0" fontId="25" fillId="11" borderId="3" applyAlignment="1" pivotButton="0" quotePrefix="0" xfId="0">
      <alignment horizontal="left" vertical="top" wrapText="1"/>
    </xf>
    <xf numFmtId="0" fontId="25" fillId="12" borderId="3" applyAlignment="1" pivotButton="0" quotePrefix="0" xfId="0">
      <alignment horizontal="left" vertical="top" wrapText="1"/>
    </xf>
    <xf numFmtId="0" fontId="12" fillId="13" borderId="2" applyAlignment="1" pivotButton="0" quotePrefix="0" xfId="0">
      <alignment horizontal="left" vertical="center"/>
    </xf>
    <xf numFmtId="0" fontId="29" fillId="15" borderId="3" applyAlignment="1" pivotButton="0" quotePrefix="0" xfId="0">
      <alignment horizontal="left" vertical="top" wrapText="1"/>
    </xf>
    <xf numFmtId="0" fontId="30" fillId="15" borderId="3" applyAlignment="1" pivotButton="0" quotePrefix="0" xfId="0">
      <alignment horizontal="left" vertical="top" wrapText="1"/>
    </xf>
    <xf numFmtId="0" fontId="21" fillId="15" borderId="3" applyAlignment="1" pivotButton="0" quotePrefix="0" xfId="0">
      <alignment horizontal="left" vertical="top" wrapText="1"/>
    </xf>
    <xf numFmtId="0" fontId="27" fillId="15" borderId="3" applyAlignment="1" pivotButton="0" quotePrefix="0" xfId="0">
      <alignment horizontal="left" vertical="top" wrapText="1"/>
    </xf>
    <xf numFmtId="0" fontId="31" fillId="15" borderId="3" applyAlignment="1" pivotButton="0" quotePrefix="0" xfId="0">
      <alignment horizontal="left" vertical="top" wrapText="1"/>
    </xf>
    <xf numFmtId="0" fontId="32" fillId="15" borderId="3" applyAlignment="1" pivotButton="0" quotePrefix="0" xfId="0">
      <alignment horizontal="left" vertical="top" wrapText="1"/>
    </xf>
    <xf numFmtId="0" fontId="12" fillId="10" borderId="2" applyAlignment="1" pivotButton="0" quotePrefix="0" xfId="0">
      <alignment horizontal="left" vertical="center"/>
    </xf>
    <xf numFmtId="0" fontId="29" fillId="5" borderId="3" applyAlignment="1" pivotButton="0" quotePrefix="0" xfId="0">
      <alignment horizontal="left" vertical="top" wrapText="1"/>
    </xf>
    <xf numFmtId="0" fontId="30" fillId="5" borderId="3" applyAlignment="1" pivotButton="0" quotePrefix="0" xfId="0">
      <alignment horizontal="left" vertical="top" wrapText="1"/>
    </xf>
    <xf numFmtId="0" fontId="21" fillId="5" borderId="3" applyAlignment="1" pivotButton="0" quotePrefix="0" xfId="0">
      <alignment horizontal="left" vertical="top" wrapText="1"/>
    </xf>
    <xf numFmtId="0" fontId="27" fillId="5" borderId="3" applyAlignment="1" pivotButton="0" quotePrefix="0" xfId="0">
      <alignment horizontal="left" vertical="top" wrapText="1"/>
    </xf>
    <xf numFmtId="0" fontId="31" fillId="5" borderId="3" applyAlignment="1" pivotButton="0" quotePrefix="0" xfId="0">
      <alignment horizontal="left" vertical="top" wrapText="1"/>
    </xf>
    <xf numFmtId="0" fontId="32" fillId="5" borderId="3" applyAlignment="1" pivotButton="0" quotePrefix="0" xfId="0">
      <alignment horizontal="left" vertical="top" wrapText="1"/>
    </xf>
    <xf numFmtId="0" fontId="12" fillId="18" borderId="2" applyAlignment="1" pivotButton="0" quotePrefix="0" xfId="0">
      <alignment horizontal="left" vertical="center"/>
    </xf>
    <xf numFmtId="0" fontId="29" fillId="6" borderId="3" applyAlignment="1" pivotButton="0" quotePrefix="0" xfId="0">
      <alignment horizontal="left" vertical="top" wrapText="1"/>
    </xf>
    <xf numFmtId="0" fontId="30" fillId="6" borderId="3" applyAlignment="1" pivotButton="0" quotePrefix="0" xfId="0">
      <alignment horizontal="left" vertical="top" wrapText="1"/>
    </xf>
    <xf numFmtId="0" fontId="21" fillId="6" borderId="3" applyAlignment="1" pivotButton="0" quotePrefix="0" xfId="0">
      <alignment horizontal="left" vertical="top" wrapText="1"/>
    </xf>
    <xf numFmtId="0" fontId="27" fillId="6" borderId="3" applyAlignment="1" pivotButton="0" quotePrefix="0" xfId="0">
      <alignment horizontal="left" vertical="top" wrapText="1"/>
    </xf>
    <xf numFmtId="0" fontId="31"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15" borderId="3" applyAlignment="1" pivotButton="0" quotePrefix="0" xfId="0">
      <alignment horizontal="left" vertical="top" wrapText="1"/>
    </xf>
    <xf numFmtId="0" fontId="26" fillId="14" borderId="2" applyAlignment="1" pivotButton="0" quotePrefix="0" xfId="0">
      <alignment horizontal="left" vertical="top" wrapText="1"/>
    </xf>
    <xf numFmtId="0" fontId="16" fillId="13" borderId="2" applyAlignment="1" pivotButton="0" quotePrefix="0" xfId="0">
      <alignment horizontal="center" vertical="center" wrapText="1"/>
    </xf>
    <xf numFmtId="0" fontId="12" fillId="16" borderId="2" applyAlignment="1" pivotButton="0" quotePrefix="0" xfId="0">
      <alignment horizontal="left" vertical="top" wrapText="1"/>
    </xf>
    <xf numFmtId="0" fontId="20" fillId="19" borderId="3" applyAlignment="1" pivotButton="0" quotePrefix="0" xfId="0">
      <alignment horizontal="left" vertical="top" wrapText="1"/>
    </xf>
    <xf numFmtId="0" fontId="21" fillId="12" borderId="3" applyAlignment="1" pivotButton="0" quotePrefix="0" xfId="0">
      <alignment horizontal="center" vertical="top" wrapText="1"/>
    </xf>
    <xf numFmtId="0" fontId="21" fillId="11" borderId="3" applyAlignment="1" pivotButton="0" quotePrefix="0" xfId="0">
      <alignment horizontal="center" vertical="top" wrapText="1"/>
    </xf>
    <xf numFmtId="0" fontId="12" fillId="17" borderId="2" applyAlignment="1" pivotButton="0" quotePrefix="0" xfId="0">
      <alignment horizontal="left" vertical="top" wrapText="1"/>
    </xf>
    <xf numFmtId="0" fontId="20" fillId="20" borderId="3" applyAlignment="1" pivotButton="0" quotePrefix="0" xfId="0">
      <alignment horizontal="left" vertical="top" wrapText="1"/>
    </xf>
    <xf numFmtId="0" fontId="12" fillId="13" borderId="2" applyAlignment="1" pivotButton="0" quotePrefix="0" xfId="0">
      <alignment horizontal="left" vertical="top" wrapText="1"/>
    </xf>
    <xf numFmtId="0" fontId="12" fillId="21" borderId="2" applyAlignment="1" pivotButton="0" quotePrefix="0" xfId="0">
      <alignment horizontal="left" vertical="top" wrapText="1"/>
    </xf>
    <xf numFmtId="0" fontId="21" fillId="22" borderId="3" applyAlignment="1" pivotButton="0" quotePrefix="0" xfId="0">
      <alignment horizontal="left" vertical="top" wrapText="1"/>
    </xf>
    <xf numFmtId="0" fontId="20" fillId="22" borderId="3" applyAlignment="1" pivotButton="0" quotePrefix="0" xfId="0">
      <alignment horizontal="left" vertical="top" wrapText="1"/>
    </xf>
    <xf numFmtId="0" fontId="21" fillId="20" borderId="3" applyAlignment="1" pivotButton="0" quotePrefix="0" xfId="0">
      <alignment horizontal="left" vertical="top" wrapText="1"/>
    </xf>
    <xf numFmtId="0" fontId="12" fillId="23" borderId="2" applyAlignment="1" pivotButton="0" quotePrefix="0" xfId="0">
      <alignment horizontal="left" vertical="top" wrapText="1"/>
    </xf>
    <xf numFmtId="0" fontId="21" fillId="24" borderId="3" applyAlignment="1" pivotButton="0" quotePrefix="0" xfId="0">
      <alignment horizontal="left" vertical="top" wrapText="1"/>
    </xf>
    <xf numFmtId="0" fontId="20" fillId="24" borderId="3" applyAlignment="1" pivotButton="0" quotePrefix="0" xfId="0">
      <alignment horizontal="left" vertical="top" wrapText="1"/>
    </xf>
    <xf numFmtId="0" fontId="12" fillId="25" borderId="2" applyAlignment="1" pivotButton="0" quotePrefix="0" xfId="0">
      <alignment horizontal="left" vertical="top" wrapText="1"/>
    </xf>
    <xf numFmtId="0" fontId="21" fillId="26" borderId="3" applyAlignment="1" pivotButton="0" quotePrefix="0" xfId="0">
      <alignment horizontal="left" vertical="top" wrapText="1"/>
    </xf>
    <xf numFmtId="0" fontId="20" fillId="26" borderId="3" applyAlignment="1" pivotButton="0" quotePrefix="0" xfId="0">
      <alignment horizontal="left" vertical="top" wrapText="1"/>
    </xf>
    <xf numFmtId="0" fontId="12" fillId="18" borderId="2" applyAlignment="1" pivotButton="0" quotePrefix="0" xfId="0">
      <alignment horizontal="left" vertical="top" wrapText="1"/>
    </xf>
    <xf numFmtId="0" fontId="21" fillId="27" borderId="3" applyAlignment="1" pivotButton="0" quotePrefix="0" xfId="0">
      <alignment horizontal="left" vertical="top" wrapText="1"/>
    </xf>
    <xf numFmtId="0" fontId="20" fillId="27" borderId="3" applyAlignment="1" pivotButton="0" quotePrefix="0" xfId="0">
      <alignment horizontal="left" vertical="top" wrapText="1"/>
    </xf>
    <xf numFmtId="0" fontId="28" fillId="14" borderId="3" applyAlignment="1" pivotButton="0" quotePrefix="0" xfId="0">
      <alignment horizontal="left" vertical="top" wrapText="1"/>
    </xf>
    <xf numFmtId="0" fontId="30" fillId="11" borderId="3" applyAlignment="1" pivotButton="0" quotePrefix="0" xfId="0">
      <alignment horizontal="left" vertical="center"/>
    </xf>
    <xf numFmtId="0" fontId="21" fillId="11" borderId="3" applyAlignment="1" pivotButton="0" quotePrefix="0" xfId="0">
      <alignment horizontal="left" vertical="center"/>
    </xf>
    <xf numFmtId="0" fontId="30" fillId="12" borderId="3" applyAlignment="1" pivotButton="0" quotePrefix="0" xfId="0">
      <alignment horizontal="left" vertical="center"/>
    </xf>
    <xf numFmtId="0" fontId="21" fillId="12" borderId="3"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33" fillId="0" borderId="0" pivotButton="0" quotePrefix="0" xfId="0"/>
    <xf numFmtId="0" fontId="34" fillId="0" borderId="0" pivotButton="0" quotePrefix="0" xfId="0"/>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2" fillId="4" borderId="1" applyAlignment="1" pivotButton="0" quotePrefix="0" xfId="0">
      <alignment horizontal="general" vertical="center"/>
    </xf>
    <xf numFmtId="0" fontId="0" fillId="0" borderId="4" pivotButton="0" quotePrefix="0" xfId="0"/>
    <xf numFmtId="0" fontId="0" fillId="0" borderId="5" pivotButton="0" quotePrefix="0" xfId="0"/>
    <xf numFmtId="0" fontId="8" fillId="5" borderId="1" applyAlignment="1" pivotButton="0" quotePrefix="0" xfId="0">
      <alignment horizontal="general" vertical="top" wrapText="1"/>
    </xf>
    <xf numFmtId="0" fontId="13" fillId="5" borderId="1" applyAlignment="1" pivotButton="0" quotePrefix="0" xfId="0">
      <alignment horizontal="general" vertical="top" wrapText="1"/>
    </xf>
    <xf numFmtId="0" fontId="8" fillId="6" borderId="1" applyAlignment="1" pivotButton="0" quotePrefix="0" xfId="0">
      <alignment horizontal="general" vertical="top" wrapText="1"/>
    </xf>
    <xf numFmtId="0" fontId="13" fillId="6" borderId="1" applyAlignment="1" pivotButton="0" quotePrefix="0" xfId="0">
      <alignment horizontal="general" vertical="top" wrapText="1"/>
    </xf>
    <xf numFmtId="0" fontId="14" fillId="0" borderId="0" applyAlignment="1" pivotButton="0" quotePrefix="0" xfId="0">
      <alignment horizontal="general" vertical="bottom"/>
    </xf>
    <xf numFmtId="0" fontId="8" fillId="7" borderId="1" applyAlignment="1" pivotButton="0" quotePrefix="0" xfId="0">
      <alignment horizontal="general" vertical="top" wrapText="1"/>
    </xf>
    <xf numFmtId="0" fontId="8" fillId="8" borderId="1" applyAlignment="1" pivotButton="0" quotePrefix="0" xfId="0">
      <alignment horizontal="general" vertical="top" wrapText="1"/>
    </xf>
    <xf numFmtId="0" fontId="15" fillId="0" borderId="0" applyAlignment="1" pivotButton="0" quotePrefix="0" xfId="0">
      <alignment horizontal="general" vertical="bottom"/>
    </xf>
    <xf numFmtId="0" fontId="8" fillId="0" borderId="0" applyAlignment="1" pivotButton="0" quotePrefix="0" xfId="0">
      <alignment horizontal="general" vertical="bottom"/>
    </xf>
    <xf numFmtId="0" fontId="8" fillId="9" borderId="1" applyAlignment="1" pivotButton="0" quotePrefix="0" xfId="0">
      <alignment horizontal="general" vertical="top" wrapText="1"/>
    </xf>
    <xf numFmtId="0" fontId="16" fillId="10" borderId="2" applyAlignment="1" pivotButton="0" quotePrefix="0" xfId="0">
      <alignment horizontal="center" vertical="center" wrapText="1"/>
    </xf>
    <xf numFmtId="0" fontId="8" fillId="0" borderId="1" applyAlignment="1" pivotButton="0" quotePrefix="0" xfId="0">
      <alignment horizontal="general" vertical="top" wrapText="1"/>
    </xf>
    <xf numFmtId="0" fontId="17" fillId="5" borderId="3" applyAlignment="1" pivotButton="0" quotePrefix="0" xfId="0">
      <alignment horizontal="left" vertical="top" wrapText="1"/>
    </xf>
    <xf numFmtId="0" fontId="18" fillId="11" borderId="3" applyAlignment="1" pivotButton="0" quotePrefix="0" xfId="0">
      <alignment horizontal="left" vertical="top" wrapText="1"/>
    </xf>
    <xf numFmtId="0" fontId="19" fillId="11" borderId="3" applyAlignment="1" pivotButton="0" quotePrefix="0" xfId="0">
      <alignment horizontal="left" vertical="top" wrapText="1"/>
    </xf>
    <xf numFmtId="0" fontId="18" fillId="12" borderId="3" applyAlignment="1" pivotButton="0" quotePrefix="0" xfId="0">
      <alignment horizontal="left" vertical="top" wrapText="1"/>
    </xf>
    <xf numFmtId="0" fontId="19" fillId="12" borderId="3" applyAlignment="1" pivotButton="0" quotePrefix="0" xfId="0">
      <alignment horizontal="left" vertical="top" wrapText="1"/>
    </xf>
    <xf numFmtId="0" fontId="20" fillId="11" borderId="3" applyAlignment="1" pivotButton="0" quotePrefix="0" xfId="0">
      <alignment horizontal="left" vertical="top" wrapText="1"/>
    </xf>
    <xf numFmtId="0" fontId="21" fillId="11" borderId="3" applyAlignment="1" pivotButton="0" quotePrefix="0" xfId="0">
      <alignment horizontal="left" vertical="top" wrapText="1"/>
    </xf>
    <xf numFmtId="0" fontId="20" fillId="12" borderId="3" applyAlignment="1" pivotButton="0" quotePrefix="0" xfId="0">
      <alignment horizontal="left" vertical="top" wrapText="1"/>
    </xf>
    <xf numFmtId="0" fontId="21" fillId="12" borderId="3" applyAlignment="1" pivotButton="0" quotePrefix="0" xfId="0">
      <alignment horizontal="left" vertical="top" wrapText="1"/>
    </xf>
    <xf numFmtId="0" fontId="12" fillId="2" borderId="0" applyAlignment="1" pivotButton="0" quotePrefix="0" xfId="0">
      <alignment horizontal="general" vertical="bottom"/>
    </xf>
    <xf numFmtId="0" fontId="22" fillId="12" borderId="0" applyAlignment="1" pivotButton="0" quotePrefix="0" xfId="0">
      <alignment horizontal="general" vertical="bottom"/>
    </xf>
    <xf numFmtId="0" fontId="22" fillId="5"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23" fillId="0" borderId="0" applyAlignment="1" pivotButton="0" quotePrefix="0" xfId="0">
      <alignment horizontal="general" vertical="bottom"/>
    </xf>
    <xf numFmtId="0" fontId="16" fillId="13" borderId="3" applyAlignment="1" pivotButton="0" quotePrefix="0" xfId="0">
      <alignment horizontal="general" vertical="bottom"/>
    </xf>
    <xf numFmtId="0" fontId="0" fillId="13" borderId="3" applyAlignment="1" pivotButton="0" quotePrefix="0" xfId="0">
      <alignment horizontal="general" vertical="bottom"/>
    </xf>
    <xf numFmtId="0" fontId="18" fillId="11" borderId="3" applyAlignment="1" pivotButton="0" quotePrefix="0" xfId="0">
      <alignment horizontal="left" vertical="center"/>
    </xf>
    <xf numFmtId="0" fontId="19" fillId="11" borderId="3" applyAlignment="1" pivotButton="0" quotePrefix="0" xfId="0">
      <alignment horizontal="left" vertical="center"/>
    </xf>
    <xf numFmtId="0" fontId="18" fillId="12" borderId="3" applyAlignment="1" pivotButton="0" quotePrefix="0" xfId="0">
      <alignment horizontal="left" vertical="center"/>
    </xf>
    <xf numFmtId="0" fontId="19" fillId="12" borderId="3" applyAlignment="1" pivotButton="0" quotePrefix="0" xfId="0">
      <alignment horizontal="left" vertical="center"/>
    </xf>
    <xf numFmtId="0" fontId="20" fillId="11" borderId="3" applyAlignment="1" pivotButton="0" quotePrefix="0" xfId="0">
      <alignment horizontal="left" vertical="center" wrapText="1"/>
    </xf>
    <xf numFmtId="0" fontId="21" fillId="11" borderId="3" applyAlignment="1" pivotButton="0" quotePrefix="0" xfId="0">
      <alignment horizontal="left" vertical="center" wrapText="1"/>
    </xf>
    <xf numFmtId="0" fontId="24" fillId="11" borderId="3" applyAlignment="1" pivotButton="0" quotePrefix="0" xfId="0">
      <alignment horizontal="left" vertical="center" wrapText="1"/>
    </xf>
    <xf numFmtId="0" fontId="20" fillId="12" borderId="3" applyAlignment="1" pivotButton="0" quotePrefix="0" xfId="0">
      <alignment horizontal="left" vertical="center" wrapText="1"/>
    </xf>
    <xf numFmtId="0" fontId="21" fillId="12" borderId="3" applyAlignment="1" pivotButton="0" quotePrefix="0" xfId="0">
      <alignment horizontal="left" vertical="center" wrapText="1"/>
    </xf>
    <xf numFmtId="0" fontId="25" fillId="12" borderId="3" applyAlignment="1" pivotButton="0" quotePrefix="0" xfId="0">
      <alignment horizontal="left" vertical="center" wrapText="1"/>
    </xf>
    <xf numFmtId="0" fontId="24" fillId="12" borderId="3" applyAlignment="1" pivotButton="0" quotePrefix="0" xfId="0">
      <alignment horizontal="left" vertical="center" wrapText="1"/>
    </xf>
    <xf numFmtId="0" fontId="26" fillId="14" borderId="2" applyAlignment="1" pivotButton="0" quotePrefix="0" xfId="0">
      <alignment horizontal="left" vertical="center"/>
    </xf>
    <xf numFmtId="0" fontId="0" fillId="0" borderId="10" pivotButton="0" quotePrefix="0" xfId="0"/>
    <xf numFmtId="0" fontId="0" fillId="0" borderId="11" pivotButton="0" quotePrefix="0" xfId="0"/>
    <xf numFmtId="0" fontId="27" fillId="15" borderId="3" applyAlignment="1" pivotButton="0" quotePrefix="0" xfId="0">
      <alignment horizontal="left" vertical="center" wrapText="1"/>
    </xf>
    <xf numFmtId="0" fontId="0" fillId="0" borderId="14" pivotButton="0" quotePrefix="0" xfId="0"/>
    <xf numFmtId="0" fontId="0" fillId="0" borderId="15" pivotButton="0" quotePrefix="0" xfId="0"/>
    <xf numFmtId="0" fontId="28" fillId="13" borderId="2" applyAlignment="1" pivotButton="0" quotePrefix="0" xfId="0">
      <alignment horizontal="center" vertical="center" wrapText="1"/>
    </xf>
    <xf numFmtId="0" fontId="12" fillId="16" borderId="2" applyAlignment="1" pivotButton="0" quotePrefix="0" xfId="0">
      <alignment horizontal="left" vertical="center"/>
    </xf>
    <xf numFmtId="0" fontId="29" fillId="11" borderId="3" applyAlignment="1" pivotButton="0" quotePrefix="0" xfId="0">
      <alignment horizontal="left" vertical="top" wrapText="1"/>
    </xf>
    <xf numFmtId="0" fontId="30" fillId="11" borderId="3" applyAlignment="1" pivotButton="0" quotePrefix="0" xfId="0">
      <alignment horizontal="left" vertical="top" wrapText="1"/>
    </xf>
    <xf numFmtId="0" fontId="27" fillId="11" borderId="3" applyAlignment="1" pivotButton="0" quotePrefix="0" xfId="0">
      <alignment horizontal="left" vertical="top" wrapText="1"/>
    </xf>
    <xf numFmtId="0" fontId="31" fillId="11" borderId="3" applyAlignment="1" pivotButton="0" quotePrefix="0" xfId="0">
      <alignment horizontal="left" vertical="top" wrapText="1"/>
    </xf>
    <xf numFmtId="0" fontId="32" fillId="11" borderId="3" applyAlignment="1" pivotButton="0" quotePrefix="0" xfId="0">
      <alignment horizontal="left" vertical="top" wrapText="1"/>
    </xf>
    <xf numFmtId="0" fontId="29" fillId="12" borderId="3" applyAlignment="1" pivotButton="0" quotePrefix="0" xfId="0">
      <alignment horizontal="left" vertical="top" wrapText="1"/>
    </xf>
    <xf numFmtId="0" fontId="30" fillId="12" borderId="3" applyAlignment="1" pivotButton="0" quotePrefix="0" xfId="0">
      <alignment horizontal="left" vertical="top" wrapText="1"/>
    </xf>
    <xf numFmtId="0" fontId="27" fillId="12" borderId="3" applyAlignment="1" pivotButton="0" quotePrefix="0" xfId="0">
      <alignment horizontal="left" vertical="top" wrapText="1"/>
    </xf>
    <xf numFmtId="0" fontId="31" fillId="12" borderId="3" applyAlignment="1" pivotButton="0" quotePrefix="0" xfId="0">
      <alignment horizontal="left" vertical="top" wrapText="1"/>
    </xf>
    <xf numFmtId="0" fontId="32" fillId="12" borderId="3" applyAlignment="1" pivotButton="0" quotePrefix="0" xfId="0">
      <alignment horizontal="left" vertical="top" wrapText="1"/>
    </xf>
    <xf numFmtId="0" fontId="12" fillId="17" borderId="2" applyAlignment="1" pivotButton="0" quotePrefix="0" xfId="0">
      <alignment horizontal="left" vertical="center"/>
    </xf>
    <xf numFmtId="0" fontId="25" fillId="11" borderId="3" applyAlignment="1" pivotButton="0" quotePrefix="0" xfId="0">
      <alignment horizontal="left" vertical="top" wrapText="1"/>
    </xf>
    <xf numFmtId="0" fontId="25" fillId="12" borderId="3" applyAlignment="1" pivotButton="0" quotePrefix="0" xfId="0">
      <alignment horizontal="left" vertical="top" wrapText="1"/>
    </xf>
    <xf numFmtId="0" fontId="12" fillId="13" borderId="2" applyAlignment="1" pivotButton="0" quotePrefix="0" xfId="0">
      <alignment horizontal="left" vertical="center"/>
    </xf>
    <xf numFmtId="0" fontId="29" fillId="15" borderId="3" applyAlignment="1" pivotButton="0" quotePrefix="0" xfId="0">
      <alignment horizontal="left" vertical="top" wrapText="1"/>
    </xf>
    <xf numFmtId="0" fontId="30" fillId="15" borderId="3" applyAlignment="1" pivotButton="0" quotePrefix="0" xfId="0">
      <alignment horizontal="left" vertical="top" wrapText="1"/>
    </xf>
    <xf numFmtId="0" fontId="21" fillId="15" borderId="3" applyAlignment="1" pivotButton="0" quotePrefix="0" xfId="0">
      <alignment horizontal="left" vertical="top" wrapText="1"/>
    </xf>
    <xf numFmtId="0" fontId="27" fillId="15" borderId="3" applyAlignment="1" pivotButton="0" quotePrefix="0" xfId="0">
      <alignment horizontal="left" vertical="top" wrapText="1"/>
    </xf>
    <xf numFmtId="0" fontId="31" fillId="15" borderId="3" applyAlignment="1" pivotButton="0" quotePrefix="0" xfId="0">
      <alignment horizontal="left" vertical="top" wrapText="1"/>
    </xf>
    <xf numFmtId="0" fontId="32" fillId="15" borderId="3" applyAlignment="1" pivotButton="0" quotePrefix="0" xfId="0">
      <alignment horizontal="left" vertical="top" wrapText="1"/>
    </xf>
    <xf numFmtId="0" fontId="12" fillId="10" borderId="2" applyAlignment="1" pivotButton="0" quotePrefix="0" xfId="0">
      <alignment horizontal="left" vertical="center"/>
    </xf>
    <xf numFmtId="0" fontId="29" fillId="5" borderId="3" applyAlignment="1" pivotButton="0" quotePrefix="0" xfId="0">
      <alignment horizontal="left" vertical="top" wrapText="1"/>
    </xf>
    <xf numFmtId="0" fontId="30" fillId="5" borderId="3" applyAlignment="1" pivotButton="0" quotePrefix="0" xfId="0">
      <alignment horizontal="left" vertical="top" wrapText="1"/>
    </xf>
    <xf numFmtId="0" fontId="21" fillId="5" borderId="3" applyAlignment="1" pivotButton="0" quotePrefix="0" xfId="0">
      <alignment horizontal="left" vertical="top" wrapText="1"/>
    </xf>
    <xf numFmtId="0" fontId="27" fillId="5" borderId="3" applyAlignment="1" pivotButton="0" quotePrefix="0" xfId="0">
      <alignment horizontal="left" vertical="top" wrapText="1"/>
    </xf>
    <xf numFmtId="0" fontId="31" fillId="5" borderId="3" applyAlignment="1" pivotButton="0" quotePrefix="0" xfId="0">
      <alignment horizontal="left" vertical="top" wrapText="1"/>
    </xf>
    <xf numFmtId="0" fontId="32" fillId="5" borderId="3" applyAlignment="1" pivotButton="0" quotePrefix="0" xfId="0">
      <alignment horizontal="left" vertical="top" wrapText="1"/>
    </xf>
    <xf numFmtId="0" fontId="12" fillId="18" borderId="2" applyAlignment="1" pivotButton="0" quotePrefix="0" xfId="0">
      <alignment horizontal="left" vertical="center"/>
    </xf>
    <xf numFmtId="0" fontId="29" fillId="6" borderId="3" applyAlignment="1" pivotButton="0" quotePrefix="0" xfId="0">
      <alignment horizontal="left" vertical="top" wrapText="1"/>
    </xf>
    <xf numFmtId="0" fontId="30" fillId="6" borderId="3" applyAlignment="1" pivotButton="0" quotePrefix="0" xfId="0">
      <alignment horizontal="left" vertical="top" wrapText="1"/>
    </xf>
    <xf numFmtId="0" fontId="21" fillId="6" borderId="3" applyAlignment="1" pivotButton="0" quotePrefix="0" xfId="0">
      <alignment horizontal="left" vertical="top" wrapText="1"/>
    </xf>
    <xf numFmtId="0" fontId="27" fillId="6" borderId="3" applyAlignment="1" pivotButton="0" quotePrefix="0" xfId="0">
      <alignment horizontal="left" vertical="top" wrapText="1"/>
    </xf>
    <xf numFmtId="0" fontId="31"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15" borderId="3" applyAlignment="1" pivotButton="0" quotePrefix="0" xfId="0">
      <alignment horizontal="left" vertical="top" wrapText="1"/>
    </xf>
    <xf numFmtId="0" fontId="35" fillId="0" borderId="0" pivotButton="0" quotePrefix="0" xfId="0"/>
    <xf numFmtId="0" fontId="36" fillId="28" borderId="16" applyAlignment="1" pivotButton="0" quotePrefix="0" xfId="0">
      <alignment horizontal="center" vertical="center" wrapText="1"/>
    </xf>
    <xf numFmtId="0" fontId="34" fillId="0" borderId="16" applyAlignment="1" pivotButton="0" quotePrefix="0" xfId="0">
      <alignment vertical="top" wrapText="1"/>
    </xf>
    <xf numFmtId="0" fontId="34" fillId="29" borderId="16" applyAlignment="1" pivotButton="0" quotePrefix="0" xfId="0">
      <alignment vertical="top" wrapText="1"/>
    </xf>
    <xf numFmtId="0" fontId="34" fillId="30" borderId="16" applyAlignment="1" pivotButton="0" quotePrefix="0" xfId="0">
      <alignment vertical="top" wrapText="1"/>
    </xf>
    <xf numFmtId="0" fontId="37" fillId="0" borderId="0" pivotButton="0" quotePrefix="0" xfId="0"/>
    <xf numFmtId="0" fontId="38" fillId="0" borderId="0" pivotButton="0" quotePrefix="0" xfId="0"/>
    <xf numFmtId="0" fontId="36" fillId="31" borderId="16" applyAlignment="1" pivotButton="0" quotePrefix="0" xfId="0">
      <alignment horizontal="center" vertical="center" wrapText="1"/>
    </xf>
    <xf numFmtId="0" fontId="34" fillId="32" borderId="16" applyAlignment="1" pivotButton="0" quotePrefix="0" xfId="0">
      <alignment vertical="top" wrapText="1"/>
    </xf>
    <xf numFmtId="0" fontId="34" fillId="33" borderId="16" applyAlignment="1" pivotButton="0" quotePrefix="0" xfId="0">
      <alignment vertical="top" wrapText="1"/>
    </xf>
    <xf numFmtId="0" fontId="36" fillId="34" borderId="16" applyAlignment="1" pivotButton="0" quotePrefix="0" xfId="0">
      <alignment horizontal="center" vertical="center" wrapText="1"/>
    </xf>
    <xf numFmtId="0" fontId="26" fillId="14" borderId="2" applyAlignment="1" pivotButton="0" quotePrefix="0" xfId="0">
      <alignment horizontal="left" vertical="top" wrapText="1"/>
    </xf>
    <xf numFmtId="0" fontId="16" fillId="13" borderId="2" applyAlignment="1" pivotButton="0" quotePrefix="0" xfId="0">
      <alignment horizontal="center" vertical="center" wrapText="1"/>
    </xf>
    <xf numFmtId="0" fontId="12" fillId="16" borderId="2" applyAlignment="1" pivotButton="0" quotePrefix="0" xfId="0">
      <alignment horizontal="left" vertical="top" wrapText="1"/>
    </xf>
    <xf numFmtId="0" fontId="20" fillId="19" borderId="3" applyAlignment="1" pivotButton="0" quotePrefix="0" xfId="0">
      <alignment horizontal="left" vertical="top" wrapText="1"/>
    </xf>
    <xf numFmtId="0" fontId="21" fillId="12" borderId="3" applyAlignment="1" pivotButton="0" quotePrefix="0" xfId="0">
      <alignment horizontal="center" vertical="top" wrapText="1"/>
    </xf>
    <xf numFmtId="0" fontId="21" fillId="11" borderId="3" applyAlignment="1" pivotButton="0" quotePrefix="0" xfId="0">
      <alignment horizontal="center" vertical="top" wrapText="1"/>
    </xf>
    <xf numFmtId="0" fontId="12" fillId="17" borderId="2" applyAlignment="1" pivotButton="0" quotePrefix="0" xfId="0">
      <alignment horizontal="left" vertical="top" wrapText="1"/>
    </xf>
    <xf numFmtId="0" fontId="20" fillId="20" borderId="3" applyAlignment="1" pivotButton="0" quotePrefix="0" xfId="0">
      <alignment horizontal="left" vertical="top" wrapText="1"/>
    </xf>
    <xf numFmtId="0" fontId="12" fillId="13" borderId="2" applyAlignment="1" pivotButton="0" quotePrefix="0" xfId="0">
      <alignment horizontal="left" vertical="top" wrapText="1"/>
    </xf>
    <xf numFmtId="0" fontId="12" fillId="21" borderId="2" applyAlignment="1" pivotButton="0" quotePrefix="0" xfId="0">
      <alignment horizontal="left" vertical="top" wrapText="1"/>
    </xf>
    <xf numFmtId="0" fontId="21" fillId="22" borderId="3" applyAlignment="1" pivotButton="0" quotePrefix="0" xfId="0">
      <alignment horizontal="left" vertical="top" wrapText="1"/>
    </xf>
    <xf numFmtId="0" fontId="20" fillId="22" borderId="3" applyAlignment="1" pivotButton="0" quotePrefix="0" xfId="0">
      <alignment horizontal="left" vertical="top" wrapText="1"/>
    </xf>
    <xf numFmtId="0" fontId="21" fillId="20" borderId="3" applyAlignment="1" pivotButton="0" quotePrefix="0" xfId="0">
      <alignment horizontal="left" vertical="top" wrapText="1"/>
    </xf>
    <xf numFmtId="0" fontId="12" fillId="23" borderId="2" applyAlignment="1" pivotButton="0" quotePrefix="0" xfId="0">
      <alignment horizontal="left" vertical="top" wrapText="1"/>
    </xf>
    <xf numFmtId="0" fontId="21" fillId="24" borderId="3" applyAlignment="1" pivotButton="0" quotePrefix="0" xfId="0">
      <alignment horizontal="left" vertical="top" wrapText="1"/>
    </xf>
    <xf numFmtId="0" fontId="20" fillId="24" borderId="3" applyAlignment="1" pivotButton="0" quotePrefix="0" xfId="0">
      <alignment horizontal="left" vertical="top" wrapText="1"/>
    </xf>
    <xf numFmtId="0" fontId="12" fillId="25" borderId="2" applyAlignment="1" pivotButton="0" quotePrefix="0" xfId="0">
      <alignment horizontal="left" vertical="top" wrapText="1"/>
    </xf>
    <xf numFmtId="0" fontId="21" fillId="26" borderId="3" applyAlignment="1" pivotButton="0" quotePrefix="0" xfId="0">
      <alignment horizontal="left" vertical="top" wrapText="1"/>
    </xf>
    <xf numFmtId="0" fontId="20" fillId="26" borderId="3" applyAlignment="1" pivotButton="0" quotePrefix="0" xfId="0">
      <alignment horizontal="left" vertical="top" wrapText="1"/>
    </xf>
    <xf numFmtId="0" fontId="12" fillId="18" borderId="2" applyAlignment="1" pivotButton="0" quotePrefix="0" xfId="0">
      <alignment horizontal="left" vertical="top" wrapText="1"/>
    </xf>
    <xf numFmtId="0" fontId="21" fillId="27" borderId="3" applyAlignment="1" pivotButton="0" quotePrefix="0" xfId="0">
      <alignment horizontal="left" vertical="top" wrapText="1"/>
    </xf>
    <xf numFmtId="0" fontId="20" fillId="27" borderId="3" applyAlignment="1" pivotButton="0" quotePrefix="0" xfId="0">
      <alignment horizontal="left" vertical="top" wrapText="1"/>
    </xf>
    <xf numFmtId="0" fontId="28" fillId="14" borderId="3" applyAlignment="1" pivotButton="0" quotePrefix="0" xfId="0">
      <alignment horizontal="left" vertical="top" wrapText="1"/>
    </xf>
    <xf numFmtId="0" fontId="30" fillId="11" borderId="3" applyAlignment="1" pivotButton="0" quotePrefix="0" xfId="0">
      <alignment horizontal="left" vertical="center"/>
    </xf>
    <xf numFmtId="0" fontId="21" fillId="11" borderId="3" applyAlignment="1" pivotButton="0" quotePrefix="0" xfId="0">
      <alignment horizontal="left" vertical="center"/>
    </xf>
    <xf numFmtId="0" fontId="30" fillId="12" borderId="3" applyAlignment="1" pivotButton="0" quotePrefix="0" xfId="0">
      <alignment horizontal="left" vertical="center"/>
    </xf>
    <xf numFmtId="0" fontId="21" fillId="12" borderId="3" applyAlignment="1" pivotButton="0" quotePrefix="0" xfId="0">
      <alignment horizontal="left" vertical="center"/>
    </xf>
    <xf numFmtId="0" fontId="39" fillId="35" borderId="0" pivotButton="0" quotePrefix="0" xfId="0"/>
    <xf numFmtId="0" fontId="40" fillId="0" borderId="0" pivotButton="0" quotePrefix="0" xfId="0"/>
    <xf numFmtId="0" fontId="36" fillId="35" borderId="16" pivotButton="0" quotePrefix="0" xfId="0"/>
    <xf numFmtId="0" fontId="0" fillId="35" borderId="16" pivotButton="0" quotePrefix="0" xfId="0"/>
    <xf numFmtId="0" fontId="41" fillId="36" borderId="16" pivotButton="0" quotePrefix="0" xfId="0"/>
    <xf numFmtId="0" fontId="0" fillId="36" borderId="16" pivotButton="0" quotePrefix="0" xfId="0"/>
    <xf numFmtId="0" fontId="36" fillId="28" borderId="16" pivotButton="0" quotePrefix="0" xfId="0"/>
    <xf numFmtId="0" fontId="0" fillId="28" borderId="16" pivotButton="0" quotePrefix="0" xfId="0"/>
    <xf numFmtId="0" fontId="34" fillId="36" borderId="16" applyAlignment="1" pivotButton="0" quotePrefix="0" xfId="0">
      <alignment vertical="top" wrapText="1"/>
    </xf>
    <xf numFmtId="0" fontId="37" fillId="0" borderId="16" applyAlignment="1" pivotButton="0" quotePrefix="0" xfId="0">
      <alignment vertical="top" wrapText="1"/>
    </xf>
    <xf numFmtId="0" fontId="0" fillId="0" borderId="19" pivotButton="0" quotePrefix="0" xfId="0"/>
    <xf numFmtId="0" fontId="0" fillId="0" borderId="2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CE4D6"/>
      <rgbColor rgb="FFFF00FF"/>
      <rgbColor rgb="FF00FFFF"/>
      <rgbColor rgb="FF800000"/>
      <rgbColor rgb="FF008000"/>
      <rgbColor rgb="FF000080"/>
      <rgbColor rgb="FFFFEBEE"/>
      <rgbColor rgb="FF6A1B9A"/>
      <rgbColor rgb="FF00695C"/>
      <rgbColor rgb="FFB4C6E7"/>
      <rgbColor rgb="FF808080"/>
      <rgbColor rgb="FFB0B0B0"/>
      <rgbColor rgb="FF993366"/>
      <rgbColor rgb="FFFFFDE7"/>
      <rgbColor rgb="FFE0F2F1"/>
      <rgbColor rgb="FF660066"/>
      <rgbColor rgb="FFFF6B6B"/>
      <rgbColor rgb="FF2E5090"/>
      <rgbColor rgb="FFB8C8F0"/>
      <rgbColor rgb="FF000080"/>
      <rgbColor rgb="FFFF00FF"/>
      <rgbColor rgb="FFFFF3E0"/>
      <rgbColor rgb="FF00FFFF"/>
      <rgbColor rgb="FF800080"/>
      <rgbColor rgb="FF800000"/>
      <rgbColor rgb="FF3D5299"/>
      <rgbColor rgb="FF0000FF"/>
      <rgbColor rgb="FF00CCFF"/>
      <rgbColor rgb="FFDCE6F9"/>
      <rgbColor rgb="FFE2EFDA"/>
      <rgbColor rgb="FFFFF2CC"/>
      <rgbColor rgb="FFD6E4F0"/>
      <rgbColor rgb="FFF9A825"/>
      <rgbColor rgb="FFF3E5F5"/>
      <rgbColor rgb="FFF4CCCC"/>
      <rgbColor rgb="FF4472C4"/>
      <rgbColor rgb="FFF2F2F2"/>
      <rgbColor rgb="FF70AD47"/>
      <rgbColor rgb="FFFFC000"/>
      <rgbColor rgb="FFFF8F00"/>
      <rgbColor rgb="FFE65100"/>
      <rgbColor rgb="FF606060"/>
      <rgbColor rgb="FF7F7F7F"/>
      <rgbColor rgb="FF1F3864"/>
      <rgbColor rgb="FF2E7D32"/>
      <rgbColor rgb="FF003300"/>
      <rgbColor rgb="FF1F1F1F"/>
      <rgbColor rgb="FFC62828"/>
      <rgbColor rgb="FF993366"/>
      <rgbColor rgb="FF2B3A6B"/>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H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2" min="1" max="1"/>
    <col width="85" customWidth="1" style="122" min="2" max="2"/>
  </cols>
  <sheetData>
    <row r="1" ht="21.75" customHeight="1" s="123">
      <c r="A1" s="124" t="inlineStr">
        <is>
          <t>REVIT TAG AUTOMATION GUIDE v4.3</t>
        </is>
      </c>
    </row>
    <row r="2" ht="15" customHeight="1" s="123">
      <c r="A2" s="125" t="inlineStr">
        <is>
          <t>ISO 19650 compliant  |  STING Tools (C# / WPF)  |  Paragraph engine + warning thresholds + BOQ automation + all-category coverage</t>
        </is>
      </c>
    </row>
    <row r="4" ht="15" customHeight="1" s="123">
      <c r="A4" s="126" t="inlineStr">
        <is>
          <t>KEY CHANGES v4.1 to v4.2</t>
        </is>
      </c>
    </row>
    <row r="6" ht="15" customHeight="1" s="123">
      <c r="A6" s="127" t="inlineStr">
        <is>
          <t>All-category gap analysis</t>
        </is>
      </c>
      <c r="B6" s="128" t="inlineStr">
        <is>
          <t>27 uncovered categories identified, mapped, and assigned paragraph containers. v4.1 covered 20 of 47.</t>
        </is>
      </c>
    </row>
    <row r="7" ht="21.75" customHeight="1" s="123">
      <c r="A7" s="127" t="inlineStr">
        <is>
          <t>Warning/threshold visibility</t>
        </is>
      </c>
      <c r="B7" s="128" t="inlineStr">
        <is>
          <t>Standards-based range checking for 34 measurable parameters. Tag auto-appends warning text when value exceeds IEC/BS/UNBS/KCCA limits.</t>
        </is>
      </c>
    </row>
    <row r="8" ht="21.75" customHeight="1" s="123">
      <c r="A8" s="127" t="inlineStr">
        <is>
          <t>3-state paragraph engine</t>
        </is>
      </c>
      <c r="B8" s="128" t="inlineStr">
        <is>
          <t>TAG_PARA_STATE_1/2/3_BOOL control compact/standard/comprehensive depth. if(&lt;&gt;"") gating for graceful degradation.</t>
        </is>
      </c>
    </row>
    <row r="9" ht="21.75" customHeight="1" s="123">
      <c r="A9" s="127" t="inlineStr">
        <is>
          <t>BOQ automation mapping</t>
        </is>
      </c>
      <c r="B9" s="128" t="inlineStr">
        <is>
          <t>Natural-language BOQ descriptions from Revit schedule calculated values. Prefix/suffix token patterns for 8 BOQ bill types (Arch, Elec, Mech, HVAC, Fire, Plumbing, ICT, Lift).</t>
        </is>
      </c>
    </row>
    <row r="10" ht="32.25" customHeight="1" s="123">
      <c r="A10" s="127" t="inlineStr">
        <is>
          <t>New paragraph containers</t>
        </is>
      </c>
      <c r="B10" s="128" t="inlineStr">
        <is>
          <t>15 new discipline-specific containers added (Plumbing Fixtures, Conduits, Cable Trays, Curtain Panels, Stairs, Ramps, Furniture, Casework, Duct Accessories, Pipe Accessories, Communication/Data/Security/Telephone/Nurse Call Devices, Structural Foundations).</t>
        </is>
      </c>
    </row>
    <row r="11" ht="15" customHeight="1" s="123">
      <c r="A11" s="127" t="inlineStr">
        <is>
          <t>Material paragraph tags</t>
        </is>
      </c>
      <c r="B11" s="128" t="inlineStr">
        <is>
          <t>10 material paragraphs from v4.1 retained and cross-referenced.</t>
        </is>
      </c>
    </row>
    <row r="12" ht="15" customHeight="1" s="123">
      <c r="A12" s="127" t="inlineStr">
        <is>
          <t>BOQ template schedules</t>
        </is>
      </c>
      <c r="B12" s="128" t="inlineStr">
        <is>
          <t>Standard Ugandan BOQ structure mapped to Revit schedule fields for Arch/Str and MEP templates.</t>
        </is>
      </c>
    </row>
    <row r="14" ht="15" customHeight="1" s="123">
      <c r="A14" s="129" t="inlineStr">
        <is>
          <t>v4.3 | 20260301</t>
        </is>
      </c>
    </row>
    <row r="15" ht="15" customHeight="1" s="123">
      <c r="A15" s="122" t="inlineStr">
        <is>
          <t>v4.3 amendment (28-Feb-2026): Tag 7 paragraph engine supersedes 3-paragraph plan — all TAG 7 configurations unified into single sheet 07. Sheet 08: BOQ Automation Map merged &amp; expanded. Sheet 09: PPDA BOQ Template Schedules (full Arch/Str/MEP). Sheet 03 updated: FUNC token confirmed in T1 source pool.</t>
        </is>
      </c>
    </row>
    <row r="16" ht="15" customHeight="1" s="123">
      <c r="A16" s="130" t="inlineStr">
        <is>
          <t>v4.3 amendment: Sheet 07 superseded with unified Tag 7 paragraph engine (3-paragraph plan DEPRECATED). Sheet 08 BOQ Template Schedules added — 9 bills, 35+ schedule definitions, full Uganda PPDA Arch/STR/MEP coverage. Date: 01-Mar-2026</t>
        </is>
      </c>
    </row>
    <row r="18">
      <c r="A18" s="131" t="inlineStr">
        <is>
          <t>v4.3 ENHANCEMENTS | 01-Mar-2026</t>
        </is>
      </c>
    </row>
    <row r="19">
      <c r="A19" s="132" t="inlineStr">
        <is>
          <t>Sheet 09 (NEW): Formula gap analysis — 120 paragraph source params not yet in MR_PARAMETERS, mapped by discipline with data types and priority.</t>
        </is>
      </c>
    </row>
    <row r="20">
      <c r="A20" s="132" t="inlineStr">
        <is>
          <t>Sheet 10 (NEW): All 83 new formulas catalogue — paragraphs (36), warnings (30), derived calcs (17), with full Revit formula, inputs, units, dependency levels.</t>
        </is>
      </c>
    </row>
    <row r="21">
      <c r="A21" s="132" t="inlineStr">
        <is>
          <t>Sheet 11 (NEW): Validation checklist v4.3 — 8 new checks (V-21 to V-28) covering formula input coverage, dependency cycles, warning dedup, and cross-file alignment.</t>
        </is>
      </c>
    </row>
    <row r="22">
      <c r="A22" s="132" t="inlineStr">
        <is>
          <t>FORMULAS_WITH_DEPENDENCIES.csv: 197 → 280 formulas (+83). Paragraph engine, warning thresholds, regulatory/sustainability/construction/electrical/HVAC/plumbing/fire calcs.</t>
        </is>
      </c>
    </row>
    <row r="23">
      <c r="A23" s="132" t="inlineStr">
        <is>
          <t>Gap-analysis derived formulas: Plot coverage, FAR, WWR, R-value, RT60, solar gain, carbon intensity, rebar weight, block count, excavation volume, panel load %, duct velocity, pipe velocity.</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6B6B"/>
    <outlinePr summaryBelow="1" summaryRight="1"/>
    <pageSetUpPr fitToPage="0"/>
  </sheetPr>
  <dimension ref="A1:O5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2" min="1" max="1"/>
    <col width="10" customWidth="1" style="122" min="2" max="2"/>
    <col width="12" customWidth="1" style="122" min="3" max="3"/>
    <col width="20" customWidth="1" style="122" min="4" max="4"/>
    <col width="28" customWidth="1" style="122" min="5" max="5"/>
    <col width="12" customWidth="1" style="122" min="6" max="7"/>
    <col width="45" customWidth="1" style="122" min="8" max="8"/>
    <col width="30" customWidth="1" style="122" min="9" max="9"/>
    <col width="55" customWidth="1" style="122" min="10" max="11"/>
    <col width="16" customWidth="1" style="122" min="12" max="12"/>
    <col width="35" customWidth="1" style="122" min="13" max="13"/>
    <col width="12" customWidth="1" style="122" min="14" max="14"/>
    <col width="45" customWidth="1" style="122" min="15" max="15"/>
  </cols>
  <sheetData>
    <row r="1" ht="15" customHeight="1" s="123">
      <c r="A1" s="133" t="inlineStr">
        <is>
          <t>ALL-CATEGORY COVERAGE GAP ANALYSIS v4.2  |  47 categories, 1030 parameters</t>
        </is>
      </c>
    </row>
    <row r="3" ht="23.25" customHeight="1" s="123">
      <c r="A3" s="134" t="inlineStr">
        <is>
          <t>Category</t>
        </is>
      </c>
      <c r="B3" s="134" t="inlineStr">
        <is>
          <t>Discipline</t>
        </is>
      </c>
      <c r="C3" s="134" t="inlineStr">
        <is>
          <t>v4.1 covered?</t>
        </is>
      </c>
      <c r="D3" s="134" t="inlineStr">
        <is>
          <t>v4.1 tag container</t>
        </is>
      </c>
      <c r="E3" s="134" t="inlineStr">
        <is>
          <t>v4.1 T7 paragraph</t>
        </is>
      </c>
      <c r="F3" s="134" t="inlineStr">
        <is>
          <t>Total bindings</t>
        </is>
      </c>
      <c r="G3" s="134" t="inlineStr">
        <is>
          <t>Useful params</t>
        </is>
      </c>
      <c r="H3" s="134" t="inlineStr">
        <is>
          <t>Key param prefixes (discipline-specific)</t>
        </is>
      </c>
      <c r="I3" s="134" t="inlineStr">
        <is>
          <t>v4.2 proposed T7 container</t>
        </is>
      </c>
      <c r="J3" s="134" t="inlineStr">
        <is>
          <t>v4.2 formula source params</t>
        </is>
      </c>
      <c r="K3" s="134" t="inlineStr">
        <is>
          <t>v4.2 paragraph template</t>
        </is>
      </c>
      <c r="L3" s="134" t="inlineStr">
        <is>
          <t>BOQ bill mapping</t>
        </is>
      </c>
      <c r="M3" s="134" t="inlineStr">
        <is>
          <t>Warning params available</t>
        </is>
      </c>
      <c r="N3" s="134" t="inlineStr">
        <is>
          <t>Priority</t>
        </is>
      </c>
      <c r="O3" s="134" t="inlineStr">
        <is>
          <t>Notes</t>
        </is>
      </c>
    </row>
    <row r="4" ht="15" customHeight="1" s="123">
      <c r="A4" s="135" t="inlineStr">
        <is>
          <t>TIER 1/2 — UNIVERSAL (covered v4.1)</t>
        </is>
      </c>
      <c r="B4" s="136" t="n"/>
      <c r="C4" s="136" t="n"/>
      <c r="D4" s="136" t="n"/>
      <c r="E4" s="136" t="n"/>
      <c r="F4" s="136" t="n"/>
      <c r="G4" s="136" t="n"/>
      <c r="H4" s="136" t="n"/>
      <c r="I4" s="136" t="n"/>
      <c r="J4" s="136" t="n"/>
      <c r="K4" s="136" t="n"/>
      <c r="L4" s="136" t="n"/>
      <c r="M4" s="136" t="n"/>
      <c r="N4" s="136" t="n"/>
      <c r="O4" s="137" t="n"/>
    </row>
    <row r="5" ht="21.75" customHeight="1" s="123">
      <c r="A5" s="138" t="inlineStr">
        <is>
          <t>Walls</t>
        </is>
      </c>
      <c r="B5" s="138" t="inlineStr">
        <is>
          <t>ARCH</t>
        </is>
      </c>
      <c r="C5" s="138">
        <f>TRUE()</f>
        <v/>
      </c>
      <c r="D5" s="138" t="inlineStr">
        <is>
          <t>ASS_TAG_1-6</t>
        </is>
      </c>
      <c r="E5" s="138" t="inlineStr">
        <is>
          <t>ARCH_TAG_7_PARA_WALL_TXT</t>
        </is>
      </c>
      <c r="F5" s="138" t="n">
        <v>222</v>
      </c>
      <c r="G5" s="138" t="n">
        <v>203</v>
      </c>
      <c r="H5" s="138" t="inlineStr">
        <is>
          <t>BLE_WALL_(13), PER_THERM_(8), CST_S_(65)</t>
        </is>
      </c>
      <c r="I5" s="138" t="inlineStr">
        <is>
          <t>—</t>
        </is>
      </c>
      <c r="J5" s="138" t="inlineStr">
        <is>
          <t>—</t>
        </is>
      </c>
      <c r="K5" s="138" t="inlineStr">
        <is>
          <t>—</t>
        </is>
      </c>
      <c r="L5" s="138" t="inlineStr">
        <is>
          <t>Bill No.3 Arch</t>
        </is>
      </c>
      <c r="M5" s="138" t="inlineStr">
        <is>
          <t>PER_THERM_U_VALUE, BLE_WALL_THICKNESS_MM</t>
        </is>
      </c>
      <c r="N5" s="139" t="inlineStr">
        <is>
          <t>IMMEDIATE</t>
        </is>
      </c>
      <c r="O5" s="138" t="inlineStr">
        <is>
          <t>Fully covered v4.1</t>
        </is>
      </c>
    </row>
    <row r="6" ht="21.75" customHeight="1" s="123">
      <c r="A6" s="138" t="inlineStr">
        <is>
          <t>Floors</t>
        </is>
      </c>
      <c r="B6" s="138" t="inlineStr">
        <is>
          <t>ARCH</t>
        </is>
      </c>
      <c r="C6" s="138">
        <f>TRUE()</f>
        <v/>
      </c>
      <c r="D6" s="138" t="inlineStr">
        <is>
          <t>ASS_TAG_1-6</t>
        </is>
      </c>
      <c r="E6" s="138" t="inlineStr">
        <is>
          <t>ARCH_TAG_7_PARA_FLOOR_TXT</t>
        </is>
      </c>
      <c r="F6" s="138" t="n">
        <v>216</v>
      </c>
      <c r="G6" s="138" t="n">
        <v>197</v>
      </c>
      <c r="H6" s="138" t="inlineStr">
        <is>
          <t>BLE_FLR_(9), PER_THERM_(8), CST_S_(65)</t>
        </is>
      </c>
      <c r="I6" s="138" t="inlineStr">
        <is>
          <t>—</t>
        </is>
      </c>
      <c r="J6" s="138" t="inlineStr">
        <is>
          <t>—</t>
        </is>
      </c>
      <c r="K6" s="138" t="inlineStr">
        <is>
          <t>—</t>
        </is>
      </c>
      <c r="L6" s="138" t="inlineStr">
        <is>
          <t>Bill No.3 Arch</t>
        </is>
      </c>
      <c r="M6" s="138" t="inlineStr">
        <is>
          <t>PER_THERM_U_VALUE, BLE_FLR_THICKNESS_MM</t>
        </is>
      </c>
      <c r="N6" s="139" t="inlineStr">
        <is>
          <t>IMMEDIATE</t>
        </is>
      </c>
      <c r="O6" s="138" t="inlineStr">
        <is>
          <t>Fully covered v4.1</t>
        </is>
      </c>
    </row>
    <row r="7" ht="21.75" customHeight="1" s="123">
      <c r="A7" s="138" t="inlineStr">
        <is>
          <t>Doors</t>
        </is>
      </c>
      <c r="B7" s="138" t="inlineStr">
        <is>
          <t>ARCH</t>
        </is>
      </c>
      <c r="C7" s="138">
        <f>TRUE()</f>
        <v/>
      </c>
      <c r="D7" s="138" t="inlineStr">
        <is>
          <t>ASS_TAG_1-6</t>
        </is>
      </c>
      <c r="E7" s="138" t="inlineStr">
        <is>
          <t>ARCH_TAG_7_PARA_DOOR_TXT</t>
        </is>
      </c>
      <c r="F7" s="138" t="n">
        <v>294</v>
      </c>
      <c r="G7" s="138" t="n">
        <v>275</v>
      </c>
      <c r="H7" s="138" t="inlineStr">
        <is>
          <t>BLE_DOOR_(9), FLS_PROT_(3)</t>
        </is>
      </c>
      <c r="I7" s="138" t="inlineStr">
        <is>
          <t>—</t>
        </is>
      </c>
      <c r="J7" s="138" t="inlineStr">
        <is>
          <t>—</t>
        </is>
      </c>
      <c r="K7" s="138" t="inlineStr">
        <is>
          <t>—</t>
        </is>
      </c>
      <c r="L7" s="138" t="inlineStr">
        <is>
          <t>Bill No.3 Arch</t>
        </is>
      </c>
      <c r="M7" s="138" t="inlineStr">
        <is>
          <t>BLE_DOOR_WIDTH_MM, FLS_PROT_FLS_RESISTANCE_RATING</t>
        </is>
      </c>
      <c r="N7" s="139" t="inlineStr">
        <is>
          <t>IMMEDIATE</t>
        </is>
      </c>
      <c r="O7" s="138" t="inlineStr">
        <is>
          <t>Fully covered v4.1</t>
        </is>
      </c>
    </row>
    <row r="8" ht="21.75" customHeight="1" s="123">
      <c r="A8" s="138" t="inlineStr">
        <is>
          <t>Windows</t>
        </is>
      </c>
      <c r="B8" s="138" t="inlineStr">
        <is>
          <t>ARCH</t>
        </is>
      </c>
      <c r="C8" s="138">
        <f>TRUE()</f>
        <v/>
      </c>
      <c r="D8" s="138" t="inlineStr">
        <is>
          <t>ASS_TAG_1-6</t>
        </is>
      </c>
      <c r="E8" s="138" t="inlineStr">
        <is>
          <t>ARCH_TAG_7_PARA_WIN_TXT</t>
        </is>
      </c>
      <c r="F8" s="138" t="n">
        <v>296</v>
      </c>
      <c r="G8" s="138" t="n">
        <v>277</v>
      </c>
      <c r="H8" s="138" t="inlineStr">
        <is>
          <t>BLE_WINDOW_(8), PER_THERM_(8)</t>
        </is>
      </c>
      <c r="I8" s="138" t="inlineStr">
        <is>
          <t>—</t>
        </is>
      </c>
      <c r="J8" s="138" t="inlineStr">
        <is>
          <t>—</t>
        </is>
      </c>
      <c r="K8" s="138" t="inlineStr">
        <is>
          <t>—</t>
        </is>
      </c>
      <c r="L8" s="138" t="inlineStr">
        <is>
          <t>Bill No.3 Arch</t>
        </is>
      </c>
      <c r="M8" s="138" t="inlineStr">
        <is>
          <t>BLE_WINDOW_U_VALUE, BLE_WINDOW_SOLAR_HEAT_GAIN</t>
        </is>
      </c>
      <c r="N8" s="139" t="inlineStr">
        <is>
          <t>IMMEDIATE</t>
        </is>
      </c>
      <c r="O8" s="138" t="inlineStr">
        <is>
          <t>Fully covered v4.1</t>
        </is>
      </c>
    </row>
    <row r="9" ht="21.75" customHeight="1" s="123">
      <c r="A9" s="138" t="inlineStr">
        <is>
          <t>Rooms</t>
        </is>
      </c>
      <c r="B9" s="138" t="inlineStr">
        <is>
          <t>ARCH</t>
        </is>
      </c>
      <c r="C9" s="138">
        <f>TRUE()</f>
        <v/>
      </c>
      <c r="D9" s="138" t="inlineStr">
        <is>
          <t>ASS_TAG_1-6</t>
        </is>
      </c>
      <c r="E9" s="138" t="inlineStr">
        <is>
          <t>ARCH_TAG_7_PARA_ROOM_TXT</t>
        </is>
      </c>
      <c r="F9" s="138" t="n">
        <v>195</v>
      </c>
      <c r="G9" s="138" t="n">
        <v>176</v>
      </c>
      <c r="H9" s="138" t="inlineStr">
        <is>
          <t>BLE_ROOM_(2), ASS_ROOM_(3), ASS_DESIGN_(2)</t>
        </is>
      </c>
      <c r="I9" s="138" t="inlineStr">
        <is>
          <t>—</t>
        </is>
      </c>
      <c r="J9" s="138" t="inlineStr">
        <is>
          <t>—</t>
        </is>
      </c>
      <c r="K9" s="138" t="inlineStr">
        <is>
          <t>—</t>
        </is>
      </c>
      <c r="L9" s="138" t="inlineStr">
        <is>
          <t>N/A</t>
        </is>
      </c>
      <c r="M9" s="138" t="inlineStr">
        <is>
          <t>ASS_DESIGN_LTG_LVL_LUX_NR, ASS_ROOM_AREA_SQ_M</t>
        </is>
      </c>
      <c r="N9" s="139" t="inlineStr">
        <is>
          <t>IMMEDIATE</t>
        </is>
      </c>
      <c r="O9" s="138" t="inlineStr">
        <is>
          <t>Fully covered v4.1</t>
        </is>
      </c>
    </row>
    <row r="10" ht="21.75" customHeight="1" s="123">
      <c r="A10" s="138" t="inlineStr">
        <is>
          <t>Ceilings</t>
        </is>
      </c>
      <c r="B10" s="138" t="inlineStr">
        <is>
          <t>ARCH</t>
        </is>
      </c>
      <c r="C10" s="138">
        <f>TRUE()</f>
        <v/>
      </c>
      <c r="D10" s="138" t="inlineStr">
        <is>
          <t>ASS_TAG_1-6</t>
        </is>
      </c>
      <c r="E10" s="138" t="inlineStr">
        <is>
          <t>MAT paragraphs</t>
        </is>
      </c>
      <c r="F10" s="138" t="n">
        <v>214</v>
      </c>
      <c r="G10" s="138" t="n">
        <v>195</v>
      </c>
      <c r="H10" s="138" t="inlineStr">
        <is>
          <t>CST_S_(65), PER_THERM_(8), PER_ACOUSTICS_(6)</t>
        </is>
      </c>
      <c r="I10" s="138" t="inlineStr">
        <is>
          <t>—</t>
        </is>
      </c>
      <c r="J10" s="138" t="inlineStr">
        <is>
          <t>—</t>
        </is>
      </c>
      <c r="K10" s="138" t="inlineStr">
        <is>
          <t>—</t>
        </is>
      </c>
      <c r="L10" s="138" t="inlineStr">
        <is>
          <t>Bill No.3 Arch</t>
        </is>
      </c>
      <c r="M10" s="138" t="inlineStr">
        <is>
          <t>PER_ACOUSTICS_BACKGROUND_NOISE_DB</t>
        </is>
      </c>
      <c r="N10" s="138" t="inlineStr">
        <is>
          <t>HIGH</t>
        </is>
      </c>
      <c r="O10" s="138" t="inlineStr">
        <is>
          <t>Material paragraphs only in v4.1</t>
        </is>
      </c>
    </row>
    <row r="11" ht="15" customHeight="1" s="123">
      <c r="A11" s="138" t="inlineStr">
        <is>
          <t>Roofs</t>
        </is>
      </c>
      <c r="B11" s="138" t="inlineStr">
        <is>
          <t>ARCH</t>
        </is>
      </c>
      <c r="C11" s="138">
        <f>TRUE()</f>
        <v/>
      </c>
      <c r="D11" s="138" t="inlineStr">
        <is>
          <t>ASS_TAG_1-6</t>
        </is>
      </c>
      <c r="E11" s="138" t="inlineStr">
        <is>
          <t>MAT paragraphs</t>
        </is>
      </c>
      <c r="F11" s="138" t="n">
        <v>201</v>
      </c>
      <c r="G11" s="138" t="n">
        <v>182</v>
      </c>
      <c r="H11" s="138" t="inlineStr">
        <is>
          <t>CST_S_(65), PER_THERM_(8)</t>
        </is>
      </c>
      <c r="I11" s="138" t="inlineStr">
        <is>
          <t>—</t>
        </is>
      </c>
      <c r="J11" s="138" t="inlineStr">
        <is>
          <t>—</t>
        </is>
      </c>
      <c r="K11" s="138" t="inlineStr">
        <is>
          <t>—</t>
        </is>
      </c>
      <c r="L11" s="138" t="inlineStr">
        <is>
          <t>Bill No.3 Arch</t>
        </is>
      </c>
      <c r="M11" s="138" t="inlineStr">
        <is>
          <t>PER_THERM_U_VALUE</t>
        </is>
      </c>
      <c r="N11" s="138" t="inlineStr">
        <is>
          <t>HIGH</t>
        </is>
      </c>
      <c r="O11" s="138" t="inlineStr">
        <is>
          <t>Material paragraphs only in v4.1</t>
        </is>
      </c>
    </row>
    <row r="12" ht="15" customHeight="1" s="123">
      <c r="A12" s="138" t="inlineStr">
        <is>
          <t>Structural Columns</t>
        </is>
      </c>
      <c r="B12" s="138" t="inlineStr">
        <is>
          <t>STR</t>
        </is>
      </c>
      <c r="C12" s="138">
        <f>TRUE()</f>
        <v/>
      </c>
      <c r="D12" s="138" t="inlineStr">
        <is>
          <t>ASS_TAG_1-6</t>
        </is>
      </c>
      <c r="E12" s="138" t="inlineStr">
        <is>
          <t>STR_TAG_7_PARA_COL_TXT</t>
        </is>
      </c>
      <c r="F12" s="138" t="n">
        <v>64</v>
      </c>
      <c r="G12" s="138" t="n">
        <v>51</v>
      </c>
      <c r="H12" s="138" t="inlineStr">
        <is>
          <t>BLE_STRUCT_(13), CST_S_(29), STR_CONC_(1)</t>
        </is>
      </c>
      <c r="I12" s="138" t="inlineStr">
        <is>
          <t>—</t>
        </is>
      </c>
      <c r="J12" s="138" t="inlineStr">
        <is>
          <t>—</t>
        </is>
      </c>
      <c r="K12" s="138" t="inlineStr">
        <is>
          <t>—</t>
        </is>
      </c>
      <c r="L12" s="138" t="inlineStr">
        <is>
          <t>Bill No.3 Arch/Str</t>
        </is>
      </c>
      <c r="M12" s="138" t="inlineStr">
        <is>
          <t>BLE_STRUCT_CONCRETE_GRADE_TXT</t>
        </is>
      </c>
      <c r="N12" s="138" t="inlineStr">
        <is>
          <t>HIGH</t>
        </is>
      </c>
      <c r="O12" s="138" t="inlineStr">
        <is>
          <t>Fully covered v4.1</t>
        </is>
      </c>
    </row>
    <row r="13" ht="15" customHeight="1" s="123">
      <c r="A13" s="138" t="inlineStr">
        <is>
          <t>Structural Framing</t>
        </is>
      </c>
      <c r="B13" s="138" t="inlineStr">
        <is>
          <t>STR</t>
        </is>
      </c>
      <c r="C13" s="138">
        <f>TRUE()</f>
        <v/>
      </c>
      <c r="D13" s="138" t="inlineStr">
        <is>
          <t>ASS_TAG_1-6</t>
        </is>
      </c>
      <c r="E13" s="138" t="inlineStr">
        <is>
          <t>STR_TAG_7_PARA_BEAM_TXT</t>
        </is>
      </c>
      <c r="F13" s="138" t="n">
        <v>94</v>
      </c>
      <c r="G13" s="138" t="n">
        <v>81</v>
      </c>
      <c r="H13" s="138" t="inlineStr">
        <is>
          <t>BLE_STRUCT_(13), CST_S_(29), STR_STEEL_(1)</t>
        </is>
      </c>
      <c r="I13" s="138" t="inlineStr">
        <is>
          <t>—</t>
        </is>
      </c>
      <c r="J13" s="138" t="inlineStr">
        <is>
          <t>—</t>
        </is>
      </c>
      <c r="K13" s="138" t="inlineStr">
        <is>
          <t>—</t>
        </is>
      </c>
      <c r="L13" s="138" t="inlineStr">
        <is>
          <t>Bill No.3 Arch/Str</t>
        </is>
      </c>
      <c r="M13" s="138" t="inlineStr">
        <is>
          <t>BLE_STRUCT_STEEL_GRADE_TXT</t>
        </is>
      </c>
      <c r="N13" s="138" t="inlineStr">
        <is>
          <t>HIGH</t>
        </is>
      </c>
      <c r="O13" s="138" t="inlineStr">
        <is>
          <t>Fully covered v4.1</t>
        </is>
      </c>
    </row>
    <row r="14" ht="21.75" customHeight="1" s="123">
      <c r="A14" s="138" t="inlineStr">
        <is>
          <t>Mechanical Equipment</t>
        </is>
      </c>
      <c r="B14" s="138" t="inlineStr">
        <is>
          <t>HVAC</t>
        </is>
      </c>
      <c r="C14" s="138">
        <f>TRUE()</f>
        <v/>
      </c>
      <c r="D14" s="138" t="inlineStr">
        <is>
          <t>HVC_EQP_TAG_01-03</t>
        </is>
      </c>
      <c r="E14" s="138" t="inlineStr">
        <is>
          <t>HVC_TAG_7_PARA_SPEC_TXT</t>
        </is>
      </c>
      <c r="F14" s="138" t="n">
        <v>344</v>
      </c>
      <c r="G14" s="138" t="n">
        <v>312</v>
      </c>
      <c r="H14" s="138" t="inlineStr">
        <is>
          <t>HVC_CAP_(2), HVC_PWR_(1), HVC_EFF_(1), HVC_REFRIGERANT_(1)</t>
        </is>
      </c>
      <c r="I14" s="138" t="inlineStr">
        <is>
          <t>—</t>
        </is>
      </c>
      <c r="J14" s="138" t="inlineStr">
        <is>
          <t>—</t>
        </is>
      </c>
      <c r="K14" s="138" t="inlineStr">
        <is>
          <t>—</t>
        </is>
      </c>
      <c r="L14" s="138" t="inlineStr">
        <is>
          <t>Bill No.7 HVAC</t>
        </is>
      </c>
      <c r="M14" s="138" t="inlineStr">
        <is>
          <t>HVC_CAP_KW, HVC_EFF_RATIO_NR, HVC_PWR_KW</t>
        </is>
      </c>
      <c r="N14" s="139" t="inlineStr">
        <is>
          <t>IMMEDIATE</t>
        </is>
      </c>
      <c r="O14" s="138" t="inlineStr">
        <is>
          <t>Fully covered v4.1</t>
        </is>
      </c>
    </row>
    <row r="15" ht="15" customHeight="1" s="123">
      <c r="A15" s="138" t="inlineStr">
        <is>
          <t>Ducts</t>
        </is>
      </c>
      <c r="B15" s="138" t="inlineStr">
        <is>
          <t>HVAC</t>
        </is>
      </c>
      <c r="C15" s="138">
        <f>TRUE()</f>
        <v/>
      </c>
      <c r="D15" s="138" t="inlineStr">
        <is>
          <t>HVC_DCT_TAG_01-02</t>
        </is>
      </c>
      <c r="E15" s="138" t="inlineStr">
        <is>
          <t>HVC_TAG_7_PARA_DUCT_TXT</t>
        </is>
      </c>
      <c r="F15" s="138" t="n">
        <v>226</v>
      </c>
      <c r="G15" s="138" t="n">
        <v>194</v>
      </c>
      <c r="H15" s="138" t="inlineStr">
        <is>
          <t>HVC_DCT_(10), HVC_DUCT_(4)</t>
        </is>
      </c>
      <c r="I15" s="138" t="inlineStr">
        <is>
          <t>—</t>
        </is>
      </c>
      <c r="J15" s="138" t="inlineStr">
        <is>
          <t>—</t>
        </is>
      </c>
      <c r="K15" s="138" t="inlineStr">
        <is>
          <t>—</t>
        </is>
      </c>
      <c r="L15" s="138" t="inlineStr">
        <is>
          <t>Bill No.7 HVAC</t>
        </is>
      </c>
      <c r="M15" s="138" t="inlineStr">
        <is>
          <t>HVC_DCT_FLW_CFM, HVC_VEL_MPS</t>
        </is>
      </c>
      <c r="N15" s="139" t="inlineStr">
        <is>
          <t>IMMEDIATE</t>
        </is>
      </c>
      <c r="O15" s="138" t="inlineStr">
        <is>
          <t>Fully covered v4.1</t>
        </is>
      </c>
    </row>
    <row r="16" ht="15" customHeight="1" s="123">
      <c r="A16" s="138" t="inlineStr">
        <is>
          <t>Duct Fittings</t>
        </is>
      </c>
      <c r="B16" s="138" t="inlineStr">
        <is>
          <t>HVAC</t>
        </is>
      </c>
      <c r="C16" s="138">
        <f>TRUE()</f>
        <v/>
      </c>
      <c r="D16" s="138" t="inlineStr">
        <is>
          <t>HVC_DCT_TAG_01-02</t>
        </is>
      </c>
      <c r="E16" s="138" t="inlineStr">
        <is>
          <t>HVC_TAG_7_PARA_DUCT_TXT</t>
        </is>
      </c>
      <c r="F16" s="138" t="n">
        <v>226</v>
      </c>
      <c r="G16" s="138" t="n">
        <v>194</v>
      </c>
      <c r="H16" s="138" t="inlineStr">
        <is>
          <t>HVC_DCT_(10)</t>
        </is>
      </c>
      <c r="I16" s="138" t="inlineStr">
        <is>
          <t>—</t>
        </is>
      </c>
      <c r="J16" s="138" t="inlineStr">
        <is>
          <t>—</t>
        </is>
      </c>
      <c r="K16" s="138" t="inlineStr">
        <is>
          <t>—</t>
        </is>
      </c>
      <c r="L16" s="138" t="inlineStr">
        <is>
          <t>Bill No.7 HVAC</t>
        </is>
      </c>
      <c r="M16" s="138" t="inlineStr">
        <is>
          <t>N/A (fittings counted)</t>
        </is>
      </c>
      <c r="N16" s="139" t="inlineStr">
        <is>
          <t>IMMEDIATE</t>
        </is>
      </c>
      <c r="O16" s="138" t="inlineStr">
        <is>
          <t>Shared with Ducts</t>
        </is>
      </c>
    </row>
    <row r="17" ht="15" customHeight="1" s="123">
      <c r="A17" s="138" t="inlineStr">
        <is>
          <t>Air Terminals</t>
        </is>
      </c>
      <c r="B17" s="138" t="inlineStr">
        <is>
          <t>HVAC</t>
        </is>
      </c>
      <c r="C17" s="138">
        <f>TRUE()</f>
        <v/>
      </c>
      <c r="D17" s="138" t="inlineStr">
        <is>
          <t>HVC_DCT_TAG_03</t>
        </is>
      </c>
      <c r="E17" s="138" t="inlineStr">
        <is>
          <t>HVC_TAG_7_PARA_AT_TXT</t>
        </is>
      </c>
      <c r="F17" s="138" t="n">
        <v>328</v>
      </c>
      <c r="G17" s="138" t="n">
        <v>296</v>
      </c>
      <c r="H17" s="138" t="inlineStr">
        <is>
          <t>HVC_DCT_(10), HVC_TERMINAL_(4)</t>
        </is>
      </c>
      <c r="I17" s="138" t="inlineStr">
        <is>
          <t>—</t>
        </is>
      </c>
      <c r="J17" s="138" t="inlineStr">
        <is>
          <t>—</t>
        </is>
      </c>
      <c r="K17" s="138" t="inlineStr">
        <is>
          <t>—</t>
        </is>
      </c>
      <c r="L17" s="138" t="inlineStr">
        <is>
          <t>Bill No.7 HVAC</t>
        </is>
      </c>
      <c r="M17" s="138" t="inlineStr">
        <is>
          <t>HVC_DCT_TERMINAL_SOUND_DB_NR</t>
        </is>
      </c>
      <c r="N17" s="139" t="inlineStr">
        <is>
          <t>IMMEDIATE</t>
        </is>
      </c>
      <c r="O17" s="138" t="inlineStr">
        <is>
          <t>Fully covered v4.1</t>
        </is>
      </c>
    </row>
    <row r="18" ht="21.75" customHeight="1" s="123">
      <c r="A18" s="138" t="inlineStr">
        <is>
          <t>Electrical Equipment</t>
        </is>
      </c>
      <c r="B18" s="138" t="inlineStr">
        <is>
          <t>ELEC</t>
        </is>
      </c>
      <c r="C18" s="138">
        <f>TRUE()</f>
        <v/>
      </c>
      <c r="D18" s="138" t="inlineStr">
        <is>
          <t>ELC_EQP_TAG_01-02</t>
        </is>
      </c>
      <c r="E18" s="138" t="inlineStr">
        <is>
          <t>ELC_TAG_7_PARA_PANEL_TXT</t>
        </is>
      </c>
      <c r="F18" s="138" t="n">
        <v>359</v>
      </c>
      <c r="G18" s="138" t="n">
        <v>327</v>
      </c>
      <c r="H18" s="138" t="inlineStr">
        <is>
          <t>ELC_PNL_(11), ELC_CBL_(12), ELC_CKT_(8)</t>
        </is>
      </c>
      <c r="I18" s="138" t="inlineStr">
        <is>
          <t>—</t>
        </is>
      </c>
      <c r="J18" s="138" t="inlineStr">
        <is>
          <t>—</t>
        </is>
      </c>
      <c r="K18" s="138" t="inlineStr">
        <is>
          <t>—</t>
        </is>
      </c>
      <c r="L18" s="138" t="inlineStr">
        <is>
          <t>Bill No.4 Elec</t>
        </is>
      </c>
      <c r="M18" s="138" t="inlineStr">
        <is>
          <t>ELC_PNL_CONNECTED_LOAD_KW, ELC_VLT_DROP_PCT</t>
        </is>
      </c>
      <c r="N18" s="139" t="inlineStr">
        <is>
          <t>IMMEDIATE</t>
        </is>
      </c>
      <c r="O18" s="138" t="inlineStr">
        <is>
          <t>Fully covered v4.1</t>
        </is>
      </c>
    </row>
    <row r="19" ht="21.75" customHeight="1" s="123">
      <c r="A19" s="138" t="inlineStr">
        <is>
          <t>Lighting Fixtures</t>
        </is>
      </c>
      <c r="B19" s="138" t="inlineStr">
        <is>
          <t>ELEC</t>
        </is>
      </c>
      <c r="C19" s="138">
        <f>TRUE()</f>
        <v/>
      </c>
      <c r="D19" s="138" t="inlineStr">
        <is>
          <t>LTG_FIX_TAG_01-02</t>
        </is>
      </c>
      <c r="E19" s="138" t="inlineStr">
        <is>
          <t>LTG_TAG_7_PARA_SPEC_TXT</t>
        </is>
      </c>
      <c r="F19" s="138" t="n">
        <v>326</v>
      </c>
      <c r="G19" s="138" t="n">
        <v>294</v>
      </c>
      <c r="H19" s="138" t="inlineStr">
        <is>
          <t>LTG_FIX_(2), LTG_CLR_(2), LTG_EFFICACY_(1)</t>
        </is>
      </c>
      <c r="I19" s="138" t="inlineStr">
        <is>
          <t>—</t>
        </is>
      </c>
      <c r="J19" s="138" t="inlineStr">
        <is>
          <t>—</t>
        </is>
      </c>
      <c r="K19" s="138" t="inlineStr">
        <is>
          <t>—</t>
        </is>
      </c>
      <c r="L19" s="138" t="inlineStr">
        <is>
          <t>Bill No.4 Elec</t>
        </is>
      </c>
      <c r="M19" s="138" t="inlineStr">
        <is>
          <t>LTG_FIX_LMP_WATTAGE_W, LTG_EFFICACY_LM_W</t>
        </is>
      </c>
      <c r="N19" s="139" t="inlineStr">
        <is>
          <t>IMMEDIATE</t>
        </is>
      </c>
      <c r="O19" s="138" t="inlineStr">
        <is>
          <t>Fully covered v4.1</t>
        </is>
      </c>
    </row>
    <row r="20" ht="15" customHeight="1" s="123">
      <c r="A20" s="138" t="inlineStr">
        <is>
          <t>Electrical Fixtures</t>
        </is>
      </c>
      <c r="B20" s="138" t="inlineStr">
        <is>
          <t>ELEC</t>
        </is>
      </c>
      <c r="C20" s="138">
        <f>TRUE()</f>
        <v/>
      </c>
      <c r="D20" s="138" t="inlineStr">
        <is>
          <t>ELE_FIX_TAG_1-2</t>
        </is>
      </c>
      <c r="E20" s="138" t="inlineStr">
        <is>
          <t>ELC_TAG_7_PARA_CIRCUIT_TXT</t>
        </is>
      </c>
      <c r="F20" s="138" t="n">
        <v>340</v>
      </c>
      <c r="G20" s="138" t="n">
        <v>308</v>
      </c>
      <c r="H20" s="138" t="inlineStr">
        <is>
          <t>ELC_CKT_(8), ELC_CBL_(12)</t>
        </is>
      </c>
      <c r="I20" s="138" t="inlineStr">
        <is>
          <t>—</t>
        </is>
      </c>
      <c r="J20" s="138" t="inlineStr">
        <is>
          <t>—</t>
        </is>
      </c>
      <c r="K20" s="138" t="inlineStr">
        <is>
          <t>—</t>
        </is>
      </c>
      <c r="L20" s="138" t="inlineStr">
        <is>
          <t>Bill No.4 Elec</t>
        </is>
      </c>
      <c r="M20" s="138" t="inlineStr">
        <is>
          <t>ELC_VLT_DROP_PCT</t>
        </is>
      </c>
      <c r="N20" s="139" t="inlineStr">
        <is>
          <t>IMMEDIATE</t>
        </is>
      </c>
      <c r="O20" s="138" t="inlineStr">
        <is>
          <t>Fully covered v4.1</t>
        </is>
      </c>
    </row>
    <row r="21" ht="15" customHeight="1" s="123">
      <c r="A21" s="138" t="inlineStr">
        <is>
          <t>Pipes</t>
        </is>
      </c>
      <c r="B21" s="138" t="inlineStr">
        <is>
          <t>PLM</t>
        </is>
      </c>
      <c r="C21" s="138">
        <f>TRUE()</f>
        <v/>
      </c>
      <c r="D21" s="138" t="inlineStr">
        <is>
          <t>PLM_EQP_TAG_01-02</t>
        </is>
      </c>
      <c r="E21" s="138" t="inlineStr">
        <is>
          <t>PLM_TAG_7_PARA_PIPE_TXT</t>
        </is>
      </c>
      <c r="F21" s="138" t="n">
        <v>283</v>
      </c>
      <c r="G21" s="138" t="n">
        <v>251</v>
      </c>
      <c r="H21" s="138" t="inlineStr">
        <is>
          <t>PLM_PPE_(10), PLM_DRN_(24), PLM_VLV_(8)</t>
        </is>
      </c>
      <c r="I21" s="138" t="inlineStr">
        <is>
          <t>—</t>
        </is>
      </c>
      <c r="J21" s="138" t="inlineStr">
        <is>
          <t>—</t>
        </is>
      </c>
      <c r="K21" s="138" t="inlineStr">
        <is>
          <t>—</t>
        </is>
      </c>
      <c r="L21" s="138" t="inlineStr">
        <is>
          <t>Bill No.5 Mech</t>
        </is>
      </c>
      <c r="M21" s="138" t="inlineStr">
        <is>
          <t>PLM_PPE_FLW_LPS, PLM_VEL_MPS</t>
        </is>
      </c>
      <c r="N21" s="139" t="inlineStr">
        <is>
          <t>IMMEDIATE</t>
        </is>
      </c>
      <c r="O21" s="138" t="inlineStr">
        <is>
          <t>Fully covered v4.1</t>
        </is>
      </c>
    </row>
    <row r="22" ht="15" customHeight="1" s="123">
      <c r="A22" s="138" t="inlineStr">
        <is>
          <t>Pipe Fittings</t>
        </is>
      </c>
      <c r="B22" s="138" t="inlineStr">
        <is>
          <t>PLM</t>
        </is>
      </c>
      <c r="C22" s="138">
        <f>TRUE()</f>
        <v/>
      </c>
      <c r="D22" s="138" t="inlineStr">
        <is>
          <t>PLM_EQP_TAG_01</t>
        </is>
      </c>
      <c r="E22" s="138" t="inlineStr">
        <is>
          <t>PLM_TAG_7_PARA_PIPE_TXT</t>
        </is>
      </c>
      <c r="F22" s="138" t="n">
        <v>279</v>
      </c>
      <c r="G22" s="138" t="n">
        <v>247</v>
      </c>
      <c r="H22" s="138" t="inlineStr">
        <is>
          <t>PLM_PPE_(10)</t>
        </is>
      </c>
      <c r="I22" s="138" t="inlineStr">
        <is>
          <t>—</t>
        </is>
      </c>
      <c r="J22" s="138" t="inlineStr">
        <is>
          <t>—</t>
        </is>
      </c>
      <c r="K22" s="138" t="inlineStr">
        <is>
          <t>—</t>
        </is>
      </c>
      <c r="L22" s="138" t="inlineStr">
        <is>
          <t>Bill No.5 Mech</t>
        </is>
      </c>
      <c r="M22" s="138" t="inlineStr">
        <is>
          <t>N/A (fittings counted)</t>
        </is>
      </c>
      <c r="N22" s="139" t="inlineStr">
        <is>
          <t>IMMEDIATE</t>
        </is>
      </c>
      <c r="O22" s="138" t="inlineStr">
        <is>
          <t>Shared with Pipes</t>
        </is>
      </c>
    </row>
    <row r="23" ht="15" customHeight="1" s="123">
      <c r="A23" s="138" t="inlineStr">
        <is>
          <t>Fire Alarm Devices</t>
        </is>
      </c>
      <c r="B23" s="138" t="inlineStr">
        <is>
          <t>FLS</t>
        </is>
      </c>
      <c r="C23" s="138">
        <f>TRUE()</f>
        <v/>
      </c>
      <c r="D23" s="138" t="inlineStr">
        <is>
          <t>FLS_DEV_TAG_01</t>
        </is>
      </c>
      <c r="E23" s="138" t="inlineStr">
        <is>
          <t>FLS_TAG_7_PARA_FA_TXT</t>
        </is>
      </c>
      <c r="F23" s="138" t="n">
        <v>47</v>
      </c>
      <c r="G23" s="138" t="n">
        <v>21</v>
      </c>
      <c r="H23" s="138" t="inlineStr">
        <is>
          <t>FLS_SFTY_(11)</t>
        </is>
      </c>
      <c r="I23" s="138" t="inlineStr">
        <is>
          <t>—</t>
        </is>
      </c>
      <c r="J23" s="138" t="inlineStr">
        <is>
          <t>—</t>
        </is>
      </c>
      <c r="K23" s="138" t="inlineStr">
        <is>
          <t>—</t>
        </is>
      </c>
      <c r="L23" s="138" t="inlineStr">
        <is>
          <t>Bill No.4 Elec</t>
        </is>
      </c>
      <c r="M23" s="138" t="inlineStr">
        <is>
          <t>FLS_SFTY_COVERAGE_AREA_SQ_M</t>
        </is>
      </c>
      <c r="N23" s="139" t="inlineStr">
        <is>
          <t>IMMEDIATE</t>
        </is>
      </c>
      <c r="O23" s="138" t="inlineStr">
        <is>
          <t>Fully covered v4.1</t>
        </is>
      </c>
    </row>
    <row r="24" ht="21.75" customHeight="1" s="123">
      <c r="A24" s="138" t="inlineStr">
        <is>
          <t>Sprinklers</t>
        </is>
      </c>
      <c r="B24" s="138" t="inlineStr">
        <is>
          <t>FLS</t>
        </is>
      </c>
      <c r="C24" s="138">
        <f>TRUE()</f>
        <v/>
      </c>
      <c r="D24" s="138" t="inlineStr">
        <is>
          <t>FLS_DEV_TAG_02</t>
        </is>
      </c>
      <c r="E24" s="138" t="inlineStr">
        <is>
          <t>FLS_TAG_7_PARA_SPR_TXT</t>
        </is>
      </c>
      <c r="F24" s="138" t="n">
        <v>376</v>
      </c>
      <c r="G24" s="138" t="n">
        <v>344</v>
      </c>
      <c r="H24" s="138" t="inlineStr">
        <is>
          <t>FLS_SFTY_(11), FLS_PROT_(3)</t>
        </is>
      </c>
      <c r="I24" s="138" t="inlineStr">
        <is>
          <t>—</t>
        </is>
      </c>
      <c r="J24" s="138" t="inlineStr">
        <is>
          <t>—</t>
        </is>
      </c>
      <c r="K24" s="138" t="inlineStr">
        <is>
          <t>—</t>
        </is>
      </c>
      <c r="L24" s="138" t="inlineStr">
        <is>
          <t>Bill No.6 Fire</t>
        </is>
      </c>
      <c r="M24" s="138" t="inlineStr">
        <is>
          <t>FLS_SFTY_TEMP_RATING_C, FLS_SFTY_FLW_RATE_LPM_NR</t>
        </is>
      </c>
      <c r="N24" s="139" t="inlineStr">
        <is>
          <t>IMMEDIATE</t>
        </is>
      </c>
      <c r="O24" s="138" t="inlineStr">
        <is>
          <t>Fully covered v4.1</t>
        </is>
      </c>
    </row>
    <row r="25" ht="15" customHeight="1" s="123">
      <c r="A25" s="135" t="inlineStr">
        <is>
          <t>CATEGORIES REQUIRING NEW v4.2 COVERAGE</t>
        </is>
      </c>
      <c r="B25" s="136" t="n"/>
      <c r="C25" s="136" t="n"/>
      <c r="D25" s="136" t="n"/>
      <c r="E25" s="136" t="n"/>
      <c r="F25" s="136" t="n"/>
      <c r="G25" s="136" t="n"/>
      <c r="H25" s="136" t="n"/>
      <c r="I25" s="136" t="n"/>
      <c r="J25" s="136" t="n"/>
      <c r="K25" s="136" t="n"/>
      <c r="L25" s="136" t="n"/>
      <c r="M25" s="136" t="n"/>
      <c r="N25" s="136" t="n"/>
      <c r="O25" s="137" t="n"/>
    </row>
    <row r="26" ht="21.75" customHeight="1" s="123">
      <c r="A26" s="140" t="inlineStr">
        <is>
          <t>Plumbing Fixtures</t>
        </is>
      </c>
      <c r="B26" s="140" t="inlineStr">
        <is>
          <t>PLM</t>
        </is>
      </c>
      <c r="C26" s="140">
        <f>FALSE()</f>
        <v/>
      </c>
      <c r="D26" s="140" t="inlineStr">
        <is>
          <t>ASS_TAG_1-6 only</t>
        </is>
      </c>
      <c r="E26" s="140" t="inlineStr">
        <is>
          <t>NONE</t>
        </is>
      </c>
      <c r="F26" s="140" t="n">
        <v>389</v>
      </c>
      <c r="G26" s="140" t="n">
        <v>357</v>
      </c>
      <c r="H26" s="140" t="inlineStr">
        <is>
          <t>PLM_DRN_(24), PLM_VLV_(8), PLM_PPE_(10), PLM_HOTWTR_(6)</t>
        </is>
      </c>
      <c r="I26" s="140" t="inlineStr">
        <is>
          <t>PLM_TAG_7_PARA_FIXTURE_TXT</t>
        </is>
      </c>
      <c r="J26" s="140" t="inlineStr">
        <is>
          <t>ASS_DESCRIPTION+PLM_PPE_MAT+PLM_PPE_SZ+PLM_DRN_BODY_MAT+ASS_MANUFACTURER+ASS_MODEL_NR</t>
        </is>
      </c>
      <c r="K26" s="140" t="inlineStr">
        <is>
          <t>"This [DESC] fixture, [MAT] body, DN[SZ]. Drain: [DRN_MAT] with [TRAP]. By [MFR] model [MDL]."</t>
        </is>
      </c>
      <c r="L26" s="140" t="inlineStr">
        <is>
          <t>Bill No.5 Mech</t>
        </is>
      </c>
      <c r="M26" s="140" t="inlineStr">
        <is>
          <t>PLM_PPE_FLW_LPS, PLM_PSR_KPA</t>
        </is>
      </c>
      <c r="N26" s="141" t="inlineStr">
        <is>
          <t>IMMEDIATE</t>
        </is>
      </c>
      <c r="O26" s="140" t="inlineStr">
        <is>
          <t>HIGH-VALUE GAP: 357 useful params, sanitary fixtures in every BOQ</t>
        </is>
      </c>
    </row>
    <row r="27" ht="21.75" customHeight="1" s="123">
      <c r="A27" s="140" t="inlineStr">
        <is>
          <t>Plumbing Equipment</t>
        </is>
      </c>
      <c r="B27" s="140" t="inlineStr">
        <is>
          <t>PLM</t>
        </is>
      </c>
      <c r="C27" s="140">
        <f>FALSE()</f>
        <v/>
      </c>
      <c r="D27" s="140" t="inlineStr">
        <is>
          <t>ASS_TAG_1-6 only</t>
        </is>
      </c>
      <c r="E27" s="140" t="inlineStr">
        <is>
          <t>NONE</t>
        </is>
      </c>
      <c r="F27" s="140" t="n">
        <v>375</v>
      </c>
      <c r="G27" s="140" t="n">
        <v>343</v>
      </c>
      <c r="H27" s="140" t="inlineStr">
        <is>
          <t>PLM_DRN_(24), PLM_VLV_(8), PLM_HOTWTR_(6), PLM_PPE_(10)</t>
        </is>
      </c>
      <c r="I27" s="140" t="inlineStr">
        <is>
          <t>PLM_TAG_7_PARA_EQUIPMENT_TXT</t>
        </is>
      </c>
      <c r="J27" s="140" t="inlineStr">
        <is>
          <t>ASS_DESCRIPTION+PLM_PWR_KW+PLM_CAP_CU_M+PLM_HED_M+ASS_MANUFACTURER+ASS_MODEL_NR</t>
        </is>
      </c>
      <c r="K27" s="140" t="inlineStr">
        <is>
          <t>"This [DESC], [CAP]m3 capacity, [PWR]kW, [HED]m head. By [MFR] model [MDL]."</t>
        </is>
      </c>
      <c r="L27" s="140" t="inlineStr">
        <is>
          <t>Bill No.5 Mech</t>
        </is>
      </c>
      <c r="M27" s="140" t="inlineStr">
        <is>
          <t>PLM_PWR_KW, PLM_HED_M, PLM_CAP_CU_M</t>
        </is>
      </c>
      <c r="N27" s="141" t="inlineStr">
        <is>
          <t>IMMEDIATE</t>
        </is>
      </c>
      <c r="O27" s="140" t="inlineStr">
        <is>
          <t>HIGH-VALUE GAP: pumps, tanks, heaters</t>
        </is>
      </c>
    </row>
    <row r="28" ht="21.75" customHeight="1" s="123">
      <c r="A28" s="140" t="inlineStr">
        <is>
          <t>Conduits</t>
        </is>
      </c>
      <c r="B28" s="140" t="inlineStr">
        <is>
          <t>ELEC</t>
        </is>
      </c>
      <c r="C28" s="140">
        <f>FALSE()</f>
        <v/>
      </c>
      <c r="D28" s="140" t="inlineStr">
        <is>
          <t>ASS_TAG_1-6 only</t>
        </is>
      </c>
      <c r="E28" s="140" t="inlineStr">
        <is>
          <t>NONE</t>
        </is>
      </c>
      <c r="F28" s="140" t="n">
        <v>333</v>
      </c>
      <c r="G28" s="140" t="n">
        <v>301</v>
      </c>
      <c r="H28" s="140" t="inlineStr">
        <is>
          <t>ELC_CDT_(6), ELC_CBL_(12), ELC_PNL_(9)</t>
        </is>
      </c>
      <c r="I28" s="140" t="inlineStr">
        <is>
          <t>ELC_TAG_7_PARA_CONDUIT_TXT</t>
        </is>
      </c>
      <c r="J28" s="140" t="inlineStr">
        <is>
          <t>ELC_CDT_SZ_MM+ELC_CDT_MAT+ELC_CDT_INSTALL_METHOD+ELC_CDT_CBL_FILL_PCT</t>
        </is>
      </c>
      <c r="K28" s="140" t="inlineStr">
        <is>
          <t>"[SZ]mm [MAT] conduit, [METHOD] installation, [FILL]% cable fill."</t>
        </is>
      </c>
      <c r="L28" s="140" t="inlineStr">
        <is>
          <t>Bill No.4 Elec</t>
        </is>
      </c>
      <c r="M28" s="140" t="inlineStr">
        <is>
          <t>ELC_CDT_CBL_FILL_PCT</t>
        </is>
      </c>
      <c r="N28" s="140" t="inlineStr">
        <is>
          <t>HIGH</t>
        </is>
      </c>
      <c r="O28" s="140" t="inlineStr">
        <is>
          <t>Conduit fill &gt;40% = warning</t>
        </is>
      </c>
    </row>
    <row r="29" ht="15" customHeight="1" s="123">
      <c r="A29" s="140" t="inlineStr">
        <is>
          <t>Conduit Fittings</t>
        </is>
      </c>
      <c r="B29" s="140" t="inlineStr">
        <is>
          <t>ELEC</t>
        </is>
      </c>
      <c r="C29" s="140">
        <f>FALSE()</f>
        <v/>
      </c>
      <c r="D29" s="140" t="inlineStr">
        <is>
          <t>NONE</t>
        </is>
      </c>
      <c r="E29" s="140" t="inlineStr">
        <is>
          <t>NONE</t>
        </is>
      </c>
      <c r="F29" s="140" t="n">
        <v>61</v>
      </c>
      <c r="G29" s="140" t="n">
        <v>35</v>
      </c>
      <c r="H29" s="140" t="inlineStr">
        <is>
          <t>ELC_CDT_(4), ELC_CBL_(12)</t>
        </is>
      </c>
      <c r="I29" s="140" t="inlineStr">
        <is>
          <t>ELC_TAG_7_PARA_CONDUIT_TXT</t>
        </is>
      </c>
      <c r="J29" s="140" t="inlineStr">
        <is>
          <t>(shared with Conduits)</t>
        </is>
      </c>
      <c r="K29" s="140" t="inlineStr">
        <is>
          <t>(shared)</t>
        </is>
      </c>
      <c r="L29" s="140" t="inlineStr">
        <is>
          <t>Bill No.4 Elec</t>
        </is>
      </c>
      <c r="M29" s="140" t="inlineStr">
        <is>
          <t>N/A</t>
        </is>
      </c>
      <c r="N29" s="140" t="inlineStr">
        <is>
          <t>MEDIUM</t>
        </is>
      </c>
      <c r="O29" s="140" t="inlineStr">
        <is>
          <t>Counted, not described</t>
        </is>
      </c>
    </row>
    <row r="30" ht="21.75" customHeight="1" s="123">
      <c r="A30" s="140" t="inlineStr">
        <is>
          <t>Cable Trays</t>
        </is>
      </c>
      <c r="B30" s="140" t="inlineStr">
        <is>
          <t>ELEC</t>
        </is>
      </c>
      <c r="C30" s="140">
        <f>FALSE()</f>
        <v/>
      </c>
      <c r="D30" s="140" t="inlineStr">
        <is>
          <t>ELC_CTR_TAG_01 (T3 only)</t>
        </is>
      </c>
      <c r="E30" s="140" t="inlineStr">
        <is>
          <t>NONE</t>
        </is>
      </c>
      <c r="F30" s="140" t="n">
        <v>332</v>
      </c>
      <c r="G30" s="140" t="n">
        <v>300</v>
      </c>
      <c r="H30" s="140" t="inlineStr">
        <is>
          <t>ELC_CTR_(5), ELC_CBL_(12), ELC_PNL_(9)</t>
        </is>
      </c>
      <c r="I30" s="140" t="inlineStr">
        <is>
          <t>ELC_TAG_7_PARA_TRAY_TXT</t>
        </is>
      </c>
      <c r="J30" s="140" t="inlineStr">
        <is>
          <t>ELC_CTR_WIDTH_MM+ELC_CTR_DEPTH_MM+ELC_CTR_MAT+ELC_CTR_FILL_PCT</t>
        </is>
      </c>
      <c r="K30" s="140" t="inlineStr">
        <is>
          <t>"[W]x[D]mm [MAT] cable tray, [FILL]% fill."</t>
        </is>
      </c>
      <c r="L30" s="140" t="inlineStr">
        <is>
          <t>Bill No.4 Elec</t>
        </is>
      </c>
      <c r="M30" s="140" t="inlineStr">
        <is>
          <t>ELC_CTR_FILL_PCT</t>
        </is>
      </c>
      <c r="N30" s="140" t="inlineStr">
        <is>
          <t>HIGH</t>
        </is>
      </c>
      <c r="O30" s="140" t="inlineStr">
        <is>
          <t>Tray fill &gt;45% = warning</t>
        </is>
      </c>
    </row>
    <row r="31" ht="15" customHeight="1" s="123">
      <c r="A31" s="140" t="inlineStr">
        <is>
          <t>Cable Tray Fittings</t>
        </is>
      </c>
      <c r="B31" s="140" t="inlineStr">
        <is>
          <t>ELEC</t>
        </is>
      </c>
      <c r="C31" s="140">
        <f>FALSE()</f>
        <v/>
      </c>
      <c r="D31" s="140" t="inlineStr">
        <is>
          <t>NONE</t>
        </is>
      </c>
      <c r="E31" s="140" t="inlineStr">
        <is>
          <t>NONE</t>
        </is>
      </c>
      <c r="F31" s="140" t="n">
        <v>53</v>
      </c>
      <c r="G31" s="140" t="n">
        <v>27</v>
      </c>
      <c r="H31" s="140" t="inlineStr">
        <is>
          <t>ELC_CBL_(12)</t>
        </is>
      </c>
      <c r="I31" s="140" t="inlineStr">
        <is>
          <t>ELC_TAG_7_PARA_TRAY_TXT</t>
        </is>
      </c>
      <c r="J31" s="140" t="inlineStr">
        <is>
          <t>(shared with Cable Trays)</t>
        </is>
      </c>
      <c r="K31" s="140" t="inlineStr">
        <is>
          <t>(shared)</t>
        </is>
      </c>
      <c r="L31" s="140" t="inlineStr">
        <is>
          <t>Bill No.4 Elec</t>
        </is>
      </c>
      <c r="M31" s="140" t="inlineStr">
        <is>
          <t>N/A</t>
        </is>
      </c>
      <c r="N31" s="140" t="inlineStr">
        <is>
          <t>LOW</t>
        </is>
      </c>
      <c r="O31" s="140" t="inlineStr">
        <is>
          <t>Counted only</t>
        </is>
      </c>
    </row>
    <row r="32" ht="21.75" customHeight="1" s="123">
      <c r="A32" s="140" t="inlineStr">
        <is>
          <t>Flex Ducts</t>
        </is>
      </c>
      <c r="B32" s="140" t="inlineStr">
        <is>
          <t>HVAC</t>
        </is>
      </c>
      <c r="C32" s="140">
        <f>FALSE()</f>
        <v/>
      </c>
      <c r="D32" s="140" t="inlineStr">
        <is>
          <t>HVC_FLX_TAG_01 (T3 only)</t>
        </is>
      </c>
      <c r="E32" s="140" t="inlineStr">
        <is>
          <t>NONE</t>
        </is>
      </c>
      <c r="F32" s="140" t="n">
        <v>224</v>
      </c>
      <c r="G32" s="140" t="n">
        <v>192</v>
      </c>
      <c r="H32" s="140" t="inlineStr">
        <is>
          <t>HVC_DCT_(8), HVC_DUCT_(4), HVC_TERMINAL_(4)</t>
        </is>
      </c>
      <c r="I32" s="140" t="inlineStr">
        <is>
          <t>HVC_TAG_7_PARA_FLEXDUCT_TXT</t>
        </is>
      </c>
      <c r="J32" s="140" t="inlineStr">
        <is>
          <t>HVC_DCT_MAT+HVC_DUCT_LINING+HVC_VEL_MPS</t>
        </is>
      </c>
      <c r="K32" s="140" t="inlineStr">
        <is>
          <t>"Flexible [MAT] duct, [LINING] lining, [VEL]m/s."</t>
        </is>
      </c>
      <c r="L32" s="140" t="inlineStr">
        <is>
          <t>Bill No.7 HVAC</t>
        </is>
      </c>
      <c r="M32" s="140" t="inlineStr">
        <is>
          <t>HVC_VEL_MPS</t>
        </is>
      </c>
      <c r="N32" s="140" t="inlineStr">
        <is>
          <t>HIGH</t>
        </is>
      </c>
      <c r="O32" s="140" t="inlineStr">
        <is>
          <t>Flex duct velocity &gt;6m/s = warning</t>
        </is>
      </c>
    </row>
    <row r="33" ht="21.75" customHeight="1" s="123">
      <c r="A33" s="140" t="inlineStr">
        <is>
          <t>Duct Accessories</t>
        </is>
      </c>
      <c r="B33" s="140" t="inlineStr">
        <is>
          <t>HVAC</t>
        </is>
      </c>
      <c r="C33" s="140">
        <f>FALSE()</f>
        <v/>
      </c>
      <c r="D33" s="140" t="inlineStr">
        <is>
          <t>HVC_DCT_ACC_TAG_01 (T3 only)</t>
        </is>
      </c>
      <c r="E33" s="140" t="inlineStr">
        <is>
          <t>NONE</t>
        </is>
      </c>
      <c r="F33" s="140" t="n">
        <v>226</v>
      </c>
      <c r="G33" s="140" t="n">
        <v>194</v>
      </c>
      <c r="H33" s="140" t="inlineStr">
        <is>
          <t>HVC_DCT_(10), HVC_DUCT_(4), HVC_TERMINAL_(4)</t>
        </is>
      </c>
      <c r="I33" s="140" t="inlineStr">
        <is>
          <t>HVC_TAG_7_PARA_DCTACC_TXT</t>
        </is>
      </c>
      <c r="J33" s="140" t="inlineStr">
        <is>
          <t>ASS_DESCRIPTION+HVC_DCT_MAT+HVC_CONTROL_TYPE+ASS_MANUFACTURER</t>
        </is>
      </c>
      <c r="K33" s="140" t="inlineStr">
        <is>
          <t>"This [DESC] accessory, [MAT]. Control: [CTRL]. By [MFR]."</t>
        </is>
      </c>
      <c r="L33" s="140" t="inlineStr">
        <is>
          <t>Bill No.7 HVAC</t>
        </is>
      </c>
      <c r="M33" s="140" t="inlineStr">
        <is>
          <t>N/A</t>
        </is>
      </c>
      <c r="N33" s="140" t="inlineStr">
        <is>
          <t>HIGH</t>
        </is>
      </c>
      <c r="O33" s="140" t="inlineStr">
        <is>
          <t>Dampers, fire dampers, attenuators</t>
        </is>
      </c>
    </row>
    <row r="34" ht="21.75" customHeight="1" s="123">
      <c r="A34" s="140" t="inlineStr">
        <is>
          <t>Pipe Accessories</t>
        </is>
      </c>
      <c r="B34" s="140" t="inlineStr">
        <is>
          <t>PLM</t>
        </is>
      </c>
      <c r="C34" s="140">
        <f>FALSE()</f>
        <v/>
      </c>
      <c r="D34" s="140" t="inlineStr">
        <is>
          <t>ASS_TAG_1-6 only</t>
        </is>
      </c>
      <c r="E34" s="140" t="inlineStr">
        <is>
          <t>NONE</t>
        </is>
      </c>
      <c r="F34" s="140" t="n">
        <v>280</v>
      </c>
      <c r="G34" s="140" t="n">
        <v>248</v>
      </c>
      <c r="H34" s="140" t="inlineStr">
        <is>
          <t>PLM_VLV_(8), PLM_ACC_(3), PLM_STR_(4), PLM_EXJ_(6)</t>
        </is>
      </c>
      <c r="I34" s="140" t="inlineStr">
        <is>
          <t>PLM_TAG_7_PARA_PIPEACC_TXT</t>
        </is>
      </c>
      <c r="J34" s="140" t="inlineStr">
        <is>
          <t>ASS_DESCRIPTION+PLM_VLV_BODY_MAT+PLM_VLV_SZ+PLM_VLV_CV+PLM_PSR_KPA</t>
        </is>
      </c>
      <c r="K34" s="140" t="inlineStr">
        <is>
          <t>"This [DESC], [MAT] body, DN[SZ], Cv [CV], PN[PSR]bar."</t>
        </is>
      </c>
      <c r="L34" s="140" t="inlineStr">
        <is>
          <t>Bill No.5 Mech</t>
        </is>
      </c>
      <c r="M34" s="140" t="inlineStr">
        <is>
          <t>PLM_PSR_KPA, PLM_VLV_CV_NR</t>
        </is>
      </c>
      <c r="N34" s="140" t="inlineStr">
        <is>
          <t>HIGH</t>
        </is>
      </c>
      <c r="O34" s="140" t="inlineStr">
        <is>
          <t>Valves, strainers, expansion joints</t>
        </is>
      </c>
    </row>
    <row r="35" ht="21.75" customHeight="1" s="123">
      <c r="A35" s="140" t="inlineStr">
        <is>
          <t>Curtain Panels</t>
        </is>
      </c>
      <c r="B35" s="140" t="inlineStr">
        <is>
          <t>ARCH</t>
        </is>
      </c>
      <c r="C35" s="140">
        <f>FALSE()</f>
        <v/>
      </c>
      <c r="D35" s="140" t="inlineStr">
        <is>
          <t>ASS_TAG_1-6 only</t>
        </is>
      </c>
      <c r="E35" s="140" t="inlineStr">
        <is>
          <t>NONE</t>
        </is>
      </c>
      <c r="F35" s="140" t="n">
        <v>211</v>
      </c>
      <c r="G35" s="140" t="n">
        <v>192</v>
      </c>
      <c r="H35" s="140" t="inlineStr">
        <is>
          <t>BLE_FACADE_(8), BLE_WALL_(13), CST_S_(68)</t>
        </is>
      </c>
      <c r="I35" s="140" t="inlineStr">
        <is>
          <t>ARCH_TAG_7_PARA_FACADE_TXT</t>
        </is>
      </c>
      <c r="J35" s="140" t="inlineStr">
        <is>
          <t>BLE_FACADE_CLR+BLE_FACADE_FINISH+BLE_FACADE_FIX_SYSTEM+BLE_FACADE_GLASS_TYPE+PER_THERM_U_VALUE</t>
        </is>
      </c>
      <c r="K35" s="140" t="inlineStr">
        <is>
          <t>"[CLR] [FINISH] panel, [FIX] fixing, [GLASS]. U:[U]W/m2K."</t>
        </is>
      </c>
      <c r="L35" s="140" t="inlineStr">
        <is>
          <t>Bill No.3 Arch</t>
        </is>
      </c>
      <c r="M35" s="140" t="inlineStr">
        <is>
          <t>PER_THERM_U_VALUE_W_M2K_NR, BLE_FACADE_WTR_PENETRATION</t>
        </is>
      </c>
      <c r="N35" s="140" t="inlineStr">
        <is>
          <t>HIGH</t>
        </is>
      </c>
      <c r="O35" s="140" t="inlineStr">
        <is>
          <t>Facade panels + glazing</t>
        </is>
      </c>
    </row>
    <row r="36" ht="15" customHeight="1" s="123">
      <c r="A36" s="140" t="inlineStr">
        <is>
          <t>Curtain Wall Mullions</t>
        </is>
      </c>
      <c r="B36" s="140" t="inlineStr">
        <is>
          <t>ARCH</t>
        </is>
      </c>
      <c r="C36" s="140">
        <f>FALSE()</f>
        <v/>
      </c>
      <c r="D36" s="140" t="inlineStr">
        <is>
          <t>ASS_TAG_1-6 only</t>
        </is>
      </c>
      <c r="E36" s="140" t="inlineStr">
        <is>
          <t>NONE</t>
        </is>
      </c>
      <c r="F36" s="140" t="n">
        <v>180</v>
      </c>
      <c r="G36" s="140" t="n">
        <v>174</v>
      </c>
      <c r="H36" s="140" t="inlineStr">
        <is>
          <t>BLE_FACADE_(8), CST_S_(67)</t>
        </is>
      </c>
      <c r="I36" s="140" t="inlineStr">
        <is>
          <t>ARCH_TAG_7_PARA_FACADE_TXT</t>
        </is>
      </c>
      <c r="J36" s="140" t="inlineStr">
        <is>
          <t>(shared with Curtain Panels)</t>
        </is>
      </c>
      <c r="K36" s="140" t="inlineStr">
        <is>
          <t>(shared)</t>
        </is>
      </c>
      <c r="L36" s="140" t="inlineStr">
        <is>
          <t>Bill No.3 Arch</t>
        </is>
      </c>
      <c r="M36" s="140" t="inlineStr">
        <is>
          <t>N/A</t>
        </is>
      </c>
      <c r="N36" s="140" t="inlineStr">
        <is>
          <t>MEDIUM</t>
        </is>
      </c>
      <c r="O36" s="140" t="inlineStr">
        <is>
          <t>Shared facade paragraph</t>
        </is>
      </c>
    </row>
    <row r="37" ht="32.25" customHeight="1" s="123">
      <c r="A37" s="140" t="inlineStr">
        <is>
          <t>Stairs</t>
        </is>
      </c>
      <c r="B37" s="140" t="inlineStr">
        <is>
          <t>ARCH</t>
        </is>
      </c>
      <c r="C37" s="140">
        <f>FALSE()</f>
        <v/>
      </c>
      <c r="D37" s="140" t="inlineStr">
        <is>
          <t>ASS_TAG_1-6 only</t>
        </is>
      </c>
      <c r="E37" s="140" t="inlineStr">
        <is>
          <t>NONE</t>
        </is>
      </c>
      <c r="F37" s="140" t="n">
        <v>189</v>
      </c>
      <c r="G37" s="140" t="n">
        <v>170</v>
      </c>
      <c r="H37" s="140" t="inlineStr">
        <is>
          <t>BLE_STAIR_(8), CST_S_(68)</t>
        </is>
      </c>
      <c r="I37" s="140" t="inlineStr">
        <is>
          <t>ARCH_TAG_7_PARA_STAIR_TXT</t>
        </is>
      </c>
      <c r="J37" s="140" t="inlineStr">
        <is>
          <t>BLE_STAIR_MAT+BLE_STAIR_RISE_MM+BLE_STAIR_GOING_MM+BLE_STAIR_WIDTH_MM+BLE_STAIR_TREAD_FINISH</t>
        </is>
      </c>
      <c r="K37" s="140" t="inlineStr">
        <is>
          <t>"[MAT] stair, [RISE]mm rise, [GOING]mm going, [W]mm wide. Tread: [FINISH]. Handrail: [HR_MAT]."</t>
        </is>
      </c>
      <c r="L37" s="140" t="inlineStr">
        <is>
          <t>Bill No.3 Arch</t>
        </is>
      </c>
      <c r="M37" s="140" t="inlineStr">
        <is>
          <t>BLE_STAIR_RISE_MM, BLE_STAIR_GOING_MM, BLE_STAIR_WIDTH_MM</t>
        </is>
      </c>
      <c r="N37" s="140" t="inlineStr">
        <is>
          <t>HIGH</t>
        </is>
      </c>
      <c r="O37" s="140" t="inlineStr">
        <is>
          <t>Rise 150-180mm, going 250-300mm per BS 5395</t>
        </is>
      </c>
    </row>
    <row r="38" ht="21.75" customHeight="1" s="123">
      <c r="A38" s="140" t="inlineStr">
        <is>
          <t>Ramps</t>
        </is>
      </c>
      <c r="B38" s="140" t="inlineStr">
        <is>
          <t>ARCH</t>
        </is>
      </c>
      <c r="C38" s="140">
        <f>FALSE()</f>
        <v/>
      </c>
      <c r="D38" s="140" t="inlineStr">
        <is>
          <t>ASS_TAG_1-6 only</t>
        </is>
      </c>
      <c r="E38" s="140" t="inlineStr">
        <is>
          <t>NONE</t>
        </is>
      </c>
      <c r="F38" s="140" t="n">
        <v>188</v>
      </c>
      <c r="G38" s="140" t="n">
        <v>169</v>
      </c>
      <c r="H38" s="140" t="inlineStr">
        <is>
          <t>BLE_RAMP_(4), CST_S_(68)</t>
        </is>
      </c>
      <c r="I38" s="140" t="inlineStr">
        <is>
          <t>ARCH_TAG_7_PARA_RAMP_TXT</t>
        </is>
      </c>
      <c r="J38" s="140" t="inlineStr">
        <is>
          <t>BLE_RAMP_SLOPE_PCT+BLE_RAMP_SURFACE_FINISH+BLE_RAMP_HANDRAIL_BOTH_SIDES+RGL_ACCESS_CLEAR_WIDTH_MM</t>
        </is>
      </c>
      <c r="K38" s="140" t="inlineStr">
        <is>
          <t>"Ramp at [SLOPE]% gradient, [FINISH] surface. Handrails: [HR]. Clear width: [W]mm."</t>
        </is>
      </c>
      <c r="L38" s="140" t="inlineStr">
        <is>
          <t>N/A</t>
        </is>
      </c>
      <c r="M38" s="140" t="inlineStr">
        <is>
          <t>BLE_RAMP_SLOPE_PCT, RGL_ACCESS_CLEAR_WIDTH_MM</t>
        </is>
      </c>
      <c r="N38" s="140" t="inlineStr">
        <is>
          <t>HIGH</t>
        </is>
      </c>
      <c r="O38" s="140" t="inlineStr">
        <is>
          <t>Slope max 1:12 per Uganda PWD Act 2020</t>
        </is>
      </c>
    </row>
    <row r="39" ht="21.75" customHeight="1" s="123">
      <c r="A39" s="140" t="inlineStr">
        <is>
          <t>Structural Foundations</t>
        </is>
      </c>
      <c r="B39" s="140" t="inlineStr">
        <is>
          <t>STR</t>
        </is>
      </c>
      <c r="C39" s="140">
        <f>FALSE()</f>
        <v/>
      </c>
      <c r="D39" s="140" t="inlineStr">
        <is>
          <t>ASS_TAG_1-6 only</t>
        </is>
      </c>
      <c r="E39" s="140" t="inlineStr">
        <is>
          <t>NONE</t>
        </is>
      </c>
      <c r="F39" s="140" t="n">
        <v>64</v>
      </c>
      <c r="G39" s="140" t="n">
        <v>51</v>
      </c>
      <c r="H39" s="140" t="inlineStr">
        <is>
          <t>BLE_STRUCT_(13), CST_S_(29)</t>
        </is>
      </c>
      <c r="I39" s="140" t="inlineStr">
        <is>
          <t>STR_TAG_7_PARA_FDN_TXT</t>
        </is>
      </c>
      <c r="J39" s="140" t="inlineStr">
        <is>
          <t>BLE_STRUCT_FOUNDATION_SZ+BLE_STRUCT_CONCRETE_GRADE+BLE_STRUCT_REINFORCEMENT</t>
        </is>
      </c>
      <c r="K39" s="140" t="inlineStr">
        <is>
          <t>"[SZ] foundation, [GRADE] concrete, reinforcement: [REINF]."</t>
        </is>
      </c>
      <c r="L39" s="140" t="inlineStr">
        <is>
          <t>Bill No.3 Arch/Str</t>
        </is>
      </c>
      <c r="M39" s="140" t="inlineStr">
        <is>
          <t>BLE_STRUCT_CONCRETE_GRADE_TXT</t>
        </is>
      </c>
      <c r="N39" s="140" t="inlineStr">
        <is>
          <t>HIGH</t>
        </is>
      </c>
      <c r="O39" s="140" t="inlineStr">
        <is>
          <t>Foundation type + grade</t>
        </is>
      </c>
    </row>
    <row r="40" ht="21.75" customHeight="1" s="123">
      <c r="A40" s="140" t="inlineStr">
        <is>
          <t>Casework</t>
        </is>
      </c>
      <c r="B40" s="140" t="inlineStr">
        <is>
          <t>ARCH</t>
        </is>
      </c>
      <c r="C40" s="140">
        <f>FALSE()</f>
        <v/>
      </c>
      <c r="D40" s="140" t="inlineStr">
        <is>
          <t>ASS_TAG_1-6 only</t>
        </is>
      </c>
      <c r="E40" s="140" t="inlineStr">
        <is>
          <t>NONE</t>
        </is>
      </c>
      <c r="F40" s="140" t="n">
        <v>290</v>
      </c>
      <c r="G40" s="140" t="n">
        <v>271</v>
      </c>
      <c r="H40" s="140" t="inlineStr">
        <is>
          <t>CST_S_(65), ASS_(40+), FLS_SFTY_(11)</t>
        </is>
      </c>
      <c r="I40" s="140" t="inlineStr">
        <is>
          <t>ARCH_TAG_7_PARA_CASEWORK_TXT</t>
        </is>
      </c>
      <c r="J40" s="140" t="inlineStr">
        <is>
          <t>ASS_DESCRIPTION+ASS_MANUFACTURER+ASS_MODEL_NR+ASS_CST_TOTAL_UGX_NR+MAT_EPD_REF_TXT</t>
        </is>
      </c>
      <c r="K40" s="140" t="inlineStr">
        <is>
          <t>"This [DESC]. By [MFR] model [MDL]. Material EPD: [EPD]."</t>
        </is>
      </c>
      <c r="L40" s="140" t="inlineStr">
        <is>
          <t>Bill No.3 Arch</t>
        </is>
      </c>
      <c r="M40" s="140" t="inlineStr">
        <is>
          <t>N/A</t>
        </is>
      </c>
      <c r="N40" s="140" t="inlineStr">
        <is>
          <t>MEDIUM</t>
        </is>
      </c>
      <c r="O40" s="140" t="inlineStr">
        <is>
          <t>Kitchen/lab casework, joinery</t>
        </is>
      </c>
    </row>
    <row r="41" ht="21.75" customHeight="1" s="123">
      <c r="A41" s="140" t="inlineStr">
        <is>
          <t>Furniture</t>
        </is>
      </c>
      <c r="B41" s="140" t="inlineStr">
        <is>
          <t>ARCH</t>
        </is>
      </c>
      <c r="C41" s="140">
        <f>FALSE()</f>
        <v/>
      </c>
      <c r="D41" s="140" t="inlineStr">
        <is>
          <t>ASS_TAG_1-6 only</t>
        </is>
      </c>
      <c r="E41" s="140" t="inlineStr">
        <is>
          <t>NONE</t>
        </is>
      </c>
      <c r="F41" s="140" t="n">
        <v>290</v>
      </c>
      <c r="G41" s="140" t="n">
        <v>271</v>
      </c>
      <c r="H41" s="140" t="inlineStr">
        <is>
          <t>CST_S_(65), ASS_(40+)</t>
        </is>
      </c>
      <c r="I41" s="140" t="inlineStr">
        <is>
          <t>ARCH_TAG_7_PARA_FURNITURE_TXT</t>
        </is>
      </c>
      <c r="J41" s="140" t="inlineStr">
        <is>
          <t>ASS_DESCRIPTION+ASS_MANUFACTURER+ASS_MODEL_NR+ASS_CST_TOTAL_UGX_NR</t>
        </is>
      </c>
      <c r="K41" s="140" t="inlineStr">
        <is>
          <t>"This [DESC]. By [MFR] model [MDL]. [STATUS]."</t>
        </is>
      </c>
      <c r="L41" s="140" t="inlineStr">
        <is>
          <t>N/A (FF&amp;E schedule)</t>
        </is>
      </c>
      <c r="M41" s="140" t="inlineStr">
        <is>
          <t>N/A</t>
        </is>
      </c>
      <c r="N41" s="140" t="inlineStr">
        <is>
          <t>MEDIUM</t>
        </is>
      </c>
      <c r="O41" s="140" t="inlineStr">
        <is>
          <t>FF&amp;E schedule export</t>
        </is>
      </c>
    </row>
    <row r="42" ht="21.75" customHeight="1" s="123">
      <c r="A42" s="140" t="inlineStr">
        <is>
          <t>Specialty Equipment</t>
        </is>
      </c>
      <c r="B42" s="140" t="inlineStr">
        <is>
          <t>MULTI</t>
        </is>
      </c>
      <c r="C42" s="140">
        <f>FALSE()</f>
        <v/>
      </c>
      <c r="D42" s="140" t="inlineStr">
        <is>
          <t>ASS_TAG_1-6 only</t>
        </is>
      </c>
      <c r="E42" s="140" t="inlineStr">
        <is>
          <t>NONE</t>
        </is>
      </c>
      <c r="F42" s="140" t="n">
        <v>291</v>
      </c>
      <c r="G42" s="140" t="n">
        <v>272</v>
      </c>
      <c r="H42" s="140" t="inlineStr">
        <is>
          <t>CST_S_(65), ASS_(40+), FLS_SFTY_(11)</t>
        </is>
      </c>
      <c r="I42" s="140" t="inlineStr">
        <is>
          <t>ASS_TAG_7_PARA_EQUIPMENT_TXT</t>
        </is>
      </c>
      <c r="J42" s="140" t="inlineStr">
        <is>
          <t>ASS_DESCRIPTION+ASS_MANUFACTURER+ASS_MODEL_NR+ASS_EQUIPMENT_TAG+ASS_SYSTEM_TYPE</t>
        </is>
      </c>
      <c r="K42" s="140" t="inlineStr">
        <is>
          <t>"This [DESC] ([SYS] system). By [MFR] model [MDL]. Tag: [TAG]."</t>
        </is>
      </c>
      <c r="L42" s="140" t="inlineStr">
        <is>
          <t>Varies by type</t>
        </is>
      </c>
      <c r="M42" s="140" t="inlineStr">
        <is>
          <t>N/A</t>
        </is>
      </c>
      <c r="N42" s="140" t="inlineStr">
        <is>
          <t>MEDIUM</t>
        </is>
      </c>
      <c r="O42" s="140" t="inlineStr">
        <is>
          <t>Lifts, generators, ATS, etc.</t>
        </is>
      </c>
    </row>
    <row r="43" ht="21.75" customHeight="1" s="123">
      <c r="A43" s="140" t="inlineStr">
        <is>
          <t>Communication Devices</t>
        </is>
      </c>
      <c r="B43" s="140" t="inlineStr">
        <is>
          <t>ELEC/ICT</t>
        </is>
      </c>
      <c r="C43" s="140">
        <f>FALSE()</f>
        <v/>
      </c>
      <c r="D43" s="140" t="inlineStr">
        <is>
          <t>COM_DEV_TAG_01 (T3 only)</t>
        </is>
      </c>
      <c r="E43" s="140" t="inlineStr">
        <is>
          <t>NONE</t>
        </is>
      </c>
      <c r="F43" s="140" t="n">
        <v>143</v>
      </c>
      <c r="G43" s="140" t="n">
        <v>117</v>
      </c>
      <c r="H43" s="140" t="inlineStr">
        <is>
          <t>COM_C_(7), ELC_CBL_(12), ELC_PNL_(11)</t>
        </is>
      </c>
      <c r="I43" s="140" t="inlineStr">
        <is>
          <t>COM_TAG_7_PARA_BMS_TXT</t>
        </is>
      </c>
      <c r="J43" s="140" t="inlineStr">
        <is>
          <t>COM_C_DEV_TYPE+COM_C_NETWORK_ADDRESS+COM_C_DEV_BACNET_INSTANCE+COM_C_DEV_CONTROLLER_NAME</t>
        </is>
      </c>
      <c r="K43" s="140" t="inlineStr">
        <is>
          <t>"This [TYPE] device, network [NET], BACnet [ID]. Controller: [CTRL]."</t>
        </is>
      </c>
      <c r="L43" s="140" t="inlineStr">
        <is>
          <t>Bill No.9 ICT</t>
        </is>
      </c>
      <c r="M43" s="140" t="inlineStr">
        <is>
          <t>N/A</t>
        </is>
      </c>
      <c r="N43" s="140" t="inlineStr">
        <is>
          <t>HIGH</t>
        </is>
      </c>
      <c r="O43" s="140" t="inlineStr">
        <is>
          <t>BMS controllers, sensors</t>
        </is>
      </c>
    </row>
    <row r="44" ht="21.75" customHeight="1" s="123">
      <c r="A44" s="140" t="inlineStr">
        <is>
          <t>Data Devices</t>
        </is>
      </c>
      <c r="B44" s="140" t="inlineStr">
        <is>
          <t>ELEC/ICT</t>
        </is>
      </c>
      <c r="C44" s="140">
        <f>FALSE()</f>
        <v/>
      </c>
      <c r="D44" s="140" t="inlineStr">
        <is>
          <t>ICT_DEV_TAG_01 (T3 only)</t>
        </is>
      </c>
      <c r="E44" s="140" t="inlineStr">
        <is>
          <t>NONE</t>
        </is>
      </c>
      <c r="F44" s="140" t="n">
        <v>143</v>
      </c>
      <c r="G44" s="140" t="n">
        <v>117</v>
      </c>
      <c r="H44" s="140" t="inlineStr">
        <is>
          <t>ICT_(4), COM_C_(7), ELC_CBL_(12)</t>
        </is>
      </c>
      <c r="I44" s="140" t="inlineStr">
        <is>
          <t>ICT_TAG_7_PARA_DATA_TXT</t>
        </is>
      </c>
      <c r="J44" s="140" t="inlineStr">
        <is>
          <t>ICT_OUTLET_TYPE+ICT_PORT_NR+ICT_PATCH_PANEL+COM_C_DEV_TYPE</t>
        </is>
      </c>
      <c r="K44" s="140" t="inlineStr">
        <is>
          <t>"[OUTLET] outlet, port [PORT], patch panel [PP]. Type: [TYPE]."</t>
        </is>
      </c>
      <c r="L44" s="140" t="inlineStr">
        <is>
          <t>Bill No.9 ICT</t>
        </is>
      </c>
      <c r="M44" s="140" t="inlineStr">
        <is>
          <t>N/A</t>
        </is>
      </c>
      <c r="N44" s="140" t="inlineStr">
        <is>
          <t>MEDIUM</t>
        </is>
      </c>
      <c r="O44" s="140" t="inlineStr">
        <is>
          <t>Structured cabling outlets</t>
        </is>
      </c>
    </row>
    <row r="45" ht="21.75" customHeight="1" s="123">
      <c r="A45" s="140" t="inlineStr">
        <is>
          <t>Telephone Devices</t>
        </is>
      </c>
      <c r="B45" s="140" t="inlineStr">
        <is>
          <t>ELEC/ICT</t>
        </is>
      </c>
      <c r="C45" s="140">
        <f>FALSE()</f>
        <v/>
      </c>
      <c r="D45" s="140" t="inlineStr">
        <is>
          <t>ICT_DEV_TAG_01 (T3 only)</t>
        </is>
      </c>
      <c r="E45" s="140" t="inlineStr">
        <is>
          <t>NONE</t>
        </is>
      </c>
      <c r="F45" s="140" t="n">
        <v>143</v>
      </c>
      <c r="G45" s="140" t="n">
        <v>117</v>
      </c>
      <c r="H45" s="140" t="inlineStr">
        <is>
          <t>ICT_(4), COM_C_(7), ELC_CBL_(12)</t>
        </is>
      </c>
      <c r="I45" s="140" t="inlineStr">
        <is>
          <t>ICT_TAG_7_PARA_DATA_TXT</t>
        </is>
      </c>
      <c r="J45" s="140" t="inlineStr">
        <is>
          <t>(shared with Data Devices)</t>
        </is>
      </c>
      <c r="K45" s="140" t="inlineStr">
        <is>
          <t>(shared)</t>
        </is>
      </c>
      <c r="L45" s="140" t="inlineStr">
        <is>
          <t>Bill No.9 ICT</t>
        </is>
      </c>
      <c r="M45" s="140" t="inlineStr">
        <is>
          <t>N/A</t>
        </is>
      </c>
      <c r="N45" s="140" t="inlineStr">
        <is>
          <t>MEDIUM</t>
        </is>
      </c>
      <c r="O45" s="140" t="inlineStr">
        <is>
          <t>VoIP / analogue</t>
        </is>
      </c>
    </row>
    <row r="46" ht="21.75" customHeight="1" s="123">
      <c r="A46" s="140" t="inlineStr">
        <is>
          <t>Nurse Call Devices</t>
        </is>
      </c>
      <c r="B46" s="140" t="inlineStr">
        <is>
          <t>ELEC/ICT</t>
        </is>
      </c>
      <c r="C46" s="140">
        <f>FALSE()</f>
        <v/>
      </c>
      <c r="D46" s="140" t="inlineStr">
        <is>
          <t>NCL_DEV_TAG_01 (T3 only)</t>
        </is>
      </c>
      <c r="E46" s="140" t="inlineStr">
        <is>
          <t>NONE</t>
        </is>
      </c>
      <c r="F46" s="140" t="n">
        <v>142</v>
      </c>
      <c r="G46" s="140" t="n">
        <v>116</v>
      </c>
      <c r="H46" s="140" t="inlineStr">
        <is>
          <t>NCL_(3), COM_C_(7), ELC_CBL_(12)</t>
        </is>
      </c>
      <c r="I46" s="140" t="inlineStr">
        <is>
          <t>NCL_TAG_7_PARA_NURSECALL_TXT</t>
        </is>
      </c>
      <c r="J46" s="140" t="inlineStr">
        <is>
          <t>NCL_CALL_TYPE+NCL_ZONE+COM_C_DEV_TYPE+ASS_DESCRIPTION</t>
        </is>
      </c>
      <c r="K46" s="140" t="inlineStr">
        <is>
          <t>"[CALL_TYPE] nurse call, zone [ZONE]. Type: [TYPE]."</t>
        </is>
      </c>
      <c r="L46" s="140" t="inlineStr">
        <is>
          <t>Bill No.9 ICT</t>
        </is>
      </c>
      <c r="M46" s="140" t="inlineStr">
        <is>
          <t>N/A</t>
        </is>
      </c>
      <c r="N46" s="140" t="inlineStr">
        <is>
          <t>PROJECT</t>
        </is>
      </c>
      <c r="O46" s="140" t="inlineStr">
        <is>
          <t>Healthcare only</t>
        </is>
      </c>
    </row>
    <row r="47" ht="21.75" customHeight="1" s="123">
      <c r="A47" s="140" t="inlineStr">
        <is>
          <t>Security Devices</t>
        </is>
      </c>
      <c r="B47" s="140" t="inlineStr">
        <is>
          <t>ELEC/ICT</t>
        </is>
      </c>
      <c r="C47" s="140">
        <f>FALSE()</f>
        <v/>
      </c>
      <c r="D47" s="140" t="inlineStr">
        <is>
          <t>SEC_DEV_TAG_01 (T3 only)</t>
        </is>
      </c>
      <c r="E47" s="140" t="inlineStr">
        <is>
          <t>NONE</t>
        </is>
      </c>
      <c r="F47" s="140" t="n">
        <v>142</v>
      </c>
      <c r="G47" s="140" t="n">
        <v>116</v>
      </c>
      <c r="H47" s="140" t="inlineStr">
        <is>
          <t>SEC_DEV_(2), SEC_CBL_(1), COM_C_(7), ELC_CBL_(12)</t>
        </is>
      </c>
      <c r="I47" s="140" t="inlineStr">
        <is>
          <t>SEC_TAG_7_PARA_SECURITY_TXT</t>
        </is>
      </c>
      <c r="J47" s="140" t="inlineStr">
        <is>
          <t>SEC_DEV_ZONE+SEC_CBL_NR+COM_C_DEV_TYPE+ASS_DESCRIPTION</t>
        </is>
      </c>
      <c r="K47" s="140" t="inlineStr">
        <is>
          <t>"[TYPE] security device, zone [ZONE]. Cable: [CBL]."</t>
        </is>
      </c>
      <c r="L47" s="140" t="inlineStr">
        <is>
          <t>Bill No.9 ICT</t>
        </is>
      </c>
      <c r="M47" s="140" t="inlineStr">
        <is>
          <t>N/A</t>
        </is>
      </c>
      <c r="N47" s="140" t="inlineStr">
        <is>
          <t>MEDIUM</t>
        </is>
      </c>
      <c r="O47" s="140" t="inlineStr">
        <is>
          <t>CCTV, access control, intrusion</t>
        </is>
      </c>
    </row>
    <row r="48" ht="15" customHeight="1" s="123">
      <c r="A48" s="140" t="inlineStr">
        <is>
          <t>Lighting Devices</t>
        </is>
      </c>
      <c r="B48" s="140" t="inlineStr">
        <is>
          <t>ELEC</t>
        </is>
      </c>
      <c r="C48" s="140">
        <f>FALSE()</f>
        <v/>
      </c>
      <c r="D48" s="140" t="inlineStr">
        <is>
          <t>NONE</t>
        </is>
      </c>
      <c r="E48" s="140" t="inlineStr">
        <is>
          <t>NONE</t>
        </is>
      </c>
      <c r="F48" s="140" t="n">
        <v>32</v>
      </c>
      <c r="G48" s="140" t="n">
        <v>6</v>
      </c>
      <c r="H48" s="140" t="inlineStr">
        <is>
          <t>LTG_CLR_(2), LTG_FIX_(2), LTG_EFFICACY_(1)</t>
        </is>
      </c>
      <c r="I48" s="140" t="inlineStr">
        <is>
          <t>LTG_TAG_7_PARA_SPEC_TXT</t>
        </is>
      </c>
      <c r="J48" s="140" t="inlineStr">
        <is>
          <t>(shared with Lighting Fixtures)</t>
        </is>
      </c>
      <c r="K48" s="140" t="inlineStr">
        <is>
          <t>(shared)</t>
        </is>
      </c>
      <c r="L48" s="140" t="inlineStr">
        <is>
          <t>Bill No.4 Elec</t>
        </is>
      </c>
      <c r="M48" s="140" t="inlineStr">
        <is>
          <t>LTG_FIX_LMP_WATTAGE_W</t>
        </is>
      </c>
      <c r="N48" s="140" t="inlineStr">
        <is>
          <t>LOW</t>
        </is>
      </c>
      <c r="O48" s="140" t="inlineStr">
        <is>
          <t>Sensors/controls, share LTG paragraph</t>
        </is>
      </c>
    </row>
    <row r="49" ht="15" customHeight="1" s="123">
      <c r="A49" s="135" t="inlineStr">
        <is>
          <t>EXCLUDED CATEGORIES (system/internal)</t>
        </is>
      </c>
      <c r="B49" s="136" t="n"/>
      <c r="C49" s="136" t="n"/>
      <c r="D49" s="136" t="n"/>
      <c r="E49" s="136" t="n"/>
      <c r="F49" s="136" t="n"/>
      <c r="G49" s="136" t="n"/>
      <c r="H49" s="136" t="n"/>
      <c r="I49" s="136" t="n"/>
      <c r="J49" s="136" t="n"/>
      <c r="K49" s="136" t="n"/>
      <c r="L49" s="136" t="n"/>
      <c r="M49" s="136" t="n"/>
      <c r="N49" s="136" t="n"/>
      <c r="O49" s="137" t="n"/>
    </row>
    <row r="50" ht="15" customHeight="1" s="123">
      <c r="A50" s="138" t="inlineStr">
        <is>
          <t>Generic Models</t>
        </is>
      </c>
      <c r="B50" s="138" t="inlineStr">
        <is>
          <t>MULTI</t>
        </is>
      </c>
      <c r="C50" s="138">
        <f>TRUE()</f>
        <v/>
      </c>
      <c r="D50" s="138" t="inlineStr">
        <is>
          <t>ASS_TAG_1-6</t>
        </is>
      </c>
      <c r="E50" s="138" t="inlineStr">
        <is>
          <t>N/A (too diverse)</t>
        </is>
      </c>
      <c r="F50" s="138" t="n">
        <v>902</v>
      </c>
      <c r="G50" s="138" t="n">
        <v>870</v>
      </c>
      <c r="H50" s="138" t="inlineStr">
        <is>
          <t>All prefixes</t>
        </is>
      </c>
      <c r="I50" s="138" t="inlineStr">
        <is>
          <t>N/A</t>
        </is>
      </c>
      <c r="J50" s="138" t="inlineStr">
        <is>
          <t>N/A</t>
        </is>
      </c>
      <c r="K50" s="138" t="inlineStr">
        <is>
          <t>N/A</t>
        </is>
      </c>
      <c r="L50" s="138" t="inlineStr">
        <is>
          <t>N/A</t>
        </is>
      </c>
      <c r="M50" s="138" t="inlineStr">
        <is>
          <t>N/A</t>
        </is>
      </c>
      <c r="N50" s="138" t="inlineStr">
        <is>
          <t>N/A</t>
        </is>
      </c>
      <c r="O50" s="138" t="inlineStr">
        <is>
          <t>Catch-all: use ASS_TAG_7_PARA_IDENTITY_TXT</t>
        </is>
      </c>
    </row>
    <row r="51" ht="15" customHeight="1" s="123">
      <c r="A51" s="138" t="inlineStr">
        <is>
          <t>Project Information</t>
        </is>
      </c>
      <c r="B51" s="138" t="inlineStr">
        <is>
          <t>SYS</t>
        </is>
      </c>
      <c r="C51" s="138">
        <f>TRUE()</f>
        <v/>
      </c>
      <c r="D51" s="138" t="inlineStr">
        <is>
          <t>TAG_STYLE_*</t>
        </is>
      </c>
      <c r="E51" s="138" t="inlineStr">
        <is>
          <t>N/A</t>
        </is>
      </c>
      <c r="F51" s="138" t="n">
        <v>41</v>
      </c>
      <c r="G51" s="138" t="n">
        <v>0</v>
      </c>
      <c r="H51" s="138" t="inlineStr">
        <is>
          <t>TAG_STYLE_(7), PRJ_(3)</t>
        </is>
      </c>
      <c r="I51" s="138" t="inlineStr">
        <is>
          <t>N/A</t>
        </is>
      </c>
      <c r="J51" s="138" t="inlineStr">
        <is>
          <t>N/A</t>
        </is>
      </c>
      <c r="K51" s="138" t="inlineStr">
        <is>
          <t>N/A</t>
        </is>
      </c>
      <c r="L51" s="138" t="inlineStr">
        <is>
          <t>N/A</t>
        </is>
      </c>
      <c r="M51" s="138" t="inlineStr">
        <is>
          <t>N/A</t>
        </is>
      </c>
      <c r="N51" s="138" t="inlineStr">
        <is>
          <t>N/A</t>
        </is>
      </c>
      <c r="O51" s="138" t="inlineStr">
        <is>
          <t>Style control params only</t>
        </is>
      </c>
    </row>
    <row r="52" ht="15" customHeight="1" s="123">
      <c r="A52" s="138" t="inlineStr">
        <is>
          <t>Materials</t>
        </is>
      </c>
      <c r="B52" s="138" t="inlineStr">
        <is>
          <t>SYS</t>
        </is>
      </c>
      <c r="C52" s="138">
        <f>TRUE()</f>
        <v/>
      </c>
      <c r="D52" s="138" t="inlineStr">
        <is>
          <t>MAT_TAG_7_*</t>
        </is>
      </c>
      <c r="E52" s="138" t="inlineStr">
        <is>
          <t>MAT paragraphs (10)</t>
        </is>
      </c>
      <c r="F52" s="138" t="n">
        <v>105</v>
      </c>
      <c r="G52" s="138" t="n">
        <v>90</v>
      </c>
      <c r="H52" s="138" t="inlineStr">
        <is>
          <t>MAT_(46)</t>
        </is>
      </c>
      <c r="I52" s="138" t="inlineStr">
        <is>
          <t>N/A</t>
        </is>
      </c>
      <c r="J52" s="138" t="inlineStr">
        <is>
          <t>N/A</t>
        </is>
      </c>
      <c r="K52" s="138" t="inlineStr">
        <is>
          <t>N/A</t>
        </is>
      </c>
      <c r="L52" s="138" t="inlineStr">
        <is>
          <t>N/A</t>
        </is>
      </c>
      <c r="M52" s="138" t="inlineStr">
        <is>
          <t>N/A</t>
        </is>
      </c>
      <c r="N52" s="138" t="inlineStr">
        <is>
          <t>N/A</t>
        </is>
      </c>
      <c r="O52" s="138" t="inlineStr">
        <is>
          <t>10 material paragraphs in v4.1</t>
        </is>
      </c>
    </row>
    <row r="53" ht="15" customHeight="1" s="123">
      <c r="A53" s="138" t="inlineStr">
        <is>
          <t>Electrical Circuits</t>
        </is>
      </c>
      <c r="B53" s="138" t="inlineStr">
        <is>
          <t>SYS</t>
        </is>
      </c>
      <c r="C53" s="138">
        <f>TRUE()</f>
        <v/>
      </c>
      <c r="D53" s="138" t="inlineStr">
        <is>
          <t>N/A</t>
        </is>
      </c>
      <c r="E53" s="138" t="inlineStr">
        <is>
          <t>N/A</t>
        </is>
      </c>
      <c r="F53" s="138" t="n">
        <v>17</v>
      </c>
      <c r="G53" s="138" t="n">
        <v>0</v>
      </c>
      <c r="H53" s="138" t="inlineStr">
        <is>
          <t>ELC_CKT_(8)</t>
        </is>
      </c>
      <c r="I53" s="138" t="inlineStr">
        <is>
          <t>N/A</t>
        </is>
      </c>
      <c r="J53" s="138" t="inlineStr">
        <is>
          <t>N/A</t>
        </is>
      </c>
      <c r="K53" s="138" t="inlineStr">
        <is>
          <t>N/A</t>
        </is>
      </c>
      <c r="L53" s="138" t="inlineStr">
        <is>
          <t>N/A</t>
        </is>
      </c>
      <c r="M53" s="138" t="inlineStr">
        <is>
          <t>N/A</t>
        </is>
      </c>
      <c r="N53" s="138" t="inlineStr">
        <is>
          <t>N/A</t>
        </is>
      </c>
      <c r="O53" s="138" t="inlineStr">
        <is>
          <t>System category, not taggable</t>
        </is>
      </c>
    </row>
    <row r="55" ht="15" customHeight="1" s="123">
      <c r="A55" s="142" t="inlineStr">
        <is>
          <t>SUMMARY</t>
        </is>
      </c>
      <c r="B55" s="122" t="inlineStr">
        <is>
          <t>v4.1: 20 covered, v4.2: +27 = 47/47 (100%)</t>
        </is>
      </c>
      <c r="I55" s="122" t="inlineStr">
        <is>
          <t>15 new paragraph containers + 3 shared</t>
        </is>
      </c>
    </row>
  </sheetData>
  <mergeCells count="4">
    <mergeCell ref="A1:O1"/>
    <mergeCell ref="A25:O25"/>
    <mergeCell ref="A4:O4"/>
    <mergeCell ref="A49:O4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C000"/>
    <outlinePr summaryBelow="1" summaryRight="1"/>
    <pageSetUpPr fitToPage="0"/>
  </sheetPr>
  <dimension ref="A1:J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22" min="1" max="1"/>
    <col width="35" customWidth="1" style="122" min="2" max="2"/>
    <col width="10" customWidth="1" style="122" min="3" max="3"/>
    <col width="30" customWidth="1" style="122" min="4" max="4"/>
    <col width="14" customWidth="1" style="122" min="5" max="6"/>
    <col width="35" customWidth="1" style="122" min="7" max="7"/>
    <col width="60" customWidth="1" style="122" min="8" max="8"/>
    <col width="12" customWidth="1" style="122" min="9" max="9"/>
    <col width="45" customWidth="1" style="122" min="10" max="10"/>
  </cols>
  <sheetData>
    <row r="1" ht="15" customHeight="1" s="123">
      <c r="A1" s="133" t="inlineStr">
        <is>
          <t>WARNING / THRESHOLD VISIBILITY SYSTEM v4.2  |  Standards-based range checking for Tag 7 paragraph engine</t>
        </is>
      </c>
    </row>
    <row r="2" ht="15" customHeight="1" s="123">
      <c r="A2" s="129" t="inlineStr">
        <is>
          <t>Mechanism: calculated value in Edit Label uses if(PARAM &lt; MIN or PARAM &gt; MAX, " [!WARNING: text]", "") appended to paragraph tier. STING Tools sets threshold params from project type.</t>
        </is>
      </c>
    </row>
    <row r="4" ht="15" customHeight="1" s="123">
      <c r="A4" s="134" t="inlineStr">
        <is>
          <t>Parameter</t>
        </is>
      </c>
      <c r="B4" s="134" t="inlineStr">
        <is>
          <t>Category scope</t>
        </is>
      </c>
      <c r="C4" s="134" t="inlineStr">
        <is>
          <t>Unit</t>
        </is>
      </c>
      <c r="D4" s="134" t="inlineStr">
        <is>
          <t>Standard/code</t>
        </is>
      </c>
      <c r="E4" s="134" t="inlineStr">
        <is>
          <t>Min threshold</t>
        </is>
      </c>
      <c r="F4" s="134" t="inlineStr">
        <is>
          <t>Max threshold</t>
        </is>
      </c>
      <c r="G4" s="134" t="inlineStr">
        <is>
          <t>Warning text (appended to tag)</t>
        </is>
      </c>
      <c r="H4" s="134" t="inlineStr">
        <is>
          <t>Revit formula pattern</t>
        </is>
      </c>
      <c r="I4" s="134" t="inlineStr">
        <is>
          <t>Severity</t>
        </is>
      </c>
      <c r="J4" s="134" t="inlineStr">
        <is>
          <t>Notes</t>
        </is>
      </c>
    </row>
    <row r="5" ht="15" customHeight="1" s="123">
      <c r="A5" s="135" t="inlineStr">
        <is>
          <t>THERMAL PERFORMANCE</t>
        </is>
      </c>
      <c r="B5" s="136" t="n"/>
      <c r="C5" s="136" t="n"/>
      <c r="D5" s="136" t="n"/>
      <c r="E5" s="136" t="n"/>
      <c r="F5" s="136" t="n"/>
      <c r="G5" s="136" t="n"/>
      <c r="H5" s="136" t="n"/>
      <c r="I5" s="136" t="n"/>
      <c r="J5" s="137" t="n"/>
    </row>
    <row r="6" ht="15" customHeight="1" s="123">
      <c r="A6" s="140" t="inlineStr">
        <is>
          <t>PER_THERM_U_VALUE_W_M2K_NR</t>
        </is>
      </c>
      <c r="B6" s="140" t="inlineStr">
        <is>
          <t>Walls</t>
        </is>
      </c>
      <c r="C6" s="140" t="inlineStr">
        <is>
          <t>W/m2K</t>
        </is>
      </c>
      <c r="D6" s="140" t="inlineStr">
        <is>
          <t>Uganda NBC / ISO 6946</t>
        </is>
      </c>
      <c r="E6" s="140" t="n"/>
      <c r="F6" s="140" t="inlineStr">
        <is>
          <t>0.70</t>
        </is>
      </c>
      <c r="G6" s="140" t="inlineStr">
        <is>
          <t>[!U-VALUE EXCEEDS 0.70 W/m2K]</t>
        </is>
      </c>
      <c r="H6" s="140" t="inlineStr">
        <is>
          <t>if(PER_THERM_U_VALUE_W_M2K_NR &gt; 0.70, " [!U &gt; 0.70]", "")</t>
        </is>
      </c>
      <c r="I6" s="140" t="inlineStr">
        <is>
          <t>HIGH</t>
        </is>
      </c>
      <c r="J6" s="140" t="inlineStr">
        <is>
          <t>Tropical climate: external walls. Internal walls exempt.</t>
        </is>
      </c>
    </row>
    <row r="7" ht="15" customHeight="1" s="123">
      <c r="A7" s="140" t="inlineStr">
        <is>
          <t>PER_THERM_U_VALUE_W_M2K_NR</t>
        </is>
      </c>
      <c r="B7" s="140" t="inlineStr">
        <is>
          <t>Roofs</t>
        </is>
      </c>
      <c r="C7" s="140" t="inlineStr">
        <is>
          <t>W/m2K</t>
        </is>
      </c>
      <c r="D7" s="140" t="inlineStr">
        <is>
          <t>Uganda NBC</t>
        </is>
      </c>
      <c r="E7" s="140" t="n"/>
      <c r="F7" s="140" t="inlineStr">
        <is>
          <t>0.50</t>
        </is>
      </c>
      <c r="G7" s="140" t="inlineStr">
        <is>
          <t>[!U-VALUE EXCEEDS 0.50 W/m2K]</t>
        </is>
      </c>
      <c r="H7" s="140" t="inlineStr">
        <is>
          <t>if(PER_THERM_U_VALUE_W_M2K_NR &gt; 0.50, " [!U &gt; 0.50]", "")</t>
        </is>
      </c>
      <c r="I7" s="140" t="inlineStr">
        <is>
          <t>HIGH</t>
        </is>
      </c>
      <c r="J7" s="140" t="inlineStr">
        <is>
          <t>Roof U-value more restrictive than walls</t>
        </is>
      </c>
    </row>
    <row r="8" ht="15" customHeight="1" s="123">
      <c r="A8" s="143" t="inlineStr">
        <is>
          <t>PER_THERM_U_VALUE_W_M2K_NR</t>
        </is>
      </c>
      <c r="B8" s="143" t="inlineStr">
        <is>
          <t>Floors</t>
        </is>
      </c>
      <c r="C8" s="143" t="inlineStr">
        <is>
          <t>W/m2K</t>
        </is>
      </c>
      <c r="D8" s="143" t="inlineStr">
        <is>
          <t>Uganda NBC</t>
        </is>
      </c>
      <c r="E8" s="143" t="n"/>
      <c r="F8" s="143" t="inlineStr">
        <is>
          <t>0.70</t>
        </is>
      </c>
      <c r="G8" s="143" t="inlineStr">
        <is>
          <t>[!U-VALUE EXCEEDS 0.70 W/m2K]</t>
        </is>
      </c>
      <c r="H8" s="143" t="inlineStr">
        <is>
          <t>if(PER_THERM_U_VALUE_W_M2K_NR &gt; 0.70, " [!U &gt; 0.70]", "")</t>
        </is>
      </c>
      <c r="I8" s="143" t="inlineStr">
        <is>
          <t>MEDIUM</t>
        </is>
      </c>
      <c r="J8" s="143" t="inlineStr">
        <is>
          <t>Ground floors / suspended</t>
        </is>
      </c>
    </row>
    <row r="9" ht="15" customHeight="1" s="123">
      <c r="A9" s="140" t="inlineStr">
        <is>
          <t>BLE_WINDOW_U_VALUE_W_M_2K_NR</t>
        </is>
      </c>
      <c r="B9" s="140" t="inlineStr">
        <is>
          <t>Windows</t>
        </is>
      </c>
      <c r="C9" s="140" t="inlineStr">
        <is>
          <t>W/m2K</t>
        </is>
      </c>
      <c r="D9" s="140" t="inlineStr">
        <is>
          <t>IEC / ASHRAE 90.1</t>
        </is>
      </c>
      <c r="E9" s="140" t="n"/>
      <c r="F9" s="140" t="inlineStr">
        <is>
          <t>3.00</t>
        </is>
      </c>
      <c r="G9" s="140" t="inlineStr">
        <is>
          <t>[!WINDOW U &gt; 3.00 W/m2K]</t>
        </is>
      </c>
      <c r="H9" s="140" t="inlineStr">
        <is>
          <t>if(BLE_WINDOW_U_VALUE_W_M_2K_NR &gt; 3.00, " [!U &gt; 3.00]", "")</t>
        </is>
      </c>
      <c r="I9" s="140" t="inlineStr">
        <is>
          <t>HIGH</t>
        </is>
      </c>
      <c r="J9" s="140" t="inlineStr">
        <is>
          <t>Tropical: less strict than temperate</t>
        </is>
      </c>
    </row>
    <row r="10" ht="21.75" customHeight="1" s="123">
      <c r="A10" s="140" t="inlineStr">
        <is>
          <t>BLE_WINDOW_SOLAR_HEAT_GAIN_COEFFICIENT_NR</t>
        </is>
      </c>
      <c r="B10" s="140" t="inlineStr">
        <is>
          <t>Windows</t>
        </is>
      </c>
      <c r="C10" s="140" t="inlineStr">
        <is>
          <t>ratio</t>
        </is>
      </c>
      <c r="D10" s="140" t="inlineStr">
        <is>
          <t>ASHRAE 90.1 tropical</t>
        </is>
      </c>
      <c r="E10" s="140" t="n"/>
      <c r="F10" s="140" t="inlineStr">
        <is>
          <t>0.40</t>
        </is>
      </c>
      <c r="G10" s="140" t="inlineStr">
        <is>
          <t>[!SHGC EXCEEDS 0.40]</t>
        </is>
      </c>
      <c r="H10" s="140" t="inlineStr">
        <is>
          <t>if(BLE_WINDOW_SOLAR_HEAT_GAIN_COEFFICIENT_NR &gt; 0.40, " [!SHGC &gt; 0.40]", "")</t>
        </is>
      </c>
      <c r="I10" s="140" t="inlineStr">
        <is>
          <t>HIGH</t>
        </is>
      </c>
      <c r="J10" s="140" t="inlineStr">
        <is>
          <t>East/West facades critical</t>
        </is>
      </c>
    </row>
    <row r="11" ht="15" customHeight="1" s="123">
      <c r="A11" s="135" t="inlineStr">
        <is>
          <t>ELECTRICAL</t>
        </is>
      </c>
      <c r="B11" s="136" t="n"/>
      <c r="C11" s="136" t="n"/>
      <c r="D11" s="136" t="n"/>
      <c r="E11" s="136" t="n"/>
      <c r="F11" s="136" t="n"/>
      <c r="G11" s="136" t="n"/>
      <c r="H11" s="136" t="n"/>
      <c r="I11" s="136" t="n"/>
      <c r="J11" s="137" t="n"/>
    </row>
    <row r="12" ht="15" customHeight="1" s="123">
      <c r="A12" s="144" t="inlineStr">
        <is>
          <t>ELC_VLT_DROP_PCT</t>
        </is>
      </c>
      <c r="B12" s="144" t="inlineStr">
        <is>
          <t>Electrical Equipment, Electrical Fixtures</t>
        </is>
      </c>
      <c r="C12" s="144" t="inlineStr">
        <is>
          <t>%</t>
        </is>
      </c>
      <c r="D12" s="144" t="inlineStr">
        <is>
          <t>IEC 60364-5-52 / BS 7671</t>
        </is>
      </c>
      <c r="E12" s="144" t="n"/>
      <c r="F12" s="144" t="inlineStr">
        <is>
          <t>4.0</t>
        </is>
      </c>
      <c r="G12" s="144" t="inlineStr">
        <is>
          <t>[!VD EXCEEDS 4%]</t>
        </is>
      </c>
      <c r="H12" s="144" t="inlineStr">
        <is>
          <t>if(ELC_VLT_DROP_PCT &gt; 4.0, " [!VD &gt; 4%]", "")</t>
        </is>
      </c>
      <c r="I12" s="144" t="inlineStr">
        <is>
          <t>CRITICAL</t>
        </is>
      </c>
      <c r="J12" s="144" t="inlineStr">
        <is>
          <t>Final circuit limit. Submain: 2.5%.</t>
        </is>
      </c>
    </row>
    <row r="13" ht="15" customHeight="1" s="123">
      <c r="A13" s="140" t="inlineStr">
        <is>
          <t>ELC_CDT_CBL_FILL_PCT</t>
        </is>
      </c>
      <c r="B13" s="140" t="inlineStr">
        <is>
          <t>Conduits</t>
        </is>
      </c>
      <c r="C13" s="140" t="inlineStr">
        <is>
          <t>%</t>
        </is>
      </c>
      <c r="D13" s="140" t="inlineStr">
        <is>
          <t>IEC 60364 / BS 7671</t>
        </is>
      </c>
      <c r="E13" s="140" t="n"/>
      <c r="F13" s="140" t="inlineStr">
        <is>
          <t>40</t>
        </is>
      </c>
      <c r="G13" s="140" t="inlineStr">
        <is>
          <t>[!CONDUIT FILL &gt; 40%]</t>
        </is>
      </c>
      <c r="H13" s="140" t="inlineStr">
        <is>
          <t>if(ELC_CDT_CBL_FILL_PCT &gt; 40, " [!FILL &gt; 40%]", "")</t>
        </is>
      </c>
      <c r="I13" s="140" t="inlineStr">
        <is>
          <t>HIGH</t>
        </is>
      </c>
      <c r="J13" s="140" t="inlineStr">
        <is>
          <t>40% for 3+ cables</t>
        </is>
      </c>
    </row>
    <row r="14" ht="15" customHeight="1" s="123">
      <c r="A14" s="140" t="inlineStr">
        <is>
          <t>ELC_CTR_FILL_PCT</t>
        </is>
      </c>
      <c r="B14" s="140" t="inlineStr">
        <is>
          <t>Cable Trays</t>
        </is>
      </c>
      <c r="C14" s="140" t="inlineStr">
        <is>
          <t>%</t>
        </is>
      </c>
      <c r="D14" s="140" t="inlineStr">
        <is>
          <t>IEC 61537</t>
        </is>
      </c>
      <c r="E14" s="140" t="n"/>
      <c r="F14" s="140" t="inlineStr">
        <is>
          <t>45</t>
        </is>
      </c>
      <c r="G14" s="140" t="inlineStr">
        <is>
          <t>[!TRAY FILL &gt; 45%]</t>
        </is>
      </c>
      <c r="H14" s="140" t="inlineStr">
        <is>
          <t>if(ELC_CTR_FILL_PCT &gt; 45, " [!FILL &gt; 45%]", "")</t>
        </is>
      </c>
      <c r="I14" s="140" t="inlineStr">
        <is>
          <t>HIGH</t>
        </is>
      </c>
      <c r="J14" s="140" t="inlineStr">
        <is>
          <t>Power cables. Data: 50% OK.</t>
        </is>
      </c>
    </row>
    <row r="15" ht="21.75" customHeight="1" s="123">
      <c r="A15" s="144" t="inlineStr">
        <is>
          <t>ELC_PNL_CONNECTED_LOAD_KW</t>
        </is>
      </c>
      <c r="B15" s="144" t="inlineStr">
        <is>
          <t>Electrical Equipment</t>
        </is>
      </c>
      <c r="C15" s="144" t="inlineStr">
        <is>
          <t>kW</t>
        </is>
      </c>
      <c r="D15" s="144" t="inlineStr">
        <is>
          <t>Design practice</t>
        </is>
      </c>
      <c r="E15" s="144" t="n"/>
      <c r="F15" s="144" t="inlineStr">
        <is>
          <t>(80% of panel rating)</t>
        </is>
      </c>
      <c r="G15" s="144" t="inlineStr">
        <is>
          <t>[!LOAD &gt; 80% PANEL CAPACITY]</t>
        </is>
      </c>
      <c r="H15" s="144" t="inlineStr">
        <is>
          <t>if(ELC_PNL_CONNECTED_LOAD_KW &gt; ELC_PNL_RATED_KW * 0.8, " [!OVERLOADED]", "")</t>
        </is>
      </c>
      <c r="I15" s="144" t="inlineStr">
        <is>
          <t>CRITICAL</t>
        </is>
      </c>
      <c r="J15" s="144" t="inlineStr">
        <is>
          <t>Needs ELC_PNL_RATED_KW param (new)</t>
        </is>
      </c>
    </row>
    <row r="16" ht="15" customHeight="1" s="123">
      <c r="A16" s="143" t="inlineStr">
        <is>
          <t>ELC_PNL_SHORT_CIRCUIT_KA</t>
        </is>
      </c>
      <c r="B16" s="143" t="inlineStr">
        <is>
          <t>Electrical Equipment</t>
        </is>
      </c>
      <c r="C16" s="143" t="inlineStr">
        <is>
          <t>kA</t>
        </is>
      </c>
      <c r="D16" s="143" t="inlineStr">
        <is>
          <t>IEC 60947-2</t>
        </is>
      </c>
      <c r="E16" s="143" t="inlineStr">
        <is>
          <t>6</t>
        </is>
      </c>
      <c r="F16" s="143" t="n"/>
      <c r="G16" s="143" t="inlineStr">
        <is>
          <t>[!FAULT LEVEL &lt; 6kA]</t>
        </is>
      </c>
      <c r="H16" s="143" t="inlineStr">
        <is>
          <t>if(ELC_PNL_SHORT_CIRCUIT_KA &lt; 6, " [!SC &lt; 6kA]", "")</t>
        </is>
      </c>
      <c r="I16" s="143" t="inlineStr">
        <is>
          <t>MEDIUM</t>
        </is>
      </c>
      <c r="J16" s="143" t="inlineStr">
        <is>
          <t>Minimum for MCBs</t>
        </is>
      </c>
    </row>
    <row r="17" ht="15" customHeight="1" s="123">
      <c r="A17" s="135" t="inlineStr">
        <is>
          <t>PLUMBING / DRAINAGE</t>
        </is>
      </c>
      <c r="B17" s="136" t="n"/>
      <c r="C17" s="136" t="n"/>
      <c r="D17" s="136" t="n"/>
      <c r="E17" s="136" t="n"/>
      <c r="F17" s="136" t="n"/>
      <c r="G17" s="136" t="n"/>
      <c r="H17" s="136" t="n"/>
      <c r="I17" s="136" t="n"/>
      <c r="J17" s="137" t="n"/>
    </row>
    <row r="18" ht="15" customHeight="1" s="123">
      <c r="A18" s="143" t="inlineStr">
        <is>
          <t>PLM_PPE_FLW_LPS</t>
        </is>
      </c>
      <c r="B18" s="143" t="inlineStr">
        <is>
          <t>Pipes (hot water)</t>
        </is>
      </c>
      <c r="C18" s="143" t="inlineStr">
        <is>
          <t>L/s</t>
        </is>
      </c>
      <c r="D18" s="143" t="inlineStr">
        <is>
          <t>BS EN 806-3</t>
        </is>
      </c>
      <c r="E18" s="143" t="n"/>
      <c r="F18" s="143" t="inlineStr">
        <is>
          <t>2.0</t>
        </is>
      </c>
      <c r="G18" s="143" t="inlineStr">
        <is>
          <t>[!FLOW &gt; 2.0 L/s]</t>
        </is>
      </c>
      <c r="H18" s="143" t="inlineStr">
        <is>
          <t>if(PLM_PPE_FLW_LPS &gt; 2.0, " [!FLOW &gt; 2.0]", "")</t>
        </is>
      </c>
      <c r="I18" s="143" t="inlineStr">
        <is>
          <t>MEDIUM</t>
        </is>
      </c>
      <c r="J18" s="143" t="inlineStr">
        <is>
          <t>HW recirculation limit</t>
        </is>
      </c>
    </row>
    <row r="19" ht="15" customHeight="1" s="123">
      <c r="A19" s="140" t="inlineStr">
        <is>
          <t>PLM_VEL_MPS</t>
        </is>
      </c>
      <c r="B19" s="140" t="inlineStr">
        <is>
          <t>Pipes</t>
        </is>
      </c>
      <c r="C19" s="140" t="inlineStr">
        <is>
          <t>m/s</t>
        </is>
      </c>
      <c r="D19" s="140" t="inlineStr">
        <is>
          <t>BS EN 806-3 / CIBSE</t>
        </is>
      </c>
      <c r="E19" s="140" t="n"/>
      <c r="F19" s="140" t="inlineStr">
        <is>
          <t>2.0</t>
        </is>
      </c>
      <c r="G19" s="140" t="inlineStr">
        <is>
          <t>[!VELOCITY &gt; 2.0 m/s]</t>
        </is>
      </c>
      <c r="H19" s="140" t="inlineStr">
        <is>
          <t>if(PLM_VEL_MPS &gt; 2.0, " [!VEL &gt; 2.0]", "")</t>
        </is>
      </c>
      <c r="I19" s="140" t="inlineStr">
        <is>
          <t>HIGH</t>
        </is>
      </c>
      <c r="J19" s="140" t="inlineStr">
        <is>
          <t>Noise threshold. &gt;3.0 = erosion.</t>
        </is>
      </c>
    </row>
    <row r="20" ht="15" customHeight="1" s="123">
      <c r="A20" s="143" t="inlineStr">
        <is>
          <t>PLM_PSR_KPA</t>
        </is>
      </c>
      <c r="B20" s="143" t="inlineStr">
        <is>
          <t>Pipes, Plumbing Equipment</t>
        </is>
      </c>
      <c r="C20" s="143" t="inlineStr">
        <is>
          <t>kPa</t>
        </is>
      </c>
      <c r="D20" s="143" t="inlineStr">
        <is>
          <t>NWSC supply</t>
        </is>
      </c>
      <c r="E20" s="143" t="inlineStr">
        <is>
          <t>150</t>
        </is>
      </c>
      <c r="F20" s="143" t="inlineStr">
        <is>
          <t>600</t>
        </is>
      </c>
      <c r="G20" s="143" t="inlineStr">
        <is>
          <t>[!PRESSURE OUT OF RANGE]</t>
        </is>
      </c>
      <c r="H20" s="143" t="inlineStr">
        <is>
          <t>if(or(PLM_PSR_KPA &lt; 150, PLM_PSR_KPA &gt; 600), " [!PSR]", "")</t>
        </is>
      </c>
      <c r="I20" s="143" t="inlineStr">
        <is>
          <t>MEDIUM</t>
        </is>
      </c>
      <c r="J20" s="143" t="inlineStr">
        <is>
          <t>NWSC typical 150-400 kPa</t>
        </is>
      </c>
    </row>
    <row r="21" ht="15" customHeight="1" s="123">
      <c r="A21" s="135" t="inlineStr">
        <is>
          <t>HVAC</t>
        </is>
      </c>
      <c r="B21" s="136" t="n"/>
      <c r="C21" s="136" t="n"/>
      <c r="D21" s="136" t="n"/>
      <c r="E21" s="136" t="n"/>
      <c r="F21" s="136" t="n"/>
      <c r="G21" s="136" t="n"/>
      <c r="H21" s="136" t="n"/>
      <c r="I21" s="136" t="n"/>
      <c r="J21" s="137" t="n"/>
    </row>
    <row r="22" ht="15" customHeight="1" s="123">
      <c r="A22" s="140" t="inlineStr">
        <is>
          <t>HVC_VEL_MPS</t>
        </is>
      </c>
      <c r="B22" s="140" t="inlineStr">
        <is>
          <t>Ducts (supply)</t>
        </is>
      </c>
      <c r="C22" s="140" t="inlineStr">
        <is>
          <t>m/s</t>
        </is>
      </c>
      <c r="D22" s="140" t="inlineStr">
        <is>
          <t>CIBSE Guide B / ASHRAE</t>
        </is>
      </c>
      <c r="E22" s="140" t="n"/>
      <c r="F22" s="140" t="inlineStr">
        <is>
          <t>6.0</t>
        </is>
      </c>
      <c r="G22" s="140" t="inlineStr">
        <is>
          <t>[!DUCT VEL &gt; 6.0 m/s]</t>
        </is>
      </c>
      <c r="H22" s="140" t="inlineStr">
        <is>
          <t>if(HVC_VEL_MPS &gt; 6.0, " [!VEL &gt; 6.0]", "")</t>
        </is>
      </c>
      <c r="I22" s="140" t="inlineStr">
        <is>
          <t>HIGH</t>
        </is>
      </c>
      <c r="J22" s="140" t="inlineStr">
        <is>
          <t>Main duct. Branch: 4.0 m/s.</t>
        </is>
      </c>
    </row>
    <row r="23" ht="15" customHeight="1" s="123">
      <c r="A23" s="140" t="inlineStr">
        <is>
          <t>HVC_VEL_MPS</t>
        </is>
      </c>
      <c r="B23" s="140" t="inlineStr">
        <is>
          <t>Flex Ducts</t>
        </is>
      </c>
      <c r="C23" s="140" t="inlineStr">
        <is>
          <t>m/s</t>
        </is>
      </c>
      <c r="D23" s="140" t="inlineStr">
        <is>
          <t>SMACNA</t>
        </is>
      </c>
      <c r="E23" s="140" t="n"/>
      <c r="F23" s="140" t="inlineStr">
        <is>
          <t>4.0</t>
        </is>
      </c>
      <c r="G23" s="140" t="inlineStr">
        <is>
          <t>[!FLEX VEL &gt; 4.0 m/s]</t>
        </is>
      </c>
      <c r="H23" s="140" t="inlineStr">
        <is>
          <t>if(HVC_VEL_MPS &gt; 4.0, " [!VEL &gt; 4.0]", "")</t>
        </is>
      </c>
      <c r="I23" s="140" t="inlineStr">
        <is>
          <t>HIGH</t>
        </is>
      </c>
      <c r="J23" s="140" t="inlineStr">
        <is>
          <t>Flex ducts more restrictive</t>
        </is>
      </c>
    </row>
    <row r="24" ht="15" customHeight="1" s="123">
      <c r="A24" s="143" t="inlineStr">
        <is>
          <t>HVC_DCT_TERMINAL_SOUND_DB_NR</t>
        </is>
      </c>
      <c r="B24" s="143" t="inlineStr">
        <is>
          <t>Air Terminals</t>
        </is>
      </c>
      <c r="C24" s="143" t="inlineStr">
        <is>
          <t>dB(A)</t>
        </is>
      </c>
      <c r="D24" s="143" t="inlineStr">
        <is>
          <t>CIBSE Guide A</t>
        </is>
      </c>
      <c r="E24" s="143" t="n"/>
      <c r="F24" s="143" t="inlineStr">
        <is>
          <t>35</t>
        </is>
      </c>
      <c r="G24" s="143" t="inlineStr">
        <is>
          <t>[!TERMINAL NOISE &gt; 35 dB]</t>
        </is>
      </c>
      <c r="H24" s="143" t="inlineStr">
        <is>
          <t>if(HVC_DCT_TERMINAL_SOUND_DB_NR &gt; 35, " [!NOISE &gt; 35dB]", "")</t>
        </is>
      </c>
      <c r="I24" s="143" t="inlineStr">
        <is>
          <t>MEDIUM</t>
        </is>
      </c>
      <c r="J24" s="143" t="inlineStr">
        <is>
          <t>Office/meeting rooms. Plant: 45 dB OK.</t>
        </is>
      </c>
    </row>
    <row r="25" ht="15" customHeight="1" s="123">
      <c r="A25" s="140" t="inlineStr">
        <is>
          <t>HVC_EFF_RATIO_NR</t>
        </is>
      </c>
      <c r="B25" s="140" t="inlineStr">
        <is>
          <t>Mechanical Equipment</t>
        </is>
      </c>
      <c r="C25" s="140" t="inlineStr">
        <is>
          <t>COP/EER</t>
        </is>
      </c>
      <c r="D25" s="140" t="inlineStr">
        <is>
          <t>ASHRAE 90.1</t>
        </is>
      </c>
      <c r="E25" s="140" t="inlineStr">
        <is>
          <t>3.0</t>
        </is>
      </c>
      <c r="F25" s="140" t="n"/>
      <c r="G25" s="140" t="inlineStr">
        <is>
          <t>[!EFFICIENCY &lt; 3.0 COP]</t>
        </is>
      </c>
      <c r="H25" s="140" t="inlineStr">
        <is>
          <t>if(HVC_EFF_RATIO_NR &lt; 3.0, " [!EFF &lt; 3.0]", "")</t>
        </is>
      </c>
      <c r="I25" s="140" t="inlineStr">
        <is>
          <t>HIGH</t>
        </is>
      </c>
      <c r="J25" s="140" t="inlineStr">
        <is>
          <t>VRF: expect 3.5+. Split: 3.0 min.</t>
        </is>
      </c>
    </row>
    <row r="26" ht="15" customHeight="1" s="123">
      <c r="A26" s="135" t="inlineStr">
        <is>
          <t>FIRE LIFE SAFETY</t>
        </is>
      </c>
      <c r="B26" s="136" t="n"/>
      <c r="C26" s="136" t="n"/>
      <c r="D26" s="136" t="n"/>
      <c r="E26" s="136" t="n"/>
      <c r="F26" s="136" t="n"/>
      <c r="G26" s="136" t="n"/>
      <c r="H26" s="136" t="n"/>
      <c r="I26" s="136" t="n"/>
      <c r="J26" s="137" t="n"/>
    </row>
    <row r="27" ht="21.75" customHeight="1" s="123">
      <c r="A27" s="144" t="inlineStr">
        <is>
          <t>FLS_PROT_FLS_RESISTANCE_RATING_MINUTES_MIN</t>
        </is>
      </c>
      <c r="B27" s="144" t="inlineStr">
        <is>
          <t>Walls, Doors, Floors</t>
        </is>
      </c>
      <c r="C27" s="144" t="inlineStr">
        <is>
          <t>min</t>
        </is>
      </c>
      <c r="D27" s="144" t="inlineStr">
        <is>
          <t>BS 9999 / Uganda NBC</t>
        </is>
      </c>
      <c r="E27" s="144" t="inlineStr">
        <is>
          <t>30</t>
        </is>
      </c>
      <c r="F27" s="144" t="n"/>
      <c r="G27" s="144" t="inlineStr">
        <is>
          <t>[!FIRE RATING &lt; 30 MIN]</t>
        </is>
      </c>
      <c r="H27" s="144" t="inlineStr">
        <is>
          <t>if(FLS_PROT_FLS_RESISTANCE_RATING_MINUTES_MIN &lt; 30, " [!FRR &lt; 30]", "")</t>
        </is>
      </c>
      <c r="I27" s="144" t="inlineStr">
        <is>
          <t>CRITICAL</t>
        </is>
      </c>
      <c r="J27" s="144" t="inlineStr">
        <is>
          <t>Compartment walls. Escape: 60 min.</t>
        </is>
      </c>
    </row>
    <row r="28" ht="21.75" customHeight="1" s="123">
      <c r="A28" s="140" t="inlineStr">
        <is>
          <t>FLS_SFTY_TEMP_RATING_C</t>
        </is>
      </c>
      <c r="B28" s="140" t="inlineStr">
        <is>
          <t>Sprinklers</t>
        </is>
      </c>
      <c r="C28" s="140" t="inlineStr">
        <is>
          <t>degC</t>
        </is>
      </c>
      <c r="D28" s="140" t="inlineStr">
        <is>
          <t>BS EN 12845</t>
        </is>
      </c>
      <c r="E28" s="140" t="inlineStr">
        <is>
          <t>57</t>
        </is>
      </c>
      <c r="F28" s="140" t="inlineStr">
        <is>
          <t>79</t>
        </is>
      </c>
      <c r="G28" s="140" t="inlineStr">
        <is>
          <t>[!SPRINKLER TEMP OUT OF RANGE]</t>
        </is>
      </c>
      <c r="H28" s="140" t="inlineStr">
        <is>
          <t>if(or(FLS_SFTY_TEMP_RATING_C &lt; 57, FLS_SFTY_TEMP_RATING_C &gt; 79), " [!TEMP]", "")</t>
        </is>
      </c>
      <c r="I28" s="140" t="inlineStr">
        <is>
          <t>HIGH</t>
        </is>
      </c>
      <c r="J28" s="140" t="inlineStr">
        <is>
          <t>Ordinary hazard: 68C typical</t>
        </is>
      </c>
    </row>
    <row r="29" ht="15" customHeight="1" s="123">
      <c r="A29" s="140" t="inlineStr">
        <is>
          <t>FLS_SFTY_COVERAGE_AREA_SQ_M</t>
        </is>
      </c>
      <c r="B29" s="140" t="inlineStr">
        <is>
          <t>Sprinklers, Fire Alarm Devices</t>
        </is>
      </c>
      <c r="C29" s="140" t="inlineStr">
        <is>
          <t>m2</t>
        </is>
      </c>
      <c r="D29" s="140" t="inlineStr">
        <is>
          <t>BS EN 12845 / BS 5839</t>
        </is>
      </c>
      <c r="E29" s="140" t="n"/>
      <c r="F29" s="140" t="inlineStr">
        <is>
          <t>21</t>
        </is>
      </c>
      <c r="G29" s="140" t="inlineStr">
        <is>
          <t>[!COVERAGE &gt; 21 m2]</t>
        </is>
      </c>
      <c r="H29" s="140" t="inlineStr">
        <is>
          <t>if(FLS_SFTY_COVERAGE_AREA_SQ_M &gt; 21, " [!AREA &gt; 21]", "")</t>
        </is>
      </c>
      <c r="I29" s="140" t="inlineStr">
        <is>
          <t>HIGH</t>
        </is>
      </c>
      <c r="J29" s="140" t="inlineStr">
        <is>
          <t>Ordinary hazard max 21m2/head</t>
        </is>
      </c>
    </row>
    <row r="30" ht="15" customHeight="1" s="123">
      <c r="A30" s="135" t="inlineStr">
        <is>
          <t>ACCESSIBILITY (Uganda PWD Act 2020)</t>
        </is>
      </c>
      <c r="B30" s="136" t="n"/>
      <c r="C30" s="136" t="n"/>
      <c r="D30" s="136" t="n"/>
      <c r="E30" s="136" t="n"/>
      <c r="F30" s="136" t="n"/>
      <c r="G30" s="136" t="n"/>
      <c r="H30" s="136" t="n"/>
      <c r="I30" s="136" t="n"/>
      <c r="J30" s="137" t="n"/>
    </row>
    <row r="31" ht="15" customHeight="1" s="123">
      <c r="A31" s="144" t="inlineStr">
        <is>
          <t>BLE_RAMP_SLOPE_PCT</t>
        </is>
      </c>
      <c r="B31" s="144" t="inlineStr">
        <is>
          <t>Ramps</t>
        </is>
      </c>
      <c r="C31" s="144" t="inlineStr">
        <is>
          <t>%</t>
        </is>
      </c>
      <c r="D31" s="144" t="inlineStr">
        <is>
          <t>Uganda PWD Act 2020</t>
        </is>
      </c>
      <c r="E31" s="144" t="n"/>
      <c r="F31" s="144" t="inlineStr">
        <is>
          <t>8.33</t>
        </is>
      </c>
      <c r="G31" s="144" t="inlineStr">
        <is>
          <t>[!RAMP SLOPE &gt; 1:12 (8.33%)]</t>
        </is>
      </c>
      <c r="H31" s="144" t="inlineStr">
        <is>
          <t>if(BLE_RAMP_SLOPE_PCT &gt; 8.33, " [!SLOPE &gt; 1:12]", "")</t>
        </is>
      </c>
      <c r="I31" s="144" t="inlineStr">
        <is>
          <t>CRITICAL</t>
        </is>
      </c>
      <c r="J31" s="144" t="inlineStr">
        <is>
          <t>Max 1:12 gradient, 9m max run</t>
        </is>
      </c>
    </row>
    <row r="32" ht="15" customHeight="1" s="123">
      <c r="A32" s="144" t="inlineStr">
        <is>
          <t>RGL_ACCESS_CLEAR_WIDTH_MM</t>
        </is>
      </c>
      <c r="B32" s="144" t="inlineStr">
        <is>
          <t>Doors, Ramps, Corridors</t>
        </is>
      </c>
      <c r="C32" s="144" t="inlineStr">
        <is>
          <t>mm</t>
        </is>
      </c>
      <c r="D32" s="144" t="inlineStr">
        <is>
          <t>Uganda PWD Act 2020</t>
        </is>
      </c>
      <c r="E32" s="144" t="inlineStr">
        <is>
          <t>900</t>
        </is>
      </c>
      <c r="F32" s="144" t="n"/>
      <c r="G32" s="144" t="inlineStr">
        <is>
          <t>[!CLEAR WIDTH &lt; 900mm]</t>
        </is>
      </c>
      <c r="H32" s="144" t="inlineStr">
        <is>
          <t>if(RGL_ACCESS_CLEAR_WIDTH_MM &lt; 900, " [!WIDTH &lt; 900]", "")</t>
        </is>
      </c>
      <c r="I32" s="144" t="inlineStr">
        <is>
          <t>CRITICAL</t>
        </is>
      </c>
      <c r="J32" s="144" t="inlineStr">
        <is>
          <t>Wheelchair access minimum</t>
        </is>
      </c>
    </row>
    <row r="33" ht="15" customHeight="1" s="123">
      <c r="A33" s="144" t="inlineStr">
        <is>
          <t>BLE_DOOR_WIDTH_MM</t>
        </is>
      </c>
      <c r="B33" s="144" t="inlineStr">
        <is>
          <t>Doors</t>
        </is>
      </c>
      <c r="C33" s="144" t="inlineStr">
        <is>
          <t>mm</t>
        </is>
      </c>
      <c r="D33" s="144" t="inlineStr">
        <is>
          <t>Uganda PWD Act 2020</t>
        </is>
      </c>
      <c r="E33" s="144" t="inlineStr">
        <is>
          <t>900</t>
        </is>
      </c>
      <c r="F33" s="144" t="n"/>
      <c r="G33" s="144" t="inlineStr">
        <is>
          <t>[!DOOR WIDTH &lt; 900mm]</t>
        </is>
      </c>
      <c r="H33" s="144" t="inlineStr">
        <is>
          <t>if(BLE_DOOR_WIDTH_MM &lt; 900, " [!DOOR &lt; 900mm]", "")</t>
        </is>
      </c>
      <c r="I33" s="144" t="inlineStr">
        <is>
          <t>CRITICAL</t>
        </is>
      </c>
      <c r="J33" s="144" t="inlineStr">
        <is>
          <t>Accessible route doors</t>
        </is>
      </c>
    </row>
    <row r="34" ht="15" customHeight="1" s="123">
      <c r="A34" s="135" t="inlineStr">
        <is>
          <t>STAIRS (BS 5395)</t>
        </is>
      </c>
      <c r="B34" s="136" t="n"/>
      <c r="C34" s="136" t="n"/>
      <c r="D34" s="136" t="n"/>
      <c r="E34" s="136" t="n"/>
      <c r="F34" s="136" t="n"/>
      <c r="G34" s="136" t="n"/>
      <c r="H34" s="136" t="n"/>
      <c r="I34" s="136" t="n"/>
      <c r="J34" s="137" t="n"/>
    </row>
    <row r="35" ht="21.75" customHeight="1" s="123">
      <c r="A35" s="140" t="inlineStr">
        <is>
          <t>BLE_STAIR_RISE_MM</t>
        </is>
      </c>
      <c r="B35" s="140" t="inlineStr">
        <is>
          <t>Stairs</t>
        </is>
      </c>
      <c r="C35" s="140" t="inlineStr">
        <is>
          <t>mm</t>
        </is>
      </c>
      <c r="D35" s="140" t="inlineStr">
        <is>
          <t>BS 5395-1</t>
        </is>
      </c>
      <c r="E35" s="140" t="inlineStr">
        <is>
          <t>150</t>
        </is>
      </c>
      <c r="F35" s="140" t="inlineStr">
        <is>
          <t>190</t>
        </is>
      </c>
      <c r="G35" s="140" t="inlineStr">
        <is>
          <t>[!RISE OUT OF RANGE]</t>
        </is>
      </c>
      <c r="H35" s="140" t="inlineStr">
        <is>
          <t>if(or(BLE_STAIR_RISE_MM &lt; 150, BLE_STAIR_RISE_MM &gt; 190), " [!RISE]", "")</t>
        </is>
      </c>
      <c r="I35" s="140" t="inlineStr">
        <is>
          <t>HIGH</t>
        </is>
      </c>
      <c r="J35" s="140" t="inlineStr">
        <is>
          <t>Private: 150-220. Public: 150-190.</t>
        </is>
      </c>
    </row>
    <row r="36" ht="21.75" customHeight="1" s="123">
      <c r="A36" s="140" t="inlineStr">
        <is>
          <t>BLE_STAIR_GOING_MM</t>
        </is>
      </c>
      <c r="B36" s="140" t="inlineStr">
        <is>
          <t>Stairs</t>
        </is>
      </c>
      <c r="C36" s="140" t="inlineStr">
        <is>
          <t>mm</t>
        </is>
      </c>
      <c r="D36" s="140" t="inlineStr">
        <is>
          <t>BS 5395-1</t>
        </is>
      </c>
      <c r="E36" s="140" t="inlineStr">
        <is>
          <t>250</t>
        </is>
      </c>
      <c r="F36" s="140" t="inlineStr">
        <is>
          <t>400</t>
        </is>
      </c>
      <c r="G36" s="140" t="inlineStr">
        <is>
          <t>[!GOING OUT OF RANGE]</t>
        </is>
      </c>
      <c r="H36" s="140" t="inlineStr">
        <is>
          <t>if(or(BLE_STAIR_GOING_MM &lt; 250, BLE_STAIR_GOING_MM &gt; 400), " [!GOING]", "")</t>
        </is>
      </c>
      <c r="I36" s="140" t="inlineStr">
        <is>
          <t>HIGH</t>
        </is>
      </c>
      <c r="J36" s="140" t="inlineStr">
        <is>
          <t>Public stair: 250-400mm</t>
        </is>
      </c>
    </row>
    <row r="37" ht="15" customHeight="1" s="123">
      <c r="A37" s="144" t="inlineStr">
        <is>
          <t>BLE_STAIR_WIDTH_MM</t>
        </is>
      </c>
      <c r="B37" s="144" t="inlineStr">
        <is>
          <t>Stairs (escape)</t>
        </is>
      </c>
      <c r="C37" s="144" t="inlineStr">
        <is>
          <t>mm</t>
        </is>
      </c>
      <c r="D37" s="144" t="inlineStr">
        <is>
          <t>BS 9999 / Uganda NBC</t>
        </is>
      </c>
      <c r="E37" s="144" t="inlineStr">
        <is>
          <t>1000</t>
        </is>
      </c>
      <c r="F37" s="144" t="n"/>
      <c r="G37" s="144" t="inlineStr">
        <is>
          <t>[!STAIR WIDTH &lt; 1000mm]</t>
        </is>
      </c>
      <c r="H37" s="144" t="inlineStr">
        <is>
          <t>if(BLE_STAIR_WIDTH_MM &lt; 1000, " [!WIDTH &lt; 1000]", "")</t>
        </is>
      </c>
      <c r="I37" s="144" t="inlineStr">
        <is>
          <t>CRITICAL</t>
        </is>
      </c>
      <c r="J37" s="144" t="inlineStr">
        <is>
          <t>Escape stair min 1000mm</t>
        </is>
      </c>
    </row>
    <row r="38" ht="15" customHeight="1" s="123">
      <c r="A38" s="135" t="inlineStr">
        <is>
          <t>ACOUSTIC</t>
        </is>
      </c>
      <c r="B38" s="136" t="n"/>
      <c r="C38" s="136" t="n"/>
      <c r="D38" s="136" t="n"/>
      <c r="E38" s="136" t="n"/>
      <c r="F38" s="136" t="n"/>
      <c r="G38" s="136" t="n"/>
      <c r="H38" s="136" t="n"/>
      <c r="I38" s="136" t="n"/>
      <c r="J38" s="137" t="n"/>
    </row>
    <row r="39" ht="15" customHeight="1" s="123">
      <c r="A39" s="143" t="inlineStr">
        <is>
          <t>PER_ACOUSTICS_BACKGROUND_NOISE_DB</t>
        </is>
      </c>
      <c r="B39" s="143" t="inlineStr">
        <is>
          <t>Rooms (offices)</t>
        </is>
      </c>
      <c r="C39" s="143" t="inlineStr">
        <is>
          <t>dB(A)</t>
        </is>
      </c>
      <c r="D39" s="143" t="inlineStr">
        <is>
          <t>CIBSE Guide A / BB93</t>
        </is>
      </c>
      <c r="E39" s="143" t="n"/>
      <c r="F39" s="143" t="inlineStr">
        <is>
          <t>40</t>
        </is>
      </c>
      <c r="G39" s="143" t="inlineStr">
        <is>
          <t>[!BACKGROUND NOISE &gt; 40 dB]</t>
        </is>
      </c>
      <c r="H39" s="143" t="inlineStr">
        <is>
          <t>if(PER_ACOUSTICS_BACKGROUND_NOISE_DB &gt; 40, " [!NOISE &gt; 40dB]", "")</t>
        </is>
      </c>
      <c r="I39" s="143" t="inlineStr">
        <is>
          <t>MEDIUM</t>
        </is>
      </c>
      <c r="J39" s="143" t="inlineStr">
        <is>
          <t>Open office: 40. Private: 35.</t>
        </is>
      </c>
    </row>
    <row r="40" ht="15" customHeight="1" s="123">
      <c r="A40" s="143" t="inlineStr">
        <is>
          <t>ASS_DESIGN_LTG_LVL_LUX_NR</t>
        </is>
      </c>
      <c r="B40" s="143" t="inlineStr">
        <is>
          <t>Rooms (offices)</t>
        </is>
      </c>
      <c r="C40" s="143" t="inlineStr">
        <is>
          <t>lux</t>
        </is>
      </c>
      <c r="D40" s="143" t="inlineStr">
        <is>
          <t>BS EN 12464-1 / CIBSE</t>
        </is>
      </c>
      <c r="E40" s="143" t="inlineStr">
        <is>
          <t>300</t>
        </is>
      </c>
      <c r="F40" s="143" t="n"/>
      <c r="G40" s="143" t="inlineStr">
        <is>
          <t>[!ILLUMINANCE &lt; 300 lux]</t>
        </is>
      </c>
      <c r="H40" s="143" t="inlineStr">
        <is>
          <t>if(ASS_DESIGN_LTG_LVL_LUX_NR &lt; 300, " [!LUX &lt; 300]", "")</t>
        </is>
      </c>
      <c r="I40" s="143" t="inlineStr">
        <is>
          <t>MEDIUM</t>
        </is>
      </c>
      <c r="J40" s="143" t="inlineStr">
        <is>
          <t>General office: 300-500 lux</t>
        </is>
      </c>
    </row>
    <row r="41" ht="15" customHeight="1" s="123">
      <c r="A41" s="135" t="inlineStr">
        <is>
          <t>STRUCTURAL</t>
        </is>
      </c>
      <c r="B41" s="136" t="n"/>
      <c r="C41" s="136" t="n"/>
      <c r="D41" s="136" t="n"/>
      <c r="E41" s="136" t="n"/>
      <c r="F41" s="136" t="n"/>
      <c r="G41" s="136" t="n"/>
      <c r="H41" s="136" t="n"/>
      <c r="I41" s="136" t="n"/>
      <c r="J41" s="137" t="n"/>
    </row>
    <row r="42" ht="15" customHeight="1" s="123">
      <c r="A42" s="140" t="inlineStr">
        <is>
          <t>BLE_STRUCT_CONCRETE_GRADE_TXT</t>
        </is>
      </c>
      <c r="B42" s="140" t="inlineStr">
        <is>
          <t>Str Columns, Str Framing, Str Foundations</t>
        </is>
      </c>
      <c r="C42" s="140" t="inlineStr">
        <is>
          <t>grade</t>
        </is>
      </c>
      <c r="D42" s="140" t="inlineStr">
        <is>
          <t>BS 8500 / UNBS</t>
        </is>
      </c>
      <c r="E42" s="140" t="n"/>
      <c r="F42" s="140" t="n"/>
      <c r="G42" s="140" t="inlineStr">
        <is>
          <t>[!CHECK GRADE vs EXPOSURE]</t>
        </is>
      </c>
      <c r="H42" s="140" t="inlineStr">
        <is>
          <t>(text comparison via lookup table)</t>
        </is>
      </c>
      <c r="I42" s="140" t="inlineStr">
        <is>
          <t>HIGH</t>
        </is>
      </c>
      <c r="J42" s="140" t="inlineStr">
        <is>
          <t>C25/30 min for reinforced. C30/37 for water-retaining.</t>
        </is>
      </c>
    </row>
    <row r="43" ht="15" customHeight="1" s="123">
      <c r="A43" s="135" t="inlineStr">
        <is>
          <t>SUSTAINABILITY / ENVIRONMENT</t>
        </is>
      </c>
      <c r="B43" s="136" t="n"/>
      <c r="C43" s="136" t="n"/>
      <c r="D43" s="136" t="n"/>
      <c r="E43" s="136" t="n"/>
      <c r="F43" s="136" t="n"/>
      <c r="G43" s="136" t="n"/>
      <c r="H43" s="136" t="n"/>
      <c r="I43" s="136" t="n"/>
      <c r="J43" s="137" t="n"/>
    </row>
    <row r="44" ht="21.75" customHeight="1" s="123">
      <c r="A44" s="143" t="inlineStr">
        <is>
          <t>PER_SUST_CARBON_FOOTPRINT_KG</t>
        </is>
      </c>
      <c r="B44" s="143" t="inlineStr">
        <is>
          <t>Walls, Floors, Roofs</t>
        </is>
      </c>
      <c r="C44" s="143" t="inlineStr">
        <is>
          <t>kgCO2e/m2</t>
        </is>
      </c>
      <c r="D44" s="143" t="inlineStr">
        <is>
          <t>EDGE / IFC Performance</t>
        </is>
      </c>
      <c r="E44" s="143" t="n"/>
      <c r="F44" s="143" t="inlineStr">
        <is>
          <t>(varies by element)</t>
        </is>
      </c>
      <c r="G44" s="143" t="inlineStr">
        <is>
          <t>[!EMBODIED CARBON HIGH]</t>
        </is>
      </c>
      <c r="H44" s="143" t="inlineStr">
        <is>
          <t>if(PER_SUST_CARBON_FOOTPRINT_KG &gt; THRESHOLD, " [!CO2]", "")</t>
        </is>
      </c>
      <c r="I44" s="143" t="inlineStr">
        <is>
          <t>MEDIUM</t>
        </is>
      </c>
      <c r="J44" s="143" t="inlineStr">
        <is>
          <t>EDGE benchmark varies by type</t>
        </is>
      </c>
    </row>
  </sheetData>
  <mergeCells count="12">
    <mergeCell ref="A1:J1"/>
    <mergeCell ref="A5:J5"/>
    <mergeCell ref="A17:J17"/>
    <mergeCell ref="A21:J21"/>
    <mergeCell ref="A30:J30"/>
    <mergeCell ref="A34:J34"/>
    <mergeCell ref="A26:J26"/>
    <mergeCell ref="A38:J38"/>
    <mergeCell ref="A2:J2"/>
    <mergeCell ref="A43:J43"/>
    <mergeCell ref="A41:J41"/>
    <mergeCell ref="A11:J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4472C4"/>
    <outlinePr summaryBelow="1" summaryRight="1"/>
    <pageSetUpPr fitToPage="0"/>
  </sheetPr>
  <dimension ref="A1:N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2" min="1" max="1"/>
    <col width="22" customWidth="1" style="122" min="2" max="2"/>
    <col width="30" customWidth="1" style="122" min="3" max="3"/>
    <col width="12" customWidth="1" style="122" min="4" max="4"/>
    <col width="35" customWidth="1" style="122" min="5" max="5"/>
    <col width="70" customWidth="1" style="122" min="6" max="6"/>
    <col width="60" customWidth="1" style="122" min="7" max="7"/>
    <col width="22" customWidth="1" style="122" min="8" max="8"/>
    <col width="6" customWidth="1" style="122" min="9" max="9"/>
    <col width="8" customWidth="1" style="122" min="10" max="10"/>
    <col width="10" customWidth="1" style="122" min="11" max="11"/>
    <col width="30" customWidth="1" style="122" min="12" max="12"/>
    <col width="40" customWidth="1" style="122" min="13" max="13"/>
    <col width="12" customWidth="1" style="122" min="14" max="14"/>
  </cols>
  <sheetData>
    <row r="1" ht="15" customHeight="1" s="123">
      <c r="A1" s="133" t="inlineStr">
        <is>
          <t>TAG CONTAINER ARCHITECTURE v4.2  |  All 47 categories covered  |  Paragraph engine + warning thresholds</t>
        </is>
      </c>
    </row>
    <row r="3" ht="15" customHeight="1" s="123">
      <c r="A3" s="145" t="inlineStr">
        <is>
          <t>TIER 1</t>
        </is>
      </c>
      <c r="B3" s="146" t="inlineStr">
        <is>
          <t>Universal (all 47+4 categories) — max 1 line per tag</t>
        </is>
      </c>
    </row>
    <row r="4" ht="15" customHeight="1" s="123">
      <c r="A4" s="145" t="inlineStr">
        <is>
          <t>TIER 2</t>
        </is>
      </c>
      <c r="B4" s="146" t="inlineStr">
        <is>
          <t>System identity (MEP) — max 2 lines per tag</t>
        </is>
      </c>
    </row>
    <row r="5" ht="15" customHeight="1" s="123">
      <c r="A5" s="145" t="inlineStr">
        <is>
          <t>TIER 3</t>
        </is>
      </c>
      <c r="B5" s="146" t="inlineStr">
        <is>
          <t>Discipline specialist — max 2 lines (3 for info-dense: DB panels, HVAC eqp, lighting)</t>
        </is>
      </c>
    </row>
    <row r="6" ht="15" customHeight="1" s="123">
      <c r="A6" s="145" t="inlineStr">
        <is>
          <t>TAG 7</t>
        </is>
      </c>
      <c r="B6" s="146" t="inlineStr">
        <is>
          <t>Paragraph description — 3-state depth: compact (S1) / standard (S2) / comprehensive (S3)</t>
        </is>
      </c>
    </row>
    <row r="7" ht="15" customHeight="1" s="123">
      <c r="A7" s="145" t="inlineStr">
        <is>
          <t>TAG 7W</t>
        </is>
      </c>
      <c r="B7" s="146" t="inlineStr">
        <is>
          <t>Warning append — auto-appended when threshold exceeded. Red label text.</t>
        </is>
      </c>
    </row>
    <row r="8" ht="15" customHeight="1" s="123">
      <c r="A8" s="145" t="inlineStr">
        <is>
          <t>SUB (.1)</t>
        </is>
      </c>
      <c r="B8" s="146" t="inlineStr">
        <is>
          <t>Additional physical tag line from v3.1</t>
        </is>
      </c>
    </row>
    <row r="9" ht="15" customHeight="1" s="123">
      <c r="A9" s="145" t="inlineStr">
        <is>
          <t>v4.2 NEW</t>
        </is>
      </c>
      <c r="B9" s="146" t="inlineStr">
        <is>
          <t>New container or warning for v4.2</t>
        </is>
      </c>
    </row>
    <row r="11" ht="23.25" customHeight="1" s="123">
      <c r="A11" s="134" t="inlineStr">
        <is>
          <t>Tier</t>
        </is>
      </c>
      <c r="B11" s="134" t="inlineStr">
        <is>
          <t>Sub-tier / tag line</t>
        </is>
      </c>
      <c r="C11" s="134" t="inlineStr">
        <is>
          <t>Parameter name</t>
        </is>
      </c>
      <c r="D11" s="134" t="inlineStr">
        <is>
          <t>Phys. tag pos.</t>
        </is>
      </c>
      <c r="E11" s="134" t="inlineStr">
        <is>
          <t>Category scope</t>
        </is>
      </c>
      <c r="F11" s="134" t="inlineStr">
        <is>
          <t>Formula / content</t>
        </is>
      </c>
      <c r="G11" s="134" t="inlineStr">
        <is>
          <t>Key source params (verified)</t>
        </is>
      </c>
      <c r="H11" s="134" t="inlineStr">
        <is>
          <t>Tag family</t>
        </is>
      </c>
      <c r="I11" s="134" t="inlineStr">
        <is>
          <t>Lines</t>
        </is>
      </c>
      <c r="J11" s="134" t="inlineStr">
        <is>
          <t>Max display</t>
        </is>
      </c>
      <c r="K11" s="134" t="inlineStr">
        <is>
          <t>New?</t>
        </is>
      </c>
      <c r="L11" s="134" t="inlineStr">
        <is>
          <t>Warning integration</t>
        </is>
      </c>
      <c r="M11" s="134" t="inlineStr">
        <is>
          <t>Notes</t>
        </is>
      </c>
      <c r="N11" s="134" t="inlineStr">
        <is>
          <t>Priority</t>
        </is>
      </c>
    </row>
    <row r="12" ht="15" customHeight="1" s="123">
      <c r="A12" s="135" t="inlineStr">
        <is>
          <t>TIER 1 — UNIVERSAL  |  All 47+4 categories  |  Max 1 line</t>
        </is>
      </c>
      <c r="B12" s="136" t="n"/>
      <c r="C12" s="136" t="n"/>
      <c r="D12" s="136" t="n"/>
      <c r="E12" s="136" t="n"/>
      <c r="F12" s="136" t="n"/>
      <c r="G12" s="136" t="n"/>
      <c r="H12" s="136" t="n"/>
      <c r="I12" s="136" t="n"/>
      <c r="J12" s="136" t="n"/>
      <c r="K12" s="136" t="n"/>
      <c r="L12" s="136" t="n"/>
      <c r="M12" s="136" t="n"/>
      <c r="N12" s="137" t="n"/>
    </row>
    <row r="13" ht="15" customHeight="1" s="123">
      <c r="A13" s="147" t="inlineStr">
        <is>
          <t>T1</t>
        </is>
      </c>
      <c r="B13" s="147" t="inlineStr">
        <is>
          <t>Full tag</t>
        </is>
      </c>
      <c r="C13" s="147" t="inlineStr">
        <is>
          <t>ASS_TAG_1_TXT</t>
        </is>
      </c>
      <c r="D13" s="147" t="inlineStr">
        <is>
          <t>Line 1</t>
        </is>
      </c>
      <c r="E13" s="147" t="inlineStr">
        <is>
          <t>All 53</t>
        </is>
      </c>
      <c r="F13" s="147" t="inlineStr">
        <is>
          <t>DISC-LOC-ZONE-LVL-SYS-FUNC-PROD-NUM</t>
        </is>
      </c>
      <c r="G13" s="147" t="inlineStr">
        <is>
          <t>8 source tokens</t>
        </is>
      </c>
      <c r="H13" s="147" t="inlineStr">
        <is>
          <t>PRJ_ISO_Tag.rfa</t>
        </is>
      </c>
      <c r="I13" s="147" t="inlineStr">
        <is>
          <t>1</t>
        </is>
      </c>
      <c r="J13" s="147" t="inlineStr">
        <is>
          <t>1</t>
        </is>
      </c>
      <c r="K13" s="147" t="inlineStr">
        <is>
          <t>No</t>
        </is>
      </c>
      <c r="L13" s="147" t="inlineStr">
        <is>
          <t>—</t>
        </is>
      </c>
      <c r="M13" s="147" t="inlineStr">
        <is>
          <t>Primary identity</t>
        </is>
      </c>
      <c r="N13" s="147" t="inlineStr">
        <is>
          <t>IMMEDIATE</t>
        </is>
      </c>
    </row>
    <row r="14" ht="15" customHeight="1" s="123">
      <c r="A14" s="147" t="inlineStr">
        <is>
          <t>T1</t>
        </is>
      </c>
      <c r="B14" s="147" t="inlineStr">
        <is>
          <t>Short tag</t>
        </is>
      </c>
      <c r="C14" s="147" t="inlineStr">
        <is>
          <t>ASS_TAG_4_TXT</t>
        </is>
      </c>
      <c r="D14" s="147" t="inlineStr">
        <is>
          <t>Line 1</t>
        </is>
      </c>
      <c r="E14" s="147" t="inlineStr">
        <is>
          <t>All 53</t>
        </is>
      </c>
      <c r="F14" s="147" t="inlineStr">
        <is>
          <t>[PROD]-[NUM]</t>
        </is>
      </c>
      <c r="G14" s="147" t="inlineStr">
        <is>
          <t>ASS_PRODCT_COD_TXT, ASS_SEQ_NUM_TXT</t>
        </is>
      </c>
      <c r="H14" s="147" t="inlineStr">
        <is>
          <t>Short_Tag.rfa</t>
        </is>
      </c>
      <c r="I14" s="147" t="inlineStr">
        <is>
          <t>1</t>
        </is>
      </c>
      <c r="J14" s="147" t="inlineStr">
        <is>
          <t>1</t>
        </is>
      </c>
      <c r="K14" s="147" t="inlineStr">
        <is>
          <t>No</t>
        </is>
      </c>
      <c r="L14" s="147" t="inlineStr">
        <is>
          <t>—</t>
        </is>
      </c>
      <c r="M14" s="147" t="inlineStr">
        <is>
          <t>Congested views</t>
        </is>
      </c>
      <c r="N14" s="147" t="inlineStr">
        <is>
          <t>IMMEDIATE</t>
        </is>
      </c>
    </row>
    <row r="15" ht="15" customHeight="1" s="123">
      <c r="A15" s="147" t="inlineStr">
        <is>
          <t>T1</t>
        </is>
      </c>
      <c r="B15" s="147" t="inlineStr">
        <is>
          <t>With description</t>
        </is>
      </c>
      <c r="C15" s="147" t="inlineStr">
        <is>
          <t>ASS_TAG_5_TXT</t>
        </is>
      </c>
      <c r="D15" s="147" t="inlineStr">
        <is>
          <t>Line 1+2</t>
        </is>
      </c>
      <c r="E15" s="147" t="inlineStr">
        <is>
          <t>All 53</t>
        </is>
      </c>
      <c r="F15" s="147" t="inlineStr">
        <is>
          <t>[PROD]-[NUM] + description</t>
        </is>
      </c>
      <c r="G15" s="147" t="inlineStr">
        <is>
          <t>PRODCT+SEQ+ASS_DESCRIPTION_TXT</t>
        </is>
      </c>
      <c r="H15" s="147" t="inlineStr">
        <is>
          <t>Desc_Tag.rfa</t>
        </is>
      </c>
      <c r="I15" s="147" t="inlineStr">
        <is>
          <t>2</t>
        </is>
      </c>
      <c r="J15" s="147" t="inlineStr">
        <is>
          <t>1</t>
        </is>
      </c>
      <c r="K15" s="147" t="inlineStr">
        <is>
          <t>No</t>
        </is>
      </c>
      <c r="L15" s="147" t="inlineStr">
        <is>
          <t>—</t>
        </is>
      </c>
      <c r="M15" s="147" t="inlineStr">
        <is>
          <t>Tag 5</t>
        </is>
      </c>
      <c r="N15" s="147" t="inlineStr">
        <is>
          <t>IMMEDIATE</t>
        </is>
      </c>
    </row>
    <row r="16" ht="15" customHeight="1" s="123">
      <c r="A16" s="147" t="inlineStr">
        <is>
          <t>T1</t>
        </is>
      </c>
      <c r="B16" s="147" t="inlineStr">
        <is>
          <t>Status / comments</t>
        </is>
      </c>
      <c r="C16" s="147" t="inlineStr">
        <is>
          <t>ASS_TAG_6_TXT</t>
        </is>
      </c>
      <c r="D16" s="147" t="inlineStr">
        <is>
          <t>Line 1+2</t>
        </is>
      </c>
      <c r="E16" s="147" t="inlineStr">
        <is>
          <t>All 53</t>
        </is>
      </c>
      <c r="F16" s="147" t="inlineStr">
        <is>
          <t>[PROD]-[NUM] + status + comments</t>
        </is>
      </c>
      <c r="G16" s="147" t="inlineStr">
        <is>
          <t>PRODCT+SEQ+ASS_STATUS_TXT+PRJ_COMMENTS_TXT</t>
        </is>
      </c>
      <c r="H16" s="147" t="inlineStr">
        <is>
          <t>Status_Tag.rfa</t>
        </is>
      </c>
      <c r="I16" s="147" t="inlineStr">
        <is>
          <t>2</t>
        </is>
      </c>
      <c r="J16" s="147" t="inlineStr">
        <is>
          <t>1</t>
        </is>
      </c>
      <c r="K16" s="147" t="inlineStr">
        <is>
          <t>No</t>
        </is>
      </c>
      <c r="L16" s="147" t="inlineStr">
        <is>
          <t>—</t>
        </is>
      </c>
      <c r="M16" s="147" t="inlineStr">
        <is>
          <t>Snagging</t>
        </is>
      </c>
      <c r="N16" s="147" t="inlineStr">
        <is>
          <t>IMMEDIATE</t>
        </is>
      </c>
    </row>
    <row r="17" ht="15" customHeight="1" s="123">
      <c r="A17" s="135" t="inlineStr">
        <is>
          <t>TIER 2 — SYSTEM IDENTITY  |  MEP categories  |  Max 2 lines</t>
        </is>
      </c>
      <c r="B17" s="136" t="n"/>
      <c r="C17" s="136" t="n"/>
      <c r="D17" s="136" t="n"/>
      <c r="E17" s="136" t="n"/>
      <c r="F17" s="136" t="n"/>
      <c r="G17" s="136" t="n"/>
      <c r="H17" s="136" t="n"/>
      <c r="I17" s="136" t="n"/>
      <c r="J17" s="136" t="n"/>
      <c r="K17" s="136" t="n"/>
      <c r="L17" s="136" t="n"/>
      <c r="M17" s="136" t="n"/>
      <c r="N17" s="137" t="n"/>
    </row>
    <row r="18" ht="15" customHeight="1" s="123">
      <c r="A18" s="138" t="inlineStr">
        <is>
          <t>T2</t>
        </is>
      </c>
      <c r="B18" s="138" t="inlineStr">
        <is>
          <t>System ID</t>
        </is>
      </c>
      <c r="C18" s="138" t="inlineStr">
        <is>
          <t>ASS_TAG_2_TXT</t>
        </is>
      </c>
      <c r="D18" s="138" t="inlineStr">
        <is>
          <t>Line 1</t>
        </is>
      </c>
      <c r="E18" s="138" t="inlineStr">
        <is>
          <t>All MEP</t>
        </is>
      </c>
      <c r="F18" s="138" t="inlineStr">
        <is>
          <t>[SYS]-[FUNC]-[PROD]-[NUM]</t>
        </is>
      </c>
      <c r="G18" s="138" t="inlineStr">
        <is>
          <t>ASS_SYSTEM_TYPE_TXT+ASS_FUNC_TXT+PRODCT+SEQ</t>
        </is>
      </c>
      <c r="H18" s="138" t="inlineStr">
        <is>
          <t>MEP_Sys_Tag.rfa</t>
        </is>
      </c>
      <c r="I18" s="138" t="inlineStr">
        <is>
          <t>1</t>
        </is>
      </c>
      <c r="J18" s="138" t="inlineStr">
        <is>
          <t>2</t>
        </is>
      </c>
      <c r="K18" s="138" t="inlineStr">
        <is>
          <t>No</t>
        </is>
      </c>
      <c r="L18" s="138" t="inlineStr">
        <is>
          <t>—</t>
        </is>
      </c>
      <c r="M18" s="138" t="inlineStr">
        <is>
          <t>Omits spatial tokens</t>
        </is>
      </c>
      <c r="N18" s="138" t="inlineStr">
        <is>
          <t>IMMEDIATE</t>
        </is>
      </c>
    </row>
    <row r="19" ht="15" customHeight="1" s="123">
      <c r="A19" s="138" t="inlineStr">
        <is>
          <t>T2</t>
        </is>
      </c>
      <c r="B19" s="138" t="inlineStr">
        <is>
          <t>Install data</t>
        </is>
      </c>
      <c r="C19" s="138" t="inlineStr">
        <is>
          <t>ASS_TAG_3_TXT</t>
        </is>
      </c>
      <c r="D19" s="138" t="inlineStr">
        <is>
          <t>Line 2</t>
        </is>
      </c>
      <c r="E19" s="138" t="inlineStr">
        <is>
          <t>All MEP</t>
        </is>
      </c>
      <c r="F19" s="138" t="inlineStr">
        <is>
          <t>COE:FFL+[HGT]mm [MNT] Dtl:[DTL]</t>
        </is>
      </c>
      <c r="G19" s="138" t="inlineStr">
        <is>
          <t>MNT_HGT_MM+MNT_TYPE_TXT+ASS_INST_DETAIL_NUM_TXT</t>
        </is>
      </c>
      <c r="H19" s="138" t="inlineStr">
        <is>
          <t>MEP_Sys_Tag.rfa</t>
        </is>
      </c>
      <c r="I19" s="138" t="inlineStr">
        <is>
          <t>2</t>
        </is>
      </c>
      <c r="J19" s="138" t="inlineStr">
        <is>
          <t>2</t>
        </is>
      </c>
      <c r="K19" s="138" t="inlineStr">
        <is>
          <t>No</t>
        </is>
      </c>
      <c r="L19" s="138" t="inlineStr">
        <is>
          <t>—</t>
        </is>
      </c>
      <c r="M19" s="138" t="inlineStr">
        <is>
          <t>Height / detail ref</t>
        </is>
      </c>
      <c r="N19" s="138" t="inlineStr">
        <is>
          <t>IMMEDIATE</t>
        </is>
      </c>
    </row>
    <row r="20" ht="15" customHeight="1" s="123">
      <c r="A20" s="135" t="inlineStr">
        <is>
          <t>TAG 7 — NEW v4.2 PARAGRAPH CONTAINERS  |  Gap categories</t>
        </is>
      </c>
      <c r="B20" s="136" t="n"/>
      <c r="C20" s="136" t="n"/>
      <c r="D20" s="136" t="n"/>
      <c r="E20" s="136" t="n"/>
      <c r="F20" s="136" t="n"/>
      <c r="G20" s="136" t="n"/>
      <c r="H20" s="136" t="n"/>
      <c r="I20" s="136" t="n"/>
      <c r="J20" s="136" t="n"/>
      <c r="K20" s="136" t="n"/>
      <c r="L20" s="136" t="n"/>
      <c r="M20" s="136" t="n"/>
      <c r="N20" s="137" t="n"/>
    </row>
    <row r="21" ht="21.75" customHeight="1" s="123">
      <c r="A21" s="140" t="inlineStr">
        <is>
          <t>T7-P</t>
        </is>
      </c>
      <c r="B21" s="140" t="inlineStr">
        <is>
          <t>Plumb fixture para</t>
        </is>
      </c>
      <c r="C21" s="140" t="inlineStr">
        <is>
          <t>PLM_TAG_7_PARA_FIXTURE_TXT</t>
        </is>
      </c>
      <c r="D21" s="140" t="inlineStr">
        <is>
          <t>Para</t>
        </is>
      </c>
      <c r="E21" s="140" t="inlineStr">
        <is>
          <t>Plumbing Fixtures</t>
        </is>
      </c>
      <c r="F21" s="140" t="inlineStr">
        <is>
          <t>"This [DESC] fixture, [MAT] body, DN[SZ]. Drain: [DRN_MAT] with [TRAP]. By [MFR] model [MDL]."</t>
        </is>
      </c>
      <c r="G21" s="140" t="inlineStr">
        <is>
          <t>ASS_DESCRIPTION+PLM_PPE_MAT+PLM_PPE_SZ+PLM_DRN_BODY_MAT+ASS_MANUFACTURER+ASS_MODEL_NR</t>
        </is>
      </c>
      <c r="H21" s="140" t="inlineStr">
        <is>
          <t>PLM_Fix_Para.rfa</t>
        </is>
      </c>
      <c r="I21" s="140" t="inlineStr">
        <is>
          <t>para</t>
        </is>
      </c>
      <c r="J21" s="140" t="inlineStr">
        <is>
          <t>2</t>
        </is>
      </c>
      <c r="K21" s="140" t="inlineStr">
        <is>
          <t>v4.2 NEW</t>
        </is>
      </c>
      <c r="L21" s="140" t="inlineStr">
        <is>
          <t>PLM_PPE_FLW_LPS &gt; 0.15</t>
        </is>
      </c>
      <c r="M21" s="140" t="inlineStr">
        <is>
          <t>Sanitary fittings: WC, WHB, urinal, sink</t>
        </is>
      </c>
      <c r="N21" s="140" t="inlineStr">
        <is>
          <t>IMMEDIATE</t>
        </is>
      </c>
    </row>
    <row r="22" ht="21.75" customHeight="1" s="123">
      <c r="A22" s="140" t="inlineStr">
        <is>
          <t>T7-P</t>
        </is>
      </c>
      <c r="B22" s="140" t="inlineStr">
        <is>
          <t>Plumb equip para</t>
        </is>
      </c>
      <c r="C22" s="140" t="inlineStr">
        <is>
          <t>PLM_TAG_7_PARA_EQUIPMENT_TXT</t>
        </is>
      </c>
      <c r="D22" s="140" t="inlineStr">
        <is>
          <t>Para</t>
        </is>
      </c>
      <c r="E22" s="140" t="inlineStr">
        <is>
          <t>Plumbing Equipment</t>
        </is>
      </c>
      <c r="F22" s="140" t="inlineStr">
        <is>
          <t>"This [DESC], [CAP]m3 capacity, [PWR]kW, [HED]m head. By [MFR] model [MDL]."</t>
        </is>
      </c>
      <c r="G22" s="140" t="inlineStr">
        <is>
          <t>ASS_DESCRIPTION+PLM_PWR_KW+PLM_CAP_CU_M+PLM_HED_M+ASS_MANUFACTURER+ASS_MODEL_NR</t>
        </is>
      </c>
      <c r="H22" s="140" t="inlineStr">
        <is>
          <t>PLM_Eqp_Para.rfa</t>
        </is>
      </c>
      <c r="I22" s="140" t="inlineStr">
        <is>
          <t>para</t>
        </is>
      </c>
      <c r="J22" s="140" t="inlineStr">
        <is>
          <t>2</t>
        </is>
      </c>
      <c r="K22" s="140" t="inlineStr">
        <is>
          <t>v4.2 NEW</t>
        </is>
      </c>
      <c r="L22" s="140" t="inlineStr">
        <is>
          <t>PLM_PWR_KW, PLM_HED_M</t>
        </is>
      </c>
      <c r="M22" s="140" t="inlineStr">
        <is>
          <t>Pumps, tanks, heaters</t>
        </is>
      </c>
      <c r="N22" s="140" t="inlineStr">
        <is>
          <t>IMMEDIATE</t>
        </is>
      </c>
    </row>
    <row r="23" ht="21.75" customHeight="1" s="123">
      <c r="A23" s="140" t="inlineStr">
        <is>
          <t>T7-P</t>
        </is>
      </c>
      <c r="B23" s="140" t="inlineStr">
        <is>
          <t>Pipe accessory para</t>
        </is>
      </c>
      <c r="C23" s="140" t="inlineStr">
        <is>
          <t>PLM_TAG_7_PARA_PIPEACC_TXT</t>
        </is>
      </c>
      <c r="D23" s="140" t="inlineStr">
        <is>
          <t>Para</t>
        </is>
      </c>
      <c r="E23" s="140" t="inlineStr">
        <is>
          <t>Pipe Accessories</t>
        </is>
      </c>
      <c r="F23" s="140" t="inlineStr">
        <is>
          <t>"This [DESC], [MAT] body, DN[SZ], Cv [CV], PN[PSR]bar."</t>
        </is>
      </c>
      <c r="G23" s="140" t="inlineStr">
        <is>
          <t>ASS_DESCRIPTION+PLM_VLV_BODY_MAT+PLM_VLV_SZ+PLM_VLV_CV+PLM_PSR_KPA</t>
        </is>
      </c>
      <c r="H23" s="140" t="inlineStr">
        <is>
          <t>PLM_Acc_Para.rfa</t>
        </is>
      </c>
      <c r="I23" s="140" t="inlineStr">
        <is>
          <t>para</t>
        </is>
      </c>
      <c r="J23" s="140" t="inlineStr">
        <is>
          <t>2</t>
        </is>
      </c>
      <c r="K23" s="140" t="inlineStr">
        <is>
          <t>v4.2 NEW</t>
        </is>
      </c>
      <c r="L23" s="140" t="inlineStr">
        <is>
          <t>PLM_PSR_KPA</t>
        </is>
      </c>
      <c r="M23" s="140" t="inlineStr">
        <is>
          <t>Valves, strainers, exp joints</t>
        </is>
      </c>
      <c r="N23" s="140" t="inlineStr">
        <is>
          <t>HIGH</t>
        </is>
      </c>
    </row>
    <row r="24" ht="21.75" customHeight="1" s="123">
      <c r="A24" s="140" t="inlineStr">
        <is>
          <t>T7-E</t>
        </is>
      </c>
      <c r="B24" s="140" t="inlineStr">
        <is>
          <t>Conduit para</t>
        </is>
      </c>
      <c r="C24" s="140" t="inlineStr">
        <is>
          <t>ELC_TAG_7_PARA_CONDUIT_TXT</t>
        </is>
      </c>
      <c r="D24" s="140" t="inlineStr">
        <is>
          <t>Para</t>
        </is>
      </c>
      <c r="E24" s="140" t="inlineStr">
        <is>
          <t>Conduits, Conduit Fittings</t>
        </is>
      </c>
      <c r="F24" s="140" t="inlineStr">
        <is>
          <t>"[SZ]mm [MAT] conduit, [METHOD] installation, [FILL]% cable fill."</t>
        </is>
      </c>
      <c r="G24" s="140" t="inlineStr">
        <is>
          <t>ELC_CDT_SZ_MM+ELC_CDT_MAT+ELC_CDT_INSTALL_METHOD+ELC_CDT_CBL_FILL_PCT</t>
        </is>
      </c>
      <c r="H24" s="140" t="inlineStr">
        <is>
          <t>ELC_Cdt_Para.rfa</t>
        </is>
      </c>
      <c r="I24" s="140" t="inlineStr">
        <is>
          <t>para</t>
        </is>
      </c>
      <c r="J24" s="140" t="inlineStr">
        <is>
          <t>2</t>
        </is>
      </c>
      <c r="K24" s="140" t="inlineStr">
        <is>
          <t>v4.2 NEW</t>
        </is>
      </c>
      <c r="L24" s="140" t="inlineStr">
        <is>
          <t>ELC_CDT_CBL_FILL_PCT &gt; 40%</t>
        </is>
      </c>
      <c r="M24" s="140" t="inlineStr">
        <is>
          <t>Fill warning at 40%</t>
        </is>
      </c>
      <c r="N24" s="140" t="inlineStr">
        <is>
          <t>HIGH</t>
        </is>
      </c>
    </row>
    <row r="25" ht="21.75" customHeight="1" s="123">
      <c r="A25" s="140" t="inlineStr">
        <is>
          <t>T7-E</t>
        </is>
      </c>
      <c r="B25" s="140" t="inlineStr">
        <is>
          <t>Cable tray para</t>
        </is>
      </c>
      <c r="C25" s="140" t="inlineStr">
        <is>
          <t>ELC_TAG_7_PARA_TRAY_TXT</t>
        </is>
      </c>
      <c r="D25" s="140" t="inlineStr">
        <is>
          <t>Para</t>
        </is>
      </c>
      <c r="E25" s="140" t="inlineStr">
        <is>
          <t>Cable Trays, Cable Tray Fittings</t>
        </is>
      </c>
      <c r="F25" s="140" t="inlineStr">
        <is>
          <t>"[W]x[D]mm [MAT] cable tray, [FILL]% fill."</t>
        </is>
      </c>
      <c r="G25" s="140" t="inlineStr">
        <is>
          <t>ELC_CTR_WIDTH_MM+ELC_CTR_DEPTH_MM+ELC_CTR_MAT+ELC_CTR_FILL_PCT</t>
        </is>
      </c>
      <c r="H25" s="140" t="inlineStr">
        <is>
          <t>ELC_CT_Para.rfa</t>
        </is>
      </c>
      <c r="I25" s="140" t="inlineStr">
        <is>
          <t>para</t>
        </is>
      </c>
      <c r="J25" s="140" t="inlineStr">
        <is>
          <t>2</t>
        </is>
      </c>
      <c r="K25" s="140" t="inlineStr">
        <is>
          <t>v4.2 NEW</t>
        </is>
      </c>
      <c r="L25" s="140" t="inlineStr">
        <is>
          <t>ELC_CTR_FILL_PCT &gt; 45%</t>
        </is>
      </c>
      <c r="M25" s="140" t="inlineStr">
        <is>
          <t>Fill warning at 45%</t>
        </is>
      </c>
      <c r="N25" s="140" t="inlineStr">
        <is>
          <t>HIGH</t>
        </is>
      </c>
    </row>
    <row r="26" ht="15" customHeight="1" s="123">
      <c r="A26" s="140" t="inlineStr">
        <is>
          <t>T7-H</t>
        </is>
      </c>
      <c r="B26" s="140" t="inlineStr">
        <is>
          <t>Flex duct para</t>
        </is>
      </c>
      <c r="C26" s="140" t="inlineStr">
        <is>
          <t>HVC_TAG_7_PARA_FLEXDUCT_TXT</t>
        </is>
      </c>
      <c r="D26" s="140" t="inlineStr">
        <is>
          <t>Para</t>
        </is>
      </c>
      <c r="E26" s="140" t="inlineStr">
        <is>
          <t>Flex Ducts</t>
        </is>
      </c>
      <c r="F26" s="140" t="inlineStr">
        <is>
          <t>"Flexible [MAT] duct, [LINING] lining, [VEL]m/s."</t>
        </is>
      </c>
      <c r="G26" s="140" t="inlineStr">
        <is>
          <t>HVC_DCT_MAT+HVC_DUCT_LINING+HVC_VEL_MPS</t>
        </is>
      </c>
      <c r="H26" s="140" t="inlineStr">
        <is>
          <t>HVAC_FlxDuct_Para.rfa</t>
        </is>
      </c>
      <c r="I26" s="140" t="inlineStr">
        <is>
          <t>para</t>
        </is>
      </c>
      <c r="J26" s="140" t="inlineStr">
        <is>
          <t>2</t>
        </is>
      </c>
      <c r="K26" s="140" t="inlineStr">
        <is>
          <t>v4.2 NEW</t>
        </is>
      </c>
      <c r="L26" s="140" t="inlineStr">
        <is>
          <t>HVC_VEL_MPS &gt; 4.0</t>
        </is>
      </c>
      <c r="M26" s="140" t="inlineStr">
        <is>
          <t>Flex velocity limit lower</t>
        </is>
      </c>
      <c r="N26" s="140" t="inlineStr">
        <is>
          <t>HIGH</t>
        </is>
      </c>
    </row>
    <row r="27" ht="21.75" customHeight="1" s="123">
      <c r="A27" s="140" t="inlineStr">
        <is>
          <t>T7-H</t>
        </is>
      </c>
      <c r="B27" s="140" t="inlineStr">
        <is>
          <t>Duct accessory para</t>
        </is>
      </c>
      <c r="C27" s="140" t="inlineStr">
        <is>
          <t>HVC_TAG_7_PARA_DCTACC_TXT</t>
        </is>
      </c>
      <c r="D27" s="140" t="inlineStr">
        <is>
          <t>Para</t>
        </is>
      </c>
      <c r="E27" s="140" t="inlineStr">
        <is>
          <t>Duct Accessories</t>
        </is>
      </c>
      <c r="F27" s="140" t="inlineStr">
        <is>
          <t>"This [DESC] accessory, [MAT]. Control: [CTRL]. By [MFR]."</t>
        </is>
      </c>
      <c r="G27" s="140" t="inlineStr">
        <is>
          <t>ASS_DESCRIPTION+HVC_DCT_MAT+HVC_CONTROL_TYPE+ASS_MANUFACTURER</t>
        </is>
      </c>
      <c r="H27" s="140" t="inlineStr">
        <is>
          <t>HVAC_DctAcc_Para.rfa</t>
        </is>
      </c>
      <c r="I27" s="140" t="inlineStr">
        <is>
          <t>para</t>
        </is>
      </c>
      <c r="J27" s="140" t="inlineStr">
        <is>
          <t>2</t>
        </is>
      </c>
      <c r="K27" s="140" t="inlineStr">
        <is>
          <t>v4.2 NEW</t>
        </is>
      </c>
      <c r="L27" s="140" t="inlineStr">
        <is>
          <t>—</t>
        </is>
      </c>
      <c r="M27" s="140" t="inlineStr">
        <is>
          <t>Dampers, fire dampers</t>
        </is>
      </c>
      <c r="N27" s="140" t="inlineStr">
        <is>
          <t>HIGH</t>
        </is>
      </c>
    </row>
    <row r="28" ht="21.75" customHeight="1" s="123">
      <c r="A28" s="140" t="inlineStr">
        <is>
          <t>T7-A</t>
        </is>
      </c>
      <c r="B28" s="140" t="inlineStr">
        <is>
          <t>Curtain/facade para</t>
        </is>
      </c>
      <c r="C28" s="140" t="inlineStr">
        <is>
          <t>ARCH_TAG_7_PARA_FACADE_TXT</t>
        </is>
      </c>
      <c r="D28" s="140" t="inlineStr">
        <is>
          <t>Para</t>
        </is>
      </c>
      <c r="E28" s="140" t="inlineStr">
        <is>
          <t>Curtain Panels, Curtain Wall Mullions</t>
        </is>
      </c>
      <c r="F28" s="140" t="inlineStr">
        <is>
          <t>"[CLR] [FINISH] panel, [FIX] fixing, [GLASS]. U:[U]W/m2K."</t>
        </is>
      </c>
      <c r="G28" s="140" t="inlineStr">
        <is>
          <t>BLE_FACADE_CLR+FINISH+FIX_SYSTEM+GLASS_TYPE+PER_THERM_U_VALUE</t>
        </is>
      </c>
      <c r="H28" s="140" t="inlineStr">
        <is>
          <t>ARCH_Facade_Para.rfa</t>
        </is>
      </c>
      <c r="I28" s="140" t="inlineStr">
        <is>
          <t>para</t>
        </is>
      </c>
      <c r="J28" s="140" t="inlineStr">
        <is>
          <t>2</t>
        </is>
      </c>
      <c r="K28" s="140" t="inlineStr">
        <is>
          <t>v4.2 NEW</t>
        </is>
      </c>
      <c r="L28" s="140" t="inlineStr">
        <is>
          <t>PER_THERM_U_VALUE &gt; 2.20</t>
        </is>
      </c>
      <c r="M28" s="140" t="inlineStr">
        <is>
          <t>Curtain wall U-value</t>
        </is>
      </c>
      <c r="N28" s="140" t="inlineStr">
        <is>
          <t>HIGH</t>
        </is>
      </c>
    </row>
    <row r="29" ht="21.75" customHeight="1" s="123">
      <c r="A29" s="140" t="inlineStr">
        <is>
          <t>T7-A</t>
        </is>
      </c>
      <c r="B29" s="140" t="inlineStr">
        <is>
          <t>Stair para</t>
        </is>
      </c>
      <c r="C29" s="140" t="inlineStr">
        <is>
          <t>ARCH_TAG_7_PARA_STAIR_TXT</t>
        </is>
      </c>
      <c r="D29" s="140" t="inlineStr">
        <is>
          <t>Para</t>
        </is>
      </c>
      <c r="E29" s="140" t="inlineStr">
        <is>
          <t>Stairs</t>
        </is>
      </c>
      <c r="F29" s="140" t="inlineStr">
        <is>
          <t>"[MAT] stair, [RISE]mm rise, [GOING]mm going, [W]mm wide. Tread: [FINISH]."</t>
        </is>
      </c>
      <c r="G29" s="140" t="inlineStr">
        <is>
          <t>BLE_STAIR_MAT+RISE_MM+GOING_MM+WIDTH_MM+TREAD_FINISH+HANDRAIL_MAT</t>
        </is>
      </c>
      <c r="H29" s="140" t="inlineStr">
        <is>
          <t>ARCH_Stair_Para.rfa</t>
        </is>
      </c>
      <c r="I29" s="140" t="inlineStr">
        <is>
          <t>para</t>
        </is>
      </c>
      <c r="J29" s="140" t="inlineStr">
        <is>
          <t>2</t>
        </is>
      </c>
      <c r="K29" s="140" t="inlineStr">
        <is>
          <t>v4.2 NEW</t>
        </is>
      </c>
      <c r="L29" s="140" t="inlineStr">
        <is>
          <t>RISE 150-190, GOING 250-400, WIDTH &gt;= 1000</t>
        </is>
      </c>
      <c r="M29" s="140" t="inlineStr">
        <is>
          <t>BS 5395 + BS 9999 thresholds</t>
        </is>
      </c>
      <c r="N29" s="140" t="inlineStr">
        <is>
          <t>HIGH</t>
        </is>
      </c>
    </row>
    <row r="30" ht="21.75" customHeight="1" s="123">
      <c r="A30" s="140" t="inlineStr">
        <is>
          <t>T7-A</t>
        </is>
      </c>
      <c r="B30" s="140" t="inlineStr">
        <is>
          <t>Ramp para</t>
        </is>
      </c>
      <c r="C30" s="140" t="inlineStr">
        <is>
          <t>ARCH_TAG_7_PARA_RAMP_TXT</t>
        </is>
      </c>
      <c r="D30" s="140" t="inlineStr">
        <is>
          <t>Para</t>
        </is>
      </c>
      <c r="E30" s="140" t="inlineStr">
        <is>
          <t>Ramps</t>
        </is>
      </c>
      <c r="F30" s="140" t="inlineStr">
        <is>
          <t>"Ramp at [SLOPE]% gradient, [FINISH] surface. Handrails: [HR]. Clear width: [W]mm."</t>
        </is>
      </c>
      <c r="G30" s="140" t="inlineStr">
        <is>
          <t>BLE_RAMP_SLOPE_PCT+SURFACE_FINISH+HANDRAIL_BOTH_SIDES+RGL_ACCESS_CLEAR_WIDTH_MM</t>
        </is>
      </c>
      <c r="H30" s="140" t="inlineStr">
        <is>
          <t>ARCH_Ramp_Para.rfa</t>
        </is>
      </c>
      <c r="I30" s="140" t="inlineStr">
        <is>
          <t>para</t>
        </is>
      </c>
      <c r="J30" s="140" t="inlineStr">
        <is>
          <t>2</t>
        </is>
      </c>
      <c r="K30" s="140" t="inlineStr">
        <is>
          <t>v4.2 NEW</t>
        </is>
      </c>
      <c r="L30" s="140" t="inlineStr">
        <is>
          <t>SLOPE &gt; 8.33%, WIDTH &lt; 900mm</t>
        </is>
      </c>
      <c r="M30" s="140" t="inlineStr">
        <is>
          <t>Uganda PWD Act 2020</t>
        </is>
      </c>
      <c r="N30" s="140" t="inlineStr">
        <is>
          <t>HIGH</t>
        </is>
      </c>
    </row>
    <row r="31" ht="15" customHeight="1" s="123">
      <c r="A31" s="140" t="inlineStr">
        <is>
          <t>T7-S</t>
        </is>
      </c>
      <c r="B31" s="140" t="inlineStr">
        <is>
          <t>Foundation para</t>
        </is>
      </c>
      <c r="C31" s="140" t="inlineStr">
        <is>
          <t>STR_TAG_7_PARA_FDN_TXT</t>
        </is>
      </c>
      <c r="D31" s="140" t="inlineStr">
        <is>
          <t>Para</t>
        </is>
      </c>
      <c r="E31" s="140" t="inlineStr">
        <is>
          <t>Structural Foundations</t>
        </is>
      </c>
      <c r="F31" s="140" t="inlineStr">
        <is>
          <t>"[SZ] foundation, [GRADE] concrete, reinforcement: [REINF]."</t>
        </is>
      </c>
      <c r="G31" s="140" t="inlineStr">
        <is>
          <t>BLE_STRUCT_FOUNDATION_SZ+CONCRETE_GRADE+REINFORCEMENT</t>
        </is>
      </c>
      <c r="H31" s="140" t="inlineStr">
        <is>
          <t>STR_Fdn_Para.rfa</t>
        </is>
      </c>
      <c r="I31" s="140" t="inlineStr">
        <is>
          <t>para</t>
        </is>
      </c>
      <c r="J31" s="140" t="inlineStr">
        <is>
          <t>2</t>
        </is>
      </c>
      <c r="K31" s="140" t="inlineStr">
        <is>
          <t>v4.2 NEW</t>
        </is>
      </c>
      <c r="L31" s="140" t="inlineStr">
        <is>
          <t>Concrete grade check</t>
        </is>
      </c>
      <c r="M31" s="140" t="inlineStr">
        <is>
          <t>Foundation spec</t>
        </is>
      </c>
      <c r="N31" s="140" t="inlineStr">
        <is>
          <t>HIGH</t>
        </is>
      </c>
    </row>
    <row r="32" ht="21.75" customHeight="1" s="123">
      <c r="A32" s="140" t="inlineStr">
        <is>
          <t>T7-A</t>
        </is>
      </c>
      <c r="B32" s="140" t="inlineStr">
        <is>
          <t>Casework para</t>
        </is>
      </c>
      <c r="C32" s="140" t="inlineStr">
        <is>
          <t>ARCH_TAG_7_PARA_CASEWORK_TXT</t>
        </is>
      </c>
      <c r="D32" s="140" t="inlineStr">
        <is>
          <t>Para</t>
        </is>
      </c>
      <c r="E32" s="140" t="inlineStr">
        <is>
          <t>Casework</t>
        </is>
      </c>
      <c r="F32" s="140" t="inlineStr">
        <is>
          <t>"This [DESC]. By [MFR] model [MDL]. Material EPD: [EPD]."</t>
        </is>
      </c>
      <c r="G32" s="140" t="inlineStr">
        <is>
          <t>ASS_DESCRIPTION+ASS_MANUFACTURER+ASS_MODEL_NR+MAT_EPD_REF_TXT</t>
        </is>
      </c>
      <c r="H32" s="140" t="inlineStr">
        <is>
          <t>ARCH_Case_Para.rfa</t>
        </is>
      </c>
      <c r="I32" s="140" t="inlineStr">
        <is>
          <t>para</t>
        </is>
      </c>
      <c r="J32" s="140" t="inlineStr">
        <is>
          <t>2</t>
        </is>
      </c>
      <c r="K32" s="140" t="inlineStr">
        <is>
          <t>v4.2 NEW</t>
        </is>
      </c>
      <c r="L32" s="140" t="inlineStr">
        <is>
          <t>—</t>
        </is>
      </c>
      <c r="M32" s="140" t="inlineStr">
        <is>
          <t>Kitchen/lab casework</t>
        </is>
      </c>
      <c r="N32" s="140" t="inlineStr">
        <is>
          <t>MEDIUM</t>
        </is>
      </c>
    </row>
    <row r="33" ht="21.75" customHeight="1" s="123">
      <c r="A33" s="140" t="inlineStr">
        <is>
          <t>T7-A</t>
        </is>
      </c>
      <c r="B33" s="140" t="inlineStr">
        <is>
          <t>Furniture para</t>
        </is>
      </c>
      <c r="C33" s="140" t="inlineStr">
        <is>
          <t>ARCH_TAG_7_PARA_FURNITURE_TXT</t>
        </is>
      </c>
      <c r="D33" s="140" t="inlineStr">
        <is>
          <t>Para</t>
        </is>
      </c>
      <c r="E33" s="140" t="inlineStr">
        <is>
          <t>Furniture</t>
        </is>
      </c>
      <c r="F33" s="140" t="inlineStr">
        <is>
          <t>"This [DESC]. By [MFR] model [MDL]. [STATUS]."</t>
        </is>
      </c>
      <c r="G33" s="140" t="inlineStr">
        <is>
          <t>ASS_DESCRIPTION+ASS_MANUFACTURER+ASS_MODEL_NR+ASS_STATUS_TXT</t>
        </is>
      </c>
      <c r="H33" s="140" t="inlineStr">
        <is>
          <t>ARCH_Furn_Para.rfa</t>
        </is>
      </c>
      <c r="I33" s="140" t="inlineStr">
        <is>
          <t>para</t>
        </is>
      </c>
      <c r="J33" s="140" t="inlineStr">
        <is>
          <t>2</t>
        </is>
      </c>
      <c r="K33" s="140" t="inlineStr">
        <is>
          <t>v4.2 NEW</t>
        </is>
      </c>
      <c r="L33" s="140" t="inlineStr">
        <is>
          <t>—</t>
        </is>
      </c>
      <c r="M33" s="140" t="inlineStr">
        <is>
          <t>FF&amp;E</t>
        </is>
      </c>
      <c r="N33" s="140" t="inlineStr">
        <is>
          <t>MEDIUM</t>
        </is>
      </c>
    </row>
    <row r="34" ht="21.75" customHeight="1" s="123">
      <c r="A34" s="140" t="inlineStr">
        <is>
          <t>T7</t>
        </is>
      </c>
      <c r="B34" s="140" t="inlineStr">
        <is>
          <t>Specialty equip para</t>
        </is>
      </c>
      <c r="C34" s="140" t="inlineStr">
        <is>
          <t>ASS_TAG_7_PARA_EQUIPMENT_TXT</t>
        </is>
      </c>
      <c r="D34" s="140" t="inlineStr">
        <is>
          <t>Para</t>
        </is>
      </c>
      <c r="E34" s="140" t="inlineStr">
        <is>
          <t>Specialty Equipment</t>
        </is>
      </c>
      <c r="F34" s="140" t="inlineStr">
        <is>
          <t>"This [DESC] ([SYS] system). By [MFR] model [MDL]. Tag: [TAG]."</t>
        </is>
      </c>
      <c r="G34" s="140" t="inlineStr">
        <is>
          <t>ASS_DESCRIPTION+ASS_SYSTEM_TYPE+ASS_MANUFACTURER+ASS_MODEL_NR+ASS_EQUIPMENT_TAG</t>
        </is>
      </c>
      <c r="H34" s="140" t="inlineStr">
        <is>
          <t>ASS_Eqp_Para.rfa</t>
        </is>
      </c>
      <c r="I34" s="140" t="inlineStr">
        <is>
          <t>para</t>
        </is>
      </c>
      <c r="J34" s="140" t="inlineStr">
        <is>
          <t>2</t>
        </is>
      </c>
      <c r="K34" s="140" t="inlineStr">
        <is>
          <t>v4.2 NEW</t>
        </is>
      </c>
      <c r="L34" s="140" t="inlineStr">
        <is>
          <t>—</t>
        </is>
      </c>
      <c r="M34" s="140" t="inlineStr">
        <is>
          <t>Lifts, generators, etc.</t>
        </is>
      </c>
      <c r="N34" s="140" t="inlineStr">
        <is>
          <t>MEDIUM</t>
        </is>
      </c>
    </row>
    <row r="35" ht="21.75" customHeight="1" s="123">
      <c r="A35" s="140" t="inlineStr">
        <is>
          <t>T7-E</t>
        </is>
      </c>
      <c r="B35" s="140" t="inlineStr">
        <is>
          <t>BMS device para</t>
        </is>
      </c>
      <c r="C35" s="140" t="inlineStr">
        <is>
          <t>COM_TAG_7_PARA_BMS_TXT</t>
        </is>
      </c>
      <c r="D35" s="140" t="inlineStr">
        <is>
          <t>Para</t>
        </is>
      </c>
      <c r="E35" s="140" t="inlineStr">
        <is>
          <t>Communication Devices</t>
        </is>
      </c>
      <c r="F35" s="140" t="inlineStr">
        <is>
          <t>"This [TYPE] device, network [NET], BACnet [ID]. Controller: [CTRL]."</t>
        </is>
      </c>
      <c r="G35" s="140" t="inlineStr">
        <is>
          <t>COM_C_DEV_TYPE+NETWORK_ADDRESS+BACNET_INSTANCE+CONTROLLER_NAME</t>
        </is>
      </c>
      <c r="H35" s="140" t="inlineStr">
        <is>
          <t>COM_Para.rfa</t>
        </is>
      </c>
      <c r="I35" s="140" t="inlineStr">
        <is>
          <t>para</t>
        </is>
      </c>
      <c r="J35" s="140" t="inlineStr">
        <is>
          <t>2</t>
        </is>
      </c>
      <c r="K35" s="140" t="inlineStr">
        <is>
          <t>v4.2 NEW</t>
        </is>
      </c>
      <c r="L35" s="140" t="inlineStr">
        <is>
          <t>—</t>
        </is>
      </c>
      <c r="M35" s="140" t="inlineStr">
        <is>
          <t>BMS controllers</t>
        </is>
      </c>
      <c r="N35" s="140" t="inlineStr">
        <is>
          <t>HIGH</t>
        </is>
      </c>
    </row>
    <row r="36" ht="15" customHeight="1" s="123">
      <c r="A36" s="140" t="inlineStr">
        <is>
          <t>T7-E</t>
        </is>
      </c>
      <c r="B36" s="140" t="inlineStr">
        <is>
          <t>Data outlet para</t>
        </is>
      </c>
      <c r="C36" s="140" t="inlineStr">
        <is>
          <t>ICT_TAG_7_PARA_DATA_TXT</t>
        </is>
      </c>
      <c r="D36" s="140" t="inlineStr">
        <is>
          <t>Para</t>
        </is>
      </c>
      <c r="E36" s="140" t="inlineStr">
        <is>
          <t>Data Devices, Telephone Devices</t>
        </is>
      </c>
      <c r="F36" s="140" t="inlineStr">
        <is>
          <t>"[OUTLET] outlet, port [PORT], patch panel [PP]."</t>
        </is>
      </c>
      <c r="G36" s="140" t="inlineStr">
        <is>
          <t>ICT_OUTLET_TYPE+ICT_PORT_NR+ICT_PATCH_PANEL</t>
        </is>
      </c>
      <c r="H36" s="140" t="inlineStr">
        <is>
          <t>ICT_Para.rfa</t>
        </is>
      </c>
      <c r="I36" s="140" t="inlineStr">
        <is>
          <t>para</t>
        </is>
      </c>
      <c r="J36" s="140" t="inlineStr">
        <is>
          <t>1</t>
        </is>
      </c>
      <c r="K36" s="140" t="inlineStr">
        <is>
          <t>v4.2 NEW</t>
        </is>
      </c>
      <c r="L36" s="140" t="inlineStr">
        <is>
          <t>—</t>
        </is>
      </c>
      <c r="M36" s="140" t="inlineStr">
        <is>
          <t>Structured cabling</t>
        </is>
      </c>
      <c r="N36" s="140" t="inlineStr">
        <is>
          <t>MEDIUM</t>
        </is>
      </c>
    </row>
    <row r="37" ht="21.75" customHeight="1" s="123">
      <c r="A37" s="140" t="inlineStr">
        <is>
          <t>T7-E</t>
        </is>
      </c>
      <c r="B37" s="140" t="inlineStr">
        <is>
          <t>Nurse call para</t>
        </is>
      </c>
      <c r="C37" s="140" t="inlineStr">
        <is>
          <t>NCL_TAG_7_PARA_NURSECALL_TXT</t>
        </is>
      </c>
      <c r="D37" s="140" t="inlineStr">
        <is>
          <t>Para</t>
        </is>
      </c>
      <c r="E37" s="140" t="inlineStr">
        <is>
          <t>Nurse Call Devices</t>
        </is>
      </c>
      <c r="F37" s="140" t="inlineStr">
        <is>
          <t>"[CALL_TYPE] nurse call, zone [ZONE]."</t>
        </is>
      </c>
      <c r="G37" s="140" t="inlineStr">
        <is>
          <t>NCL_CALL_TYPE+NCL_ZONE+COM_C_DEV_TYPE</t>
        </is>
      </c>
      <c r="H37" s="140" t="inlineStr">
        <is>
          <t>NCL_Para.rfa</t>
        </is>
      </c>
      <c r="I37" s="140" t="inlineStr">
        <is>
          <t>para</t>
        </is>
      </c>
      <c r="J37" s="140" t="inlineStr">
        <is>
          <t>1</t>
        </is>
      </c>
      <c r="K37" s="140" t="inlineStr">
        <is>
          <t>v4.2 NEW</t>
        </is>
      </c>
      <c r="L37" s="140" t="inlineStr">
        <is>
          <t>—</t>
        </is>
      </c>
      <c r="M37" s="140" t="inlineStr">
        <is>
          <t>Healthcare only</t>
        </is>
      </c>
      <c r="N37" s="140" t="inlineStr">
        <is>
          <t>PROJECT</t>
        </is>
      </c>
    </row>
    <row r="38" ht="15" customHeight="1" s="123">
      <c r="A38" s="140" t="inlineStr">
        <is>
          <t>T7-E</t>
        </is>
      </c>
      <c r="B38" s="140" t="inlineStr">
        <is>
          <t>Security para</t>
        </is>
      </c>
      <c r="C38" s="140" t="inlineStr">
        <is>
          <t>SEC_TAG_7_PARA_SECURITY_TXT</t>
        </is>
      </c>
      <c r="D38" s="140" t="inlineStr">
        <is>
          <t>Para</t>
        </is>
      </c>
      <c r="E38" s="140" t="inlineStr">
        <is>
          <t>Security Devices</t>
        </is>
      </c>
      <c r="F38" s="140" t="inlineStr">
        <is>
          <t>"[TYPE] security device, zone [ZONE]. Cable: [CBL]."</t>
        </is>
      </c>
      <c r="G38" s="140" t="inlineStr">
        <is>
          <t>SEC_DEV_ZONE+SEC_CBL_NR+COM_C_DEV_TYPE+ASS_DESCRIPTION</t>
        </is>
      </c>
      <c r="H38" s="140" t="inlineStr">
        <is>
          <t>SEC_Para.rfa</t>
        </is>
      </c>
      <c r="I38" s="140" t="inlineStr">
        <is>
          <t>para</t>
        </is>
      </c>
      <c r="J38" s="140" t="inlineStr">
        <is>
          <t>1</t>
        </is>
      </c>
      <c r="K38" s="140" t="inlineStr">
        <is>
          <t>v4.2 NEW</t>
        </is>
      </c>
      <c r="L38" s="140" t="inlineStr">
        <is>
          <t>—</t>
        </is>
      </c>
      <c r="M38" s="140" t="inlineStr">
        <is>
          <t>CCTV, access, intrusion</t>
        </is>
      </c>
      <c r="N38" s="140" t="inlineStr">
        <is>
          <t>MEDIUM</t>
        </is>
      </c>
    </row>
  </sheetData>
  <mergeCells count="4">
    <mergeCell ref="A12:N12"/>
    <mergeCell ref="A20:N20"/>
    <mergeCell ref="A17:N17"/>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0AD47"/>
    <outlinePr summaryBelow="1" summaryRight="1"/>
    <pageSetUpPr fitToPage="0"/>
  </sheetPr>
  <dimension ref="A1:L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2" min="1" max="1"/>
    <col width="22" customWidth="1" style="122" min="2" max="3"/>
    <col width="80" customWidth="1" style="122" min="4" max="4"/>
    <col width="65" customWidth="1" style="122" min="5" max="5"/>
    <col width="40" customWidth="1" style="122" min="6" max="7"/>
    <col width="10" customWidth="1" style="122" min="8" max="8"/>
    <col width="12" customWidth="1" style="122" min="9" max="9"/>
    <col width="25" customWidth="1" style="122" min="10" max="10"/>
    <col width="35" customWidth="1" style="122" min="11" max="11"/>
    <col width="55" customWidth="1" style="122" min="12" max="12"/>
  </cols>
  <sheetData>
    <row r="1" ht="15" customHeight="1" s="123">
      <c r="A1" s="133" t="inlineStr">
        <is>
          <t>BOQ AUTOMATION MAP v4.2  |  Natural-language BOQ descriptions assembled from Revit parameters using schedule calculated values</t>
        </is>
      </c>
    </row>
    <row r="2" ht="15" customHeight="1" s="123">
      <c r="A2" s="129" t="inlineStr">
        <is>
          <t>Pattern: schedule calculated value = PREFIX + if(PARAM&lt;&gt;"", PARAM, "TBC") + SUFFIX. Assembles full BOQ item description without labels. Exported to Excel for QS pricing.</t>
        </is>
      </c>
    </row>
    <row r="4" ht="39.75" customHeight="1" s="123">
      <c r="A4" s="134" t="inlineStr">
        <is>
          <t>BOQ bill</t>
        </is>
      </c>
      <c r="B4" s="134" t="inlineStr">
        <is>
          <t>BOQ element/section</t>
        </is>
      </c>
      <c r="C4" s="134" t="inlineStr">
        <is>
          <t>Revit category</t>
        </is>
      </c>
      <c r="D4" s="134" t="inlineStr">
        <is>
          <t>BOQ description pattern (natural language)</t>
        </is>
      </c>
      <c r="E4" s="134" t="inlineStr">
        <is>
          <t>Revit params -&gt; tokens</t>
        </is>
      </c>
      <c r="F4" s="134" t="inlineStr">
        <is>
          <t>Prefix text</t>
        </is>
      </c>
      <c r="G4" s="134" t="inlineStr">
        <is>
          <t>Suffix text</t>
        </is>
      </c>
      <c r="H4" s="134" t="inlineStr">
        <is>
          <t>Unit param</t>
        </is>
      </c>
      <c r="I4" s="134" t="inlineStr">
        <is>
          <t>Qty source</t>
        </is>
      </c>
      <c r="J4" s="134" t="inlineStr">
        <is>
          <t>Schedule name</t>
        </is>
      </c>
      <c r="K4" s="134" t="inlineStr">
        <is>
          <t>Notes</t>
        </is>
      </c>
      <c r="L4" s="148" t="inlineStr">
        <is>
          <t>BOQ_DESC_FORMULA — Complete Revit Calculated Value (paste into Edit Label)</t>
        </is>
      </c>
    </row>
    <row r="5" ht="15" customHeight="1" s="123">
      <c r="A5" s="135" t="inlineStr">
        <is>
          <t>BILL No.4 — ELECTRICAL INSTALLATIONS</t>
        </is>
      </c>
      <c r="B5" s="136" t="n"/>
      <c r="C5" s="136" t="n"/>
      <c r="D5" s="136" t="n"/>
      <c r="E5" s="136" t="n"/>
      <c r="F5" s="136" t="n"/>
      <c r="G5" s="136" t="n"/>
      <c r="H5" s="136" t="n"/>
      <c r="I5" s="136" t="n"/>
      <c r="J5" s="136" t="n"/>
      <c r="K5" s="137" t="n"/>
    </row>
    <row r="6" ht="60" customHeight="1" s="123">
      <c r="A6" s="149" t="inlineStr">
        <is>
          <t>Bill 4</t>
        </is>
      </c>
      <c r="B6" s="149" t="inlineStr">
        <is>
          <t>Lighting points</t>
        </is>
      </c>
      <c r="C6" s="149" t="inlineStr">
        <is>
          <t>Electrical Fixtures</t>
        </is>
      </c>
      <c r="D6" s="149" t="inlineStr">
        <is>
          <t>Lighting points wired by [CBL_TYPE] copper cables in [CDT_SZ]mm heavy gauge PVC conduit [METHOD] complete with [MFR] steel boxes and all accessories.</t>
        </is>
      </c>
      <c r="E6" s="149" t="inlineStr">
        <is>
          <t>ELC_CKT_CBL_TYPE_TXT, ELC_CDT_SZ_MM, ELC_CDT_INSTALL_METHOD_TXT, ASS_MANUFACTURER_TXT</t>
        </is>
      </c>
      <c r="F6" s="149" t="inlineStr">
        <is>
          <t xml:space="preserve">Lighting points wired by </t>
        </is>
      </c>
      <c r="G6" s="149" t="inlineStr">
        <is>
          <t xml:space="preserve"> complete with steel boxes and all accessories.</t>
        </is>
      </c>
      <c r="H6" s="149" t="inlineStr">
        <is>
          <t>NO</t>
        </is>
      </c>
      <c r="I6" s="149" t="inlineStr">
        <is>
          <t>Count</t>
        </is>
      </c>
      <c r="J6" s="149" t="inlineStr">
        <is>
          <t>BOQ-ELC-Lighting-Points</t>
        </is>
      </c>
      <c r="K6" s="149" t="inlineStr">
        <is>
          <t>Per floor element grouping</t>
        </is>
      </c>
      <c r="L6" s="150" t="inlineStr">
        <is>
          <t>"Lighting points wired by " + if(ELC_CKT_CBL_TYPE_TXT&lt;&gt;"",ELC_CKT_CBL_TYPE_TXT,"3x1.5mm² SC PVC") + " copper cables in " + if(ELC_CDT_SZ_MM&lt;&gt;"",ELC_CDT_SZ_MM+"mm","25mm") + " heavy gauge PVC " + if(ELC_CDT_INSTALL_METHOD_TXT&lt;&gt;"",ELC_CDT_INSTALL_METHOD_TXT,"concealed") + " conduit complete with " + if(ASS_MANUFACTURER_TXT&lt;&gt;"",ASS_MANUFACTURER_TXT,"MK") + " steel boxes and all accessories."</t>
        </is>
      </c>
    </row>
    <row r="7" ht="60" customHeight="1" s="123">
      <c r="A7" s="149" t="inlineStr">
        <is>
          <t>Bill 4</t>
        </is>
      </c>
      <c r="B7" s="149" t="inlineStr">
        <is>
          <t>Socket outlet points</t>
        </is>
      </c>
      <c r="C7" s="149" t="inlineStr">
        <is>
          <t>Electrical Fixtures</t>
        </is>
      </c>
      <c r="D7" s="149" t="inlineStr">
        <is>
          <t>Socket outlet points wired as a ring by [CBL_TYPE] copper cables in [CDT_SZ]mm heavy gauge PVC [METHOD] conduit/trunking complete with boxes for sockets on trunking and all accessories.</t>
        </is>
      </c>
      <c r="E7" s="149" t="inlineStr">
        <is>
          <t>ELC_CKT_CBL_TYPE_TXT, ELC_CDT_SZ_MM, ELC_CDT_INSTALL_METHOD_TXT</t>
        </is>
      </c>
      <c r="F7" s="149" t="inlineStr">
        <is>
          <t xml:space="preserve">Socket outlet points wired as a ring by </t>
        </is>
      </c>
      <c r="G7" s="149" t="inlineStr">
        <is>
          <t xml:space="preserve"> complete with all accessories.</t>
        </is>
      </c>
      <c r="H7" s="149" t="inlineStr">
        <is>
          <t>NO</t>
        </is>
      </c>
      <c r="I7" s="149" t="inlineStr">
        <is>
          <t>Count</t>
        </is>
      </c>
      <c r="J7" s="149" t="inlineStr">
        <is>
          <t>BOQ-ELC-Socket-Points</t>
        </is>
      </c>
      <c r="K7" s="149" t="inlineStr">
        <is>
          <t>Ring/radial from circuit type</t>
        </is>
      </c>
      <c r="L7" s="150" t="inlineStr">
        <is>
          <t>"Socket outlet points wired as a ring by " + if(ELC_CKT_CBL_TYPE_TXT&lt;&gt;"",ELC_CKT_CBL_TYPE_TXT,"3x2.5mm² SC PVC") + " copper cables in " + if(ELC_CDT_SZ_MM&lt;&gt;"",ELC_CDT_SZ_MM+"mm","25mm") + " heavy gauge PVC " + if(ELC_CDT_INSTALL_METHOD_TXT&lt;&gt;"",ELC_CDT_INSTALL_METHOD_TXT,"concealed") + " conduit/trunking complete with all accessories."</t>
        </is>
      </c>
    </row>
    <row r="8" ht="60" customHeight="1" s="123">
      <c r="A8" s="149" t="inlineStr">
        <is>
          <t>Bill 4</t>
        </is>
      </c>
      <c r="B8" s="149" t="inlineStr">
        <is>
          <t>Lighting fittings</t>
        </is>
      </c>
      <c r="C8" s="149" t="inlineStr">
        <is>
          <t>Lighting Fixtures</t>
        </is>
      </c>
      <c r="D8" s="149" t="inlineStr">
        <is>
          <t>[TYPE] [WATT]W LED [MOUNTING], [SIZE], with [CTRL] interface as [MFR] or equal approved. (Light Type [CODE])</t>
        </is>
      </c>
      <c r="E8" s="149" t="inlineStr">
        <is>
          <t>LTG_FIX_TYPE_CLASSIFICATION_TXT, LTG_FIX_LMP_WATTAGE_W, ASS_DESCRIPTION_TXT, ASS_MANUFACTURER_TXT</t>
        </is>
      </c>
      <c r="F8" s="149" t="n"/>
      <c r="G8" s="149" t="inlineStr">
        <is>
          <t xml:space="preserve"> or equal approved.</t>
        </is>
      </c>
      <c r="H8" s="149" t="inlineStr">
        <is>
          <t>NO</t>
        </is>
      </c>
      <c r="I8" s="149" t="inlineStr">
        <is>
          <t>Count</t>
        </is>
      </c>
      <c r="J8" s="149" t="inlineStr">
        <is>
          <t>BOQ-ELC-Luminaires</t>
        </is>
      </c>
      <c r="K8" s="149" t="inlineStr">
        <is>
          <t>Group by type mark</t>
        </is>
      </c>
      <c r="L8" s="150" t="inlineStr">
        <is>
          <t>if(LTG_FIX_TYPE_CLASSIFICATION_TXT&lt;&gt;"",LTG_FIX_TYPE_CLASSIFICATION_TXT,"") + " " + if(LTG_FIX_LMP_WATTAGE_W&lt;&gt;"",LTG_FIX_LMP_WATTAGE_W+"W ","") + "LED luminaire " + if(ASS_DESCRIPTION_TXT&lt;&gt;"",ASS_DESCRIPTION_TXT,"") + " as " + if(ASS_MANUFACTURER_TXT&lt;&gt;"",ASS_MANUFACTURER_TXT,"approved mfr") + " or equal approved."</t>
        </is>
      </c>
    </row>
    <row r="9" ht="60" customHeight="1" s="123">
      <c r="A9" s="149" t="inlineStr">
        <is>
          <t>Bill 4</t>
        </is>
      </c>
      <c r="B9" s="149" t="inlineStr">
        <is>
          <t>Light switches</t>
        </is>
      </c>
      <c r="C9" s="149" t="inlineStr">
        <is>
          <t>Electrical Fixtures</t>
        </is>
      </c>
      <c r="D9" s="149" t="inlineStr">
        <is>
          <t>[RATING]A [GANGS] gang [WAYS] way light switch as [MFR] or equal approved complete with all accessories.</t>
        </is>
      </c>
      <c r="E9" s="149" t="inlineStr">
        <is>
          <t>ELC_CKT_BRK_RATING_A, ASS_DESCRIPTION_TXT, ASS_MANUFACTURER_TXT</t>
        </is>
      </c>
      <c r="F9" s="149" t="n"/>
      <c r="G9" s="149" t="inlineStr">
        <is>
          <t xml:space="preserve"> complete with all accessories.</t>
        </is>
      </c>
      <c r="H9" s="149" t="inlineStr">
        <is>
          <t>NO</t>
        </is>
      </c>
      <c r="I9" s="149" t="inlineStr">
        <is>
          <t>Count</t>
        </is>
      </c>
      <c r="J9" s="149" t="inlineStr">
        <is>
          <t>BOQ-ELC-Switches</t>
        </is>
      </c>
      <c r="K9" s="149" t="n"/>
      <c r="L9" s="150" t="inlineStr">
        <is>
          <t>if(ELC_CKT_BRK_RATING_A&lt;&gt;"",ELC_CKT_BRK_RATING_A+"A ","10A ") + if(ASS_DESCRIPTION_TXT&lt;&gt;"",ASS_DESCRIPTION_TXT,"1 gang 1 way ") + "light switch as " + if(ASS_MANUFACTURER_TXT&lt;&gt;"",ASS_MANUFACTURER_TXT,"MK or equal") + " complete with all accessories."</t>
        </is>
      </c>
    </row>
    <row r="10" ht="60" customHeight="1" s="123">
      <c r="A10" s="149" t="inlineStr">
        <is>
          <t>Bill 4</t>
        </is>
      </c>
      <c r="B10" s="149" t="inlineStr">
        <is>
          <t>Sockets</t>
        </is>
      </c>
      <c r="C10" s="149" t="inlineStr">
        <is>
          <t>Electrical Fixtures</t>
        </is>
      </c>
      <c r="D10" s="149" t="inlineStr">
        <is>
          <t>[RATING]A [POLES]pin [CONFIG] switched socket outlets on wall/trunking as [MFR] or equal approved.</t>
        </is>
      </c>
      <c r="E10" s="149" t="inlineStr">
        <is>
          <t>ASS_DESCRIPTION_TXT, ASS_MANUFACTURER_TXT</t>
        </is>
      </c>
      <c r="F10" s="149" t="n"/>
      <c r="G10" s="149" t="n"/>
      <c r="H10" s="149" t="inlineStr">
        <is>
          <t>NO</t>
        </is>
      </c>
      <c r="I10" s="149" t="inlineStr">
        <is>
          <t>Count</t>
        </is>
      </c>
      <c r="J10" s="149" t="inlineStr">
        <is>
          <t>BOQ-ELC-Sockets</t>
        </is>
      </c>
      <c r="K10" s="149" t="inlineStr">
        <is>
          <t>Twin/single from type</t>
        </is>
      </c>
      <c r="L10" s="150" t="inlineStr">
        <is>
          <t>if(ELC_CKT_BRK_RATING_A&lt;&gt;"",ELC_CKT_BRK_RATING_A+"A ","13A ") + if(ASS_DESCRIPTION_TXT&lt;&gt;"",ASS_DESCRIPTION_TXT,"3-pin double ") + "switched socket outlet " + if(ASS_MANUFACTURER_TXT&lt;&gt;"",ASS_MANUFACTURER_TXT,"MK or equal") + " or equal approved."</t>
        </is>
      </c>
    </row>
    <row r="11" ht="60" customHeight="1" s="123">
      <c r="A11" s="149" t="inlineStr">
        <is>
          <t>Bill 4</t>
        </is>
      </c>
      <c r="B11" s="149" t="inlineStr">
        <is>
          <t>Cable trays</t>
        </is>
      </c>
      <c r="C11" s="149" t="inlineStr">
        <is>
          <t>Cable Trays</t>
        </is>
      </c>
      <c r="D11" s="149" t="inlineStr">
        <is>
          <t>Steel cable tray [WIDTH]x[DEPTH]mm fixed in cable duct complete with all accessories.</t>
        </is>
      </c>
      <c r="E11" s="149" t="inlineStr">
        <is>
          <t>ELC_CTR_WIDTH_MM, ELC_CTR_DEPTH_MM, ELC_CTR_MAT_TXT</t>
        </is>
      </c>
      <c r="F11" s="149" t="inlineStr">
        <is>
          <t xml:space="preserve">Steel cable tray </t>
        </is>
      </c>
      <c r="G11" s="149" t="inlineStr">
        <is>
          <t xml:space="preserve"> complete with all accessories.</t>
        </is>
      </c>
      <c r="H11" s="149" t="inlineStr">
        <is>
          <t>LM</t>
        </is>
      </c>
      <c r="I11" s="149" t="inlineStr">
        <is>
          <t>Length</t>
        </is>
      </c>
      <c r="J11" s="149" t="inlineStr">
        <is>
          <t>BOQ-ELC-CableTrays</t>
        </is>
      </c>
      <c r="K11" s="149" t="inlineStr">
        <is>
          <t>Total length per size</t>
        </is>
      </c>
      <c r="L11" s="150" t="inlineStr">
        <is>
          <t>"Steel cable tray " + if(ELC_CTR_WIDTH_MM&lt;&gt;"",ELC_CTR_WIDTH_MM,"100") + "x" + if(ELC_CTR_DEPTH_MM&lt;&gt;"",ELC_CTR_DEPTH_MM,"50") + "mm complete with all fittings and accessories."</t>
        </is>
      </c>
    </row>
    <row r="12" ht="60" customHeight="1" s="123">
      <c r="A12" s="149" t="inlineStr">
        <is>
          <t>Bill 4</t>
        </is>
      </c>
      <c r="B12" s="149" t="inlineStr">
        <is>
          <t>Conduits</t>
        </is>
      </c>
      <c r="C12" s="149" t="inlineStr">
        <is>
          <t>Conduits</t>
        </is>
      </c>
      <c r="D12" s="149" t="inlineStr">
        <is>
          <t>[CDT_SZ]mm [CDT_MAT] conduit [METHOD] complete with all accessories.</t>
        </is>
      </c>
      <c r="E12" s="149" t="inlineStr">
        <is>
          <t>ELC_CDT_SZ_MM, ELC_CDT_MAT_TXT, ELC_CDT_INSTALL_METHOD_TXT</t>
        </is>
      </c>
      <c r="F12" s="149" t="n"/>
      <c r="G12" s="149" t="inlineStr">
        <is>
          <t xml:space="preserve"> complete with all accessories.</t>
        </is>
      </c>
      <c r="H12" s="149" t="inlineStr">
        <is>
          <t>LM</t>
        </is>
      </c>
      <c r="I12" s="149" t="inlineStr">
        <is>
          <t>Length</t>
        </is>
      </c>
      <c r="J12" s="149" t="inlineStr">
        <is>
          <t>BOQ-ELC-Conduits</t>
        </is>
      </c>
      <c r="K12" s="149" t="inlineStr">
        <is>
          <t>Group by size+material</t>
        </is>
      </c>
      <c r="L12" s="150" t="inlineStr">
        <is>
          <t>if(ELC_CDT_SZ_MM&lt;&gt;"",ELC_CDT_SZ_MM+"mm","25mm") + " heavy gauge PVC " + if(ELC_CDT_INSTALL_METHOD_TXT&lt;&gt;"",ELC_CDT_INSTALL_METHOD_TXT,"concealed") + " conduit complete with all accessories." + if(ELC_CDT_CBL_FILL_PCT&gt;40," [!FILL&gt;40%]","")</t>
        </is>
      </c>
    </row>
    <row r="13" ht="60" customHeight="1" s="123">
      <c r="A13" s="149" t="inlineStr">
        <is>
          <t>Bill 4</t>
        </is>
      </c>
      <c r="B13" s="149" t="inlineStr">
        <is>
          <t>DB panels</t>
        </is>
      </c>
      <c r="C13" s="149" t="inlineStr">
        <is>
          <t>Electrical Equipment</t>
        </is>
      </c>
      <c r="D13" s="149" t="inlineStr">
        <is>
          <t>[DESIGNATION] distribution board, [VLT]V [PHS]-phase, [WAYS] ways, [MAIN]A main breaker, [SC]kA fault level, complete with all MCBs, RCDs and accessories.</t>
        </is>
      </c>
      <c r="E13" s="149" t="inlineStr">
        <is>
          <t>ELC_PNL_DESIGNATION_NAME_TXT, ELC_PNL_VLT_V, ELC_PNL_PHS_COUNT_NR, ELC_PNL_NUM_OF_WAYS_NR, ELC_PNL_MAIN_BRK_A, ELC_PNL_SHORT_CIRCUIT_KA</t>
        </is>
      </c>
      <c r="F13" s="149" t="n"/>
      <c r="G13" s="149" t="inlineStr">
        <is>
          <t xml:space="preserve"> complete with all MCBs, RCDs and accessories.</t>
        </is>
      </c>
      <c r="H13" s="149" t="inlineStr">
        <is>
          <t>NO</t>
        </is>
      </c>
      <c r="I13" s="149" t="inlineStr">
        <is>
          <t>Count</t>
        </is>
      </c>
      <c r="J13" s="149" t="inlineStr">
        <is>
          <t>BOQ-ELC-DBPanels</t>
        </is>
      </c>
      <c r="K13" s="149" t="inlineStr">
        <is>
          <t>1 per panel</t>
        </is>
      </c>
      <c r="L13" s="150" t="inlineStr">
        <is>
          <t>if(ELC_PNL_DESIGNATION_NAME_TXT&lt;&gt;"",ELC_PNL_DESIGNATION_NAME_TXT,"DB") + " distribution board, " + if(ELC_PNL_VLT_V&lt;&gt;"",ELC_PNL_VLT_V+"V ","230V ") + if(ELC_PNL_PHS_COUNT_NR&lt;&gt;"",ELC_PNL_PHS_COUNT_NR+"-phase, ","1-phase, ") + if(ELC_PNL_NUM_OF_WAYS_NR&lt;&gt;"",ELC_PNL_NUM_OF_WAYS_NR+" ways, ","? ways, ") + if(ELC_PNL_MAIN_BRK_A&lt;&gt;"",ELC_PNL_MAIN_BRK_A+"A main, ","?A main, ") + if(ELC_PNL_SHORT_CIRCUIT_KA&lt;&gt;"",ELC_PNL_SHORT_CIRCUIT_KA+"kA fault, ","") + "complete with all MCBs, RCDs and accessories." + if(ELC_PNL_CONNECTED_LOAD_KW&gt;ELC_PNL_RATED_KW*0.8," [!OVERLOADED]","") + if(ELC_PNL_SHORT_CIRCUIT_KA&lt;6," [!SC&lt;6kA]","")</t>
        </is>
      </c>
    </row>
    <row r="14" ht="60" customHeight="1" s="123">
      <c r="A14" s="149" t="inlineStr">
        <is>
          <t>Bill 4</t>
        </is>
      </c>
      <c r="B14" s="149" t="inlineStr">
        <is>
          <t>Fire alarm points</t>
        </is>
      </c>
      <c r="C14" s="149" t="inlineStr">
        <is>
          <t>Fire Alarm Devices</t>
        </is>
      </c>
      <c r="D14" s="149" t="inlineStr">
        <is>
          <t>Fire alarm [TYPE] points in [CDT_SZ]mm heavy gauge PVC [METHOD] conduit complete with all accessories.</t>
        </is>
      </c>
      <c r="E14" s="149" t="inlineStr">
        <is>
          <t>FLS_SFTY_DEV_TYPE_TXT, ELC_CDT_SZ_MM, ELC_CDT_INSTALL_METHOD_TXT</t>
        </is>
      </c>
      <c r="F14" s="149" t="inlineStr">
        <is>
          <t xml:space="preserve">Fire alarm </t>
        </is>
      </c>
      <c r="G14" s="149" t="inlineStr">
        <is>
          <t xml:space="preserve"> complete with all accessories.</t>
        </is>
      </c>
      <c r="H14" s="149" t="inlineStr">
        <is>
          <t>NO</t>
        </is>
      </c>
      <c r="I14" s="149" t="inlineStr">
        <is>
          <t>Count</t>
        </is>
      </c>
      <c r="J14" s="149" t="inlineStr">
        <is>
          <t>BOQ-ELC-FireAlarm</t>
        </is>
      </c>
      <c r="K14" s="149" t="inlineStr">
        <is>
          <t>Detectors, MCPs, sounders</t>
        </is>
      </c>
      <c r="L14" s="150" t="inlineStr">
        <is>
          <t>"Fire alarm " + if(FLS_SFTY_DEV_TYPE_TXT&lt;&gt;"",FLS_SFTY_DEV_TYPE_TXT,"detector") + " in " + if(ELC_CDT_SZ_MM&lt;&gt;"",ELC_CDT_SZ_MM+"mm","20mm") + " PVC " + if(ELC_CDT_INSTALL_METHOD_TXT&lt;&gt;"",ELC_CDT_INSTALL_METHOD_TXT,"concealed") + " conduit complete with all accessories."</t>
        </is>
      </c>
    </row>
    <row r="15" ht="60" customHeight="1" s="123">
      <c r="A15" s="149" t="inlineStr">
        <is>
          <t>Bill 4</t>
        </is>
      </c>
      <c r="B15" s="149" t="inlineStr">
        <is>
          <t>CCTV / security</t>
        </is>
      </c>
      <c r="C15" s="149" t="inlineStr">
        <is>
          <t>Security Devices</t>
        </is>
      </c>
      <c r="D15" s="149" t="inlineStr">
        <is>
          <t>[TYPE] points in [CDT_SZ]mm heavy gauge PVC concealed conduit/trunking complete with all accessories.</t>
        </is>
      </c>
      <c r="E15" s="149" t="inlineStr">
        <is>
          <t>SEC_DEV_TYPE_TXT, ELC_CDT_SZ_MM</t>
        </is>
      </c>
      <c r="F15" s="149" t="n"/>
      <c r="G15" s="149" t="inlineStr">
        <is>
          <t xml:space="preserve"> complete with all accessories.</t>
        </is>
      </c>
      <c r="H15" s="149" t="inlineStr">
        <is>
          <t>NO</t>
        </is>
      </c>
      <c r="I15" s="149" t="inlineStr">
        <is>
          <t>Count</t>
        </is>
      </c>
      <c r="J15" s="149" t="inlineStr">
        <is>
          <t>BOQ-ELC-Security</t>
        </is>
      </c>
      <c r="K15" s="149" t="inlineStr">
        <is>
          <t>CCTV, access control</t>
        </is>
      </c>
      <c r="L15" s="150" t="inlineStr">
        <is>
          <t>"CCTV " + if(SEC_DEV_TYPE_TXT&lt;&gt;"",SEC_DEV_TYPE_TXT,"dome camera") + " in " + if(ELC_CDT_SZ_MM&lt;&gt;"",ELC_CDT_SZ_MM+"mm","25mm") + " PVC concealed conduit, " + if(ASS_MANUFACTURER_TXT&lt;&gt;"",ASS_MANUFACTURER_TXT,"Hikvision or equal") + " complete with bracket and accessories."</t>
        </is>
      </c>
    </row>
    <row r="16" ht="15" customHeight="1" s="123">
      <c r="A16" s="135" t="inlineStr">
        <is>
          <t>BILL No.5 — MECHANICAL INSTALLATIONS</t>
        </is>
      </c>
      <c r="B16" s="136" t="n"/>
      <c r="C16" s="136" t="n"/>
      <c r="D16" s="136" t="n"/>
      <c r="E16" s="136" t="n"/>
      <c r="F16" s="136" t="n"/>
      <c r="G16" s="136" t="n"/>
      <c r="H16" s="136" t="n"/>
      <c r="I16" s="136" t="n"/>
      <c r="J16" s="136" t="n"/>
      <c r="K16" s="137" t="n"/>
    </row>
    <row r="17" ht="60" customHeight="1" s="123">
      <c r="A17" s="149" t="inlineStr">
        <is>
          <t>Bill 5</t>
        </is>
      </c>
      <c r="B17" s="149" t="inlineStr">
        <is>
          <t>Sanitary fittings (WC)</t>
        </is>
      </c>
      <c r="C17" s="149" t="inlineStr">
        <is>
          <t>Plumbing Fixtures</t>
        </is>
      </c>
      <c r="D17" s="149" t="inlineStr">
        <is>
          <t>[MFR_DESC] WC pan [TYPE], [COLOUR] colour, vitreous china to BS3402 with [OUTLET] outlet complete with flush valve, seat and cover and all accessories.</t>
        </is>
      </c>
      <c r="E17" s="149" t="inlineStr">
        <is>
          <t>ASS_DESCRIPTION_TXT, ASS_MANUFACTURER_TXT, ASS_MODEL_NR_TXT</t>
        </is>
      </c>
      <c r="F17" s="149" t="n"/>
      <c r="G17" s="149" t="inlineStr">
        <is>
          <t xml:space="preserve"> and all accessories.</t>
        </is>
      </c>
      <c r="H17" s="149" t="inlineStr">
        <is>
          <t>NO</t>
        </is>
      </c>
      <c r="I17" s="149" t="inlineStr">
        <is>
          <t>Count</t>
        </is>
      </c>
      <c r="J17" s="149" t="inlineStr">
        <is>
          <t>BOQ-PLM-SanitaryWC</t>
        </is>
      </c>
      <c r="K17" s="149" t="inlineStr">
        <is>
          <t>Group by type mark</t>
        </is>
      </c>
      <c r="L17" s="150" t="inlineStr">
        <is>
          <t>if(ASS_MANUFACTURER_TXT&lt;&gt;"",ASS_MANUFACTURER_TXT,"Armitage Shanks or equal") + " WC pan " + if(ASS_MODEL_NR_TXT&lt;&gt;"",ASS_MODEL_NR_TXT,"") + ", " + if(ASS_DESCRIPTION_TXT&lt;&gt;"",ASS_DESCRIPTION_TXT,"white vitreous china") + ", complete with close coupled cistern, soft close seat and cover and all accessories."</t>
        </is>
      </c>
    </row>
    <row r="18" ht="60" customHeight="1" s="123">
      <c r="A18" s="149" t="inlineStr">
        <is>
          <t>Bill 5</t>
        </is>
      </c>
      <c r="B18" s="149" t="inlineStr">
        <is>
          <t>Sanitary fittings (WHB)</t>
        </is>
      </c>
      <c r="C18" s="149" t="inlineStr">
        <is>
          <t>Plumbing Fixtures</t>
        </is>
      </c>
      <c r="D18" s="149" t="inlineStr">
        <is>
          <t>[DIM] countertop vitreous china wash hand basin, with [TAPS] tap hole [WASTE] chrome plated waste, plastic bottle trap, complete with all accessories as [MFR] or equal approved.</t>
        </is>
      </c>
      <c r="E18" s="149" t="inlineStr">
        <is>
          <t>ASS_DESCRIPTION_TXT, ASS_MANUFACTURER_TXT</t>
        </is>
      </c>
      <c r="F18" s="149" t="n"/>
      <c r="G18" s="149" t="inlineStr">
        <is>
          <t xml:space="preserve"> or equal approved.</t>
        </is>
      </c>
      <c r="H18" s="149" t="inlineStr">
        <is>
          <t>NO</t>
        </is>
      </c>
      <c r="I18" s="149" t="inlineStr">
        <is>
          <t>Count</t>
        </is>
      </c>
      <c r="J18" s="149" t="inlineStr">
        <is>
          <t>BOQ-PLM-SanitaryWHB</t>
        </is>
      </c>
      <c r="K18" s="149" t="n"/>
      <c r="L18" s="150" t="inlineStr">
        <is>
          <t>if(ASS_DESCRIPTION_TXT&lt;&gt;"",ASS_DESCRIPTION_TXT,"600mm WHB") + " wash hand basin, " + if(ASS_MANUFACTURER_TXT&lt;&gt;"",ASS_MANUFACTURER_TXT,"or equal") + " complete with mixer tap, waste, trap and all accessories."</t>
        </is>
      </c>
    </row>
    <row r="19" ht="60" customHeight="1" s="123">
      <c r="A19" s="149" t="inlineStr">
        <is>
          <t>Bill 5</t>
        </is>
      </c>
      <c r="B19" s="149" t="inlineStr">
        <is>
          <t>PPR pipework</t>
        </is>
      </c>
      <c r="C19" s="149" t="inlineStr">
        <is>
          <t>Pipes</t>
        </is>
      </c>
      <c r="D19" s="149" t="inlineStr">
        <is>
          <t>[SZ]mm PPR pipe work [PN_RATING] complete with fittings.</t>
        </is>
      </c>
      <c r="E19" s="149" t="inlineStr">
        <is>
          <t>PLM_PPE_SZ_MM, PLM_PPE_PSR_RATING_BAR, PLM_PPE_MAT_TXT</t>
        </is>
      </c>
      <c r="F19" s="149" t="n"/>
      <c r="G19" s="149" t="inlineStr">
        <is>
          <t xml:space="preserve"> complete with fittings.</t>
        </is>
      </c>
      <c r="H19" s="149" t="inlineStr">
        <is>
          <t>LM</t>
        </is>
      </c>
      <c r="I19" s="149" t="inlineStr">
        <is>
          <t>Length</t>
        </is>
      </c>
      <c r="J19" s="149" t="inlineStr">
        <is>
          <t>BOQ-PLM-Pipework</t>
        </is>
      </c>
      <c r="K19" s="149" t="inlineStr">
        <is>
          <t>Group by size + material</t>
        </is>
      </c>
      <c r="L19" s="150" t="inlineStr">
        <is>
          <t>if(PLM_PPE_SZ_MM&lt;&gt;"",PLM_PPE_SZ_MM+"mm ","") + if(PLM_PPE_MAT_TXT&lt;&gt;"",PLM_PPE_MAT_TXT+" ","PPR ") + "pipe " + if(PLM_PPE_PSR_RATING_BAR&lt;&gt;"",PLM_PPE_PSR_RATING_BAR+" bar rated ","") + "complete with fittings." + if(PLM_VEL_MPS&gt;2.0," [!VEL&gt;2.0]","") + if(or(PLM_PSR_KPA&lt;150,PLM_PSR_KPA&gt;600)," [!PSR]","")</t>
        </is>
      </c>
    </row>
    <row r="20" ht="60" customHeight="1" s="123">
      <c r="A20" s="149" t="inlineStr">
        <is>
          <t>Bill 5</t>
        </is>
      </c>
      <c r="B20" s="149" t="inlineStr">
        <is>
          <t>Globe valves</t>
        </is>
      </c>
      <c r="C20" s="149" t="inlineStr">
        <is>
          <t>Pipe Accessories</t>
        </is>
      </c>
      <c r="D20" s="149" t="inlineStr">
        <is>
          <t>[SZ]mm globe valves.</t>
        </is>
      </c>
      <c r="E20" s="149" t="inlineStr">
        <is>
          <t>PLM_VLV_SZ_NR</t>
        </is>
      </c>
      <c r="F20" s="149" t="n"/>
      <c r="G20" s="149" t="n"/>
      <c r="H20" s="149" t="inlineStr">
        <is>
          <t>NO</t>
        </is>
      </c>
      <c r="I20" s="149" t="inlineStr">
        <is>
          <t>Count</t>
        </is>
      </c>
      <c r="J20" s="149" t="inlineStr">
        <is>
          <t>BOQ-PLM-Valves</t>
        </is>
      </c>
      <c r="K20" s="149" t="inlineStr">
        <is>
          <t>Group by size + type</t>
        </is>
      </c>
      <c r="L20" s="150" t="inlineStr">
        <is>
          <t>if(PLM_VLV_SZ_NR&lt;&gt;"",PLM_VLV_SZ_NR+"mm ","") + if(PLM_VLV_TYPE_TXT&lt;&gt;"",PLM_VLV_TYPE_TXT,"globe valve") + "."</t>
        </is>
      </c>
    </row>
    <row r="21" ht="60" customHeight="1" s="123">
      <c r="A21" s="149" t="inlineStr">
        <is>
          <t>Bill 5</t>
        </is>
      </c>
      <c r="B21" s="149" t="inlineStr">
        <is>
          <t>Drainage pipework</t>
        </is>
      </c>
      <c r="C21" s="149" t="inlineStr">
        <is>
          <t>Pipes (drainage system)</t>
        </is>
      </c>
      <c r="D21" s="149" t="inlineStr">
        <is>
          <t>[SZ]mm PVC soil waste pipe on wall and/or in duct.</t>
        </is>
      </c>
      <c r="E21" s="149" t="inlineStr">
        <is>
          <t>PLM_PPE_SZ_MM, PLM_PPE_MAT_TXT</t>
        </is>
      </c>
      <c r="F21" s="149" t="n"/>
      <c r="G21" s="149" t="n"/>
      <c r="H21" s="149" t="inlineStr">
        <is>
          <t>LM</t>
        </is>
      </c>
      <c r="I21" s="149" t="inlineStr">
        <is>
          <t>Length</t>
        </is>
      </c>
      <c r="J21" s="149" t="inlineStr">
        <is>
          <t>BOQ-PLM-Drainage</t>
        </is>
      </c>
      <c r="K21" s="149" t="inlineStr">
        <is>
          <t>System type = drainage filter</t>
        </is>
      </c>
      <c r="L21" s="150" t="inlineStr">
        <is>
          <t>if(PLM_PPE_SZ_MM&lt;&gt;"",PLM_PPE_SZ_MM+"mm ","") + if(PLM_DRN_BODY_MAT_TXT&lt;&gt;"",PLM_DRN_BODY_MAT_TXT+" ","uPVC ") + "drainage pipe complete with fittings."</t>
        </is>
      </c>
    </row>
    <row r="22" ht="60" customHeight="1" s="123">
      <c r="A22" s="149" t="inlineStr">
        <is>
          <t>Bill 5</t>
        </is>
      </c>
      <c r="B22" s="149" t="inlineStr">
        <is>
          <t>Water heaters</t>
        </is>
      </c>
      <c r="C22" s="149" t="inlineStr">
        <is>
          <t>Plumbing Equipment</t>
        </is>
      </c>
      <c r="D22" s="149" t="inlineStr">
        <is>
          <t>Pressure type under sink water heater [CAP]litres with glass lining complete with all accessories as [MFR] or equal approved.</t>
        </is>
      </c>
      <c r="E22" s="149" t="inlineStr">
        <is>
          <t>PLM_CAP_CU_M, ASS_MANUFACTURER_TXT</t>
        </is>
      </c>
      <c r="F22" s="149" t="n"/>
      <c r="G22" s="149" t="inlineStr">
        <is>
          <t xml:space="preserve"> or equal approved.</t>
        </is>
      </c>
      <c r="H22" s="149" t="inlineStr">
        <is>
          <t>NO</t>
        </is>
      </c>
      <c r="I22" s="149" t="inlineStr">
        <is>
          <t>Count</t>
        </is>
      </c>
      <c r="J22" s="149" t="inlineStr">
        <is>
          <t>BOQ-PLM-WaterHeater</t>
        </is>
      </c>
      <c r="K22" s="149" t="n"/>
      <c r="L22" s="150" t="inlineStr">
        <is>
          <t>if(PLM_HOTWTR_CAPACITY_L&lt;&gt;"",PLM_HOTWTR_CAPACITY_L+"L ","") + if(PLM_HOTWTR_FUEL_TYPE_TXT&lt;&gt;"",PLM_HOTWTR_FUEL_TYPE_TXT+" ","electric ") + "water heater complete with PRV, thermostat and accessories as " + if(ASS_MANUFACTURER_TXT&lt;&gt;"",ASS_MANUFACTURER_TXT,"approved manufacturer") + " or equal."</t>
        </is>
      </c>
    </row>
    <row r="23" ht="15" customHeight="1" s="123">
      <c r="A23" s="135" t="inlineStr">
        <is>
          <t>BILL No.6 — FIRE FIGHTING INSTALLATIONS</t>
        </is>
      </c>
      <c r="B23" s="136" t="n"/>
      <c r="C23" s="136" t="n"/>
      <c r="D23" s="136" t="n"/>
      <c r="E23" s="136" t="n"/>
      <c r="F23" s="136" t="n"/>
      <c r="G23" s="136" t="n"/>
      <c r="H23" s="136" t="n"/>
      <c r="I23" s="136" t="n"/>
      <c r="J23" s="136" t="n"/>
      <c r="K23" s="137" t="n"/>
    </row>
    <row r="24" ht="15" customHeight="1" s="123">
      <c r="A24" s="149" t="inlineStr">
        <is>
          <t>Bill 6</t>
        </is>
      </c>
      <c r="B24" s="149" t="inlineStr">
        <is>
          <t>Fire extinguishers</t>
        </is>
      </c>
      <c r="C24" s="149" t="inlineStr">
        <is>
          <t>Specialty Equipment</t>
        </is>
      </c>
      <c r="D24" s="149" t="inlineStr">
        <is>
          <t>[TYPE] portable fire extinguisher [CAPACITY]kg as [MFR] model [MODEL] or equal approved.</t>
        </is>
      </c>
      <c r="E24" s="149" t="inlineStr">
        <is>
          <t>ASS_DESCRIPTION_TXT, ASS_MANUFACTURER_TXT, ASS_MODEL_NR_TXT</t>
        </is>
      </c>
      <c r="F24" s="149" t="n"/>
      <c r="G24" s="149" t="inlineStr">
        <is>
          <t xml:space="preserve"> or equal approved.</t>
        </is>
      </c>
      <c r="H24" s="149" t="inlineStr">
        <is>
          <t>NO</t>
        </is>
      </c>
      <c r="I24" s="149" t="inlineStr">
        <is>
          <t>Count</t>
        </is>
      </c>
      <c r="J24" s="149" t="inlineStr">
        <is>
          <t>BOQ-FLS-Extinguishers</t>
        </is>
      </c>
      <c r="K24" s="149" t="inlineStr">
        <is>
          <t>CO2, powder, foam types</t>
        </is>
      </c>
    </row>
    <row r="25" ht="21.75" customHeight="1" s="123">
      <c r="A25" s="149" t="inlineStr">
        <is>
          <t>Bill 6</t>
        </is>
      </c>
      <c r="B25" s="149" t="inlineStr">
        <is>
          <t>Hose reels</t>
        </is>
      </c>
      <c r="C25" s="149" t="inlineStr">
        <is>
          <t>Specialty Equipment</t>
        </is>
      </c>
      <c r="D25" s="149" t="inlineStr">
        <is>
          <t>Swinging arm automatic semi-rigid hose reel [DIA]mm diameter and [LENGTH]m long to [STD] complete with all accessories as [MFR] or equal approved.</t>
        </is>
      </c>
      <c r="E25" s="149" t="inlineStr">
        <is>
          <t>ASS_DESCRIPTION_TXT, RGL_STD_TXT, ASS_MANUFACTURER_TXT, ASS_MODEL_NR_TXT</t>
        </is>
      </c>
      <c r="F25" s="149" t="n"/>
      <c r="G25" s="149" t="inlineStr">
        <is>
          <t xml:space="preserve"> or equal approved.</t>
        </is>
      </c>
      <c r="H25" s="149" t="inlineStr">
        <is>
          <t>NO</t>
        </is>
      </c>
      <c r="I25" s="149" t="inlineStr">
        <is>
          <t>Count</t>
        </is>
      </c>
      <c r="J25" s="149" t="inlineStr">
        <is>
          <t>BOQ-FLS-HoseReels</t>
        </is>
      </c>
      <c r="K25" s="149" t="n"/>
    </row>
    <row r="26" ht="60" customHeight="1" s="123">
      <c r="A26" s="149" t="inlineStr">
        <is>
          <t>Bill 6</t>
        </is>
      </c>
      <c r="B26" s="149" t="inlineStr">
        <is>
          <t>Sprinkler pipework</t>
        </is>
      </c>
      <c r="C26" s="149" t="inlineStr">
        <is>
          <t>Pipes (sprinkler system)</t>
        </is>
      </c>
      <c r="D26" s="149" t="inlineStr">
        <is>
          <t>[SZ]mm Black Seamless Steel SCH40 pipe complete with all accessories.</t>
        </is>
      </c>
      <c r="E26" s="149" t="inlineStr">
        <is>
          <t>PLM_PPE_SZ_MM, PLM_PPE_MAT_TXT, PLM_PPE_PSR_RATING_BAR</t>
        </is>
      </c>
      <c r="F26" s="149" t="n"/>
      <c r="G26" s="149" t="inlineStr">
        <is>
          <t xml:space="preserve"> complete with all accessories.</t>
        </is>
      </c>
      <c r="H26" s="149" t="inlineStr">
        <is>
          <t>LM</t>
        </is>
      </c>
      <c r="I26" s="149" t="inlineStr">
        <is>
          <t>Length</t>
        </is>
      </c>
      <c r="J26" s="149" t="inlineStr">
        <is>
          <t>BOQ-FLS-Pipework</t>
        </is>
      </c>
      <c r="K26" s="149" t="inlineStr">
        <is>
          <t>System type = sprinkler filter</t>
        </is>
      </c>
      <c r="L26" s="150" t="inlineStr">
        <is>
          <t>if(PLM_PPE_SZ_MM&lt;&gt;"",PLM_PPE_SZ_MM+"mm ","") + if(PLM_PPE_MAT_TXT&lt;&gt;"",PLM_PPE_MAT_TXT+" ","black steel ") + "sprinkler distribution pipe complete with fittings."</t>
        </is>
      </c>
    </row>
    <row r="27" ht="60" customHeight="1" s="123">
      <c r="A27" s="149" t="inlineStr">
        <is>
          <t>Bill 6</t>
        </is>
      </c>
      <c r="B27" s="149" t="inlineStr">
        <is>
          <t>Sprinkler heads</t>
        </is>
      </c>
      <c r="C27" s="149" t="inlineStr">
        <is>
          <t>Sprinklers</t>
        </is>
      </c>
      <c r="D27" s="149" t="inlineStr">
        <is>
          <t>Sprinkler heads [TEMP] deg C resistant.</t>
        </is>
      </c>
      <c r="E27" s="149" t="inlineStr">
        <is>
          <t>FLS_SFTY_TEMP_RATING_C</t>
        </is>
      </c>
      <c r="F27" s="149" t="inlineStr">
        <is>
          <t xml:space="preserve">Sprinkler heads </t>
        </is>
      </c>
      <c r="G27" s="149" t="inlineStr">
        <is>
          <t xml:space="preserve"> resistant.</t>
        </is>
      </c>
      <c r="H27" s="149" t="inlineStr">
        <is>
          <t>NO</t>
        </is>
      </c>
      <c r="I27" s="149" t="inlineStr">
        <is>
          <t>Count</t>
        </is>
      </c>
      <c r="J27" s="149" t="inlineStr">
        <is>
          <t>BOQ-FLS-Sprinklers</t>
        </is>
      </c>
      <c r="K27" s="149" t="n"/>
      <c r="L27" s="150" t="inlineStr">
        <is>
          <t>if(FLS_SPK_TYPE_TXT&lt;&gt;"",FLS_SPK_TYPE_TXT,"Concealed pendant") + " sprinkler head " + if(FLS_SPK_ACTIVATION_TEMP_C&lt;&gt;"",FLS_SPK_ACTIVATION_TEMP_C+"°C ","68°C ") + if(FLS_SPK_COVERAGE_M2&lt;&gt;"",FLS_SPK_COVERAGE_M2+"m² coverage ","") + "complete with accessories."</t>
        </is>
      </c>
    </row>
    <row r="28" ht="15" customHeight="1" s="123">
      <c r="A28" s="135" t="inlineStr">
        <is>
          <t>BILL No.7 — HVAC INSTALLATIONS</t>
        </is>
      </c>
      <c r="B28" s="136" t="n"/>
      <c r="C28" s="136" t="n"/>
      <c r="D28" s="136" t="n"/>
      <c r="E28" s="136" t="n"/>
      <c r="F28" s="136" t="n"/>
      <c r="G28" s="136" t="n"/>
      <c r="H28" s="136" t="n"/>
      <c r="I28" s="136" t="n"/>
      <c r="J28" s="136" t="n"/>
      <c r="K28" s="137" t="n"/>
    </row>
    <row r="29" ht="60" customHeight="1" s="123">
      <c r="A29" s="149" t="inlineStr">
        <is>
          <t>Bill 7</t>
        </is>
      </c>
      <c r="B29" s="149" t="inlineStr">
        <is>
          <t>Indoor VRF units</t>
        </is>
      </c>
      <c r="C29" s="149" t="inlineStr">
        <is>
          <t>Mechanical Equipment</t>
        </is>
      </c>
      <c r="D29" s="149" t="inlineStr">
        <is>
          <t>[CAP]kW ([BTU] Btu/hr) Model: [MODEL] [TYPE] AC units.</t>
        </is>
      </c>
      <c r="E29" s="149" t="inlineStr">
        <is>
          <t>HVC_CAP_KW, ASS_MODEL_NR_TXT, ASS_DESCRIPTION_TXT</t>
        </is>
      </c>
      <c r="F29" s="149" t="inlineStr">
        <is>
          <t xml:space="preserve">Supply, installation, testing and commissioning of </t>
        </is>
      </c>
      <c r="G29" s="149" t="n"/>
      <c r="H29" s="149" t="inlineStr">
        <is>
          <t>NO</t>
        </is>
      </c>
      <c r="I29" s="149" t="inlineStr">
        <is>
          <t>Count</t>
        </is>
      </c>
      <c r="J29" s="149" t="inlineStr">
        <is>
          <t>BOQ-HVC-IndoorUnits</t>
        </is>
      </c>
      <c r="K29" s="149" t="inlineStr">
        <is>
          <t>Group by type mark</t>
        </is>
      </c>
      <c r="L29" s="150" t="inlineStr">
        <is>
          <t>if(ASS_MANUFACTURER_TXT&lt;&gt;"",ASS_MANUFACTURER_TXT,"VRF") + " indoor " + if(HVC_UNIT_TYPE_TXT&lt;&gt;"",HVC_UNIT_TYPE_TXT,"cassette") + " unit " + if(HVC_CAP_KW&lt;&gt;"",HVC_CAP_KW+"kW cooling, ","TBC kW, ") + "complete with drain, remote control and accessories."</t>
        </is>
      </c>
    </row>
    <row r="30" ht="60" customHeight="1" s="123">
      <c r="A30" s="149" t="inlineStr">
        <is>
          <t>Bill 7</t>
        </is>
      </c>
      <c r="B30" s="149" t="inlineStr">
        <is>
          <t>Outdoor condensing units</t>
        </is>
      </c>
      <c r="C30" s="149" t="inlineStr">
        <is>
          <t>Mechanical Equipment</t>
        </is>
      </c>
      <c r="D30" s="149" t="inlineStr">
        <is>
          <t>Condensing unit of total cooling capacity [CAP]kW, [MODEL], Input: [PWR]kW ([PHS]Ph [VLT]V 50Hz).</t>
        </is>
      </c>
      <c r="E30" s="149" t="inlineStr">
        <is>
          <t>HVC_CAP_KW, ASS_MODEL_NR_TXT, HVC_PWR_KW, ELC_PNL_PHS_COUNT_NR, HVC_VLT_V</t>
        </is>
      </c>
      <c r="F30" s="149" t="n"/>
      <c r="G30" s="149" t="n"/>
      <c r="H30" s="149" t="inlineStr">
        <is>
          <t>NO</t>
        </is>
      </c>
      <c r="I30" s="149" t="inlineStr">
        <is>
          <t>Count</t>
        </is>
      </c>
      <c r="J30" s="149" t="inlineStr">
        <is>
          <t>BOQ-HVC-OutdoorUnits</t>
        </is>
      </c>
      <c r="K30" s="149" t="n"/>
      <c r="L30" s="150" t="inlineStr">
        <is>
          <t>if(ASS_MANUFACTURER_TXT&lt;&gt;"",ASS_MANUFACTURER_TXT,"VRF") + " outdoor condensing unit " + if(HVC_CAP_KW&lt;&gt;"",HVC_CAP_KW+"kW cooling, ","TBC kW, ") + if(HVC_REFRIGERANT_TXT&lt;&gt;"",HVC_REFRIGERANT_TXT+" refrigerant, ","R410A, ") + if(HVC_EFF_RATIO_NR&lt;&gt;"",HVC_EFF_RATIO_NR+" COP, ","") + "complete with frame and vibration isolators."</t>
        </is>
      </c>
    </row>
    <row r="31" ht="60" customHeight="1" s="123">
      <c r="A31" s="149" t="inlineStr">
        <is>
          <t>Bill 7</t>
        </is>
      </c>
      <c r="B31" s="149" t="inlineStr">
        <is>
          <t>Refrigerant piping</t>
        </is>
      </c>
      <c r="C31" s="149" t="inlineStr">
        <is>
          <t>Pipes (refrigerant system)</t>
        </is>
      </c>
      <c r="D31" s="149" t="inlineStr">
        <is>
          <t>[SZ]mm refrigerant copper pipe.</t>
        </is>
      </c>
      <c r="E31" s="149" t="inlineStr">
        <is>
          <t>PLM_PPE_SZ_MM</t>
        </is>
      </c>
      <c r="F31" s="149" t="n"/>
      <c r="G31" s="149" t="n"/>
      <c r="H31" s="149" t="inlineStr">
        <is>
          <t>LM</t>
        </is>
      </c>
      <c r="I31" s="149" t="inlineStr">
        <is>
          <t>Length</t>
        </is>
      </c>
      <c r="J31" s="149" t="inlineStr">
        <is>
          <t>BOQ-HVC-RefrigPipework</t>
        </is>
      </c>
      <c r="K31" s="149" t="inlineStr">
        <is>
          <t>System type filter</t>
        </is>
      </c>
      <c r="L31" s="150" t="inlineStr">
        <is>
          <t>if(PLM_PPE_SZ_MM&lt;&gt;"",PLM_PPE_SZ_MM+"mm ","") + "copper refrigerant " + if(ASS_DESCRIPTION_TXT&lt;&gt;"",ASS_DESCRIPTION_TXT,"liquid/suction") + " pipe insulated, complete with fittings."</t>
        </is>
      </c>
    </row>
    <row r="32" ht="60" customHeight="1" s="123">
      <c r="A32" s="149" t="inlineStr">
        <is>
          <t>Bill 7</t>
        </is>
      </c>
      <c r="B32" s="149" t="inlineStr">
        <is>
          <t>Ductwork</t>
        </is>
      </c>
      <c r="C32" s="149" t="inlineStr">
        <is>
          <t>Ducts</t>
        </is>
      </c>
      <c r="D32" s="149" t="inlineStr">
        <is>
          <t>[CLASS]-class [MAT] duct [W]x[H]mm / DN[DIA]mm.</t>
        </is>
      </c>
      <c r="E32" s="149" t="inlineStr">
        <is>
          <t>HVC_DUCT_CLASS_TXT, HVC_DCT_MAT_TXT, Width, Height</t>
        </is>
      </c>
      <c r="F32" s="149" t="n"/>
      <c r="G32" s="149" t="n"/>
      <c r="H32" s="149" t="inlineStr">
        <is>
          <t>LM or SM</t>
        </is>
      </c>
      <c r="I32" s="149" t="inlineStr">
        <is>
          <t>Length or Area</t>
        </is>
      </c>
      <c r="J32" s="149" t="inlineStr">
        <is>
          <t>BOQ-HVC-Ducts</t>
        </is>
      </c>
      <c r="K32" s="149" t="inlineStr">
        <is>
          <t>GI, flexible, insulated</t>
        </is>
      </c>
      <c r="L32" s="150" t="inlineStr">
        <is>
          <t>"GMS " + if(HVC_DUCT_CLASS_TXT&lt;&gt;"",HVC_DUCT_CLASS_TXT,"Class B") + " duct " + if(HVC_DCT_SZ_W_MM&lt;&gt;"",HVC_DCT_SZ_W_MM+"W","?W") + "x" + if(HVC_DCT_SZ_H_MM&lt;&gt;"",HVC_DCT_SZ_H_MM+"H mm ","?H mm ") + "insulated complete with hangers." + if(HVC_VEL_MPS&gt;8.0," [!VEL&gt;8.0]","")</t>
        </is>
      </c>
    </row>
    <row r="33" ht="60" customHeight="1" s="123">
      <c r="A33" s="149" t="inlineStr">
        <is>
          <t>Bill 7</t>
        </is>
      </c>
      <c r="B33" s="149" t="inlineStr">
        <is>
          <t>Air terminals</t>
        </is>
      </c>
      <c r="C33" s="149" t="inlineStr">
        <is>
          <t>Air Terminals</t>
        </is>
      </c>
      <c r="D33" s="149" t="inlineStr">
        <is>
          <t>[TYPE] air terminal [SZ], [FLOW]m3/h.</t>
        </is>
      </c>
      <c r="E33" s="149" t="inlineStr">
        <is>
          <t>HVC_DCT_TERMINAL_TYPE_SD_RG_EG_VAV_TXT, HVC_DCT_TERMINAL_SZ_TXT, HVC_DUCT_FLOWRATE_M3H</t>
        </is>
      </c>
      <c r="F33" s="149" t="n"/>
      <c r="G33" s="149" t="n"/>
      <c r="H33" s="149" t="inlineStr">
        <is>
          <t>NO</t>
        </is>
      </c>
      <c r="I33" s="149" t="inlineStr">
        <is>
          <t>Count</t>
        </is>
      </c>
      <c r="J33" s="149" t="inlineStr">
        <is>
          <t>BOQ-HVC-AirTerminals</t>
        </is>
      </c>
      <c r="K33" s="149" t="inlineStr">
        <is>
          <t>Diffusers, grilles, VAV</t>
        </is>
      </c>
      <c r="L33" s="150" t="inlineStr">
        <is>
          <t>if(HVC_TERMINAL_TYPE_TXT&lt;&gt;"",HVC_TERMINAL_TYPE_TXT,"Supply grille") + " " + if(HVC_DCT_SZ_W_MM&lt;&gt;"",HVC_DCT_SZ_W_MM+"x","") + if(HVC_DCT_SZ_H_MM&lt;&gt;"",HVC_DCT_SZ_H_MM+"mm ","") + "complete with OBD and accessories." + if(HVC_DCT_TERMINAL_SOUND_DB_NR&gt;35," [!NOISE&gt;35dB]","")</t>
        </is>
      </c>
    </row>
    <row r="34" ht="15" customHeight="1" s="123">
      <c r="A34" s="135" t="inlineStr">
        <is>
          <t>BILL No.3 — ARCHITECTURE / STRUCTURE</t>
        </is>
      </c>
      <c r="B34" s="136" t="n"/>
      <c r="C34" s="136" t="n"/>
      <c r="D34" s="136" t="n"/>
      <c r="E34" s="136" t="n"/>
      <c r="F34" s="136" t="n"/>
      <c r="G34" s="136" t="n"/>
      <c r="H34" s="136" t="n"/>
      <c r="I34" s="136" t="n"/>
      <c r="J34" s="136" t="n"/>
      <c r="K34" s="137" t="n"/>
    </row>
    <row r="35" ht="60" customHeight="1" s="123">
      <c r="A35" s="149" t="inlineStr">
        <is>
          <t>Bill 3</t>
        </is>
      </c>
      <c r="B35" s="149" t="inlineStr">
        <is>
          <t>Walling</t>
        </is>
      </c>
      <c r="C35" s="149" t="inlineStr">
        <is>
          <t>Walls</t>
        </is>
      </c>
      <c r="D35" s="149" t="inlineStr">
        <is>
          <t>[THK]mm thick [TYPE] wall in [MORTAR] mortar.</t>
        </is>
      </c>
      <c r="E35" s="149" t="inlineStr">
        <is>
          <t>BLE_WALL_THICKNESS_MM, BLE_WALL_CST_METHOD_TXT</t>
        </is>
      </c>
      <c r="F35" s="149" t="n"/>
      <c r="G35" s="149" t="n"/>
      <c r="H35" s="149" t="inlineStr">
        <is>
          <t>SM</t>
        </is>
      </c>
      <c r="I35" s="149" t="inlineStr">
        <is>
          <t>Area</t>
        </is>
      </c>
      <c r="J35" s="149" t="inlineStr">
        <is>
          <t>BOQ-ARCH-Walling</t>
        </is>
      </c>
      <c r="K35" s="149" t="inlineStr">
        <is>
          <t>Deduct openings separately</t>
        </is>
      </c>
      <c r="L35" s="150" t="inlineStr">
        <is>
          <t>if(BLE_WALL_THICKNESS_MM&lt;&gt;"",BLE_WALL_THICKNESS_MM+"mm ","") + if(BLE_WALL_TYPE_CLASSIFICATION_TXT&lt;&gt;"",BLE_WALL_TYPE_CLASSIFICATION_TXT+" ","") + if(BLE_WALL_PRIMARY_WALL_MAT_TXT&lt;&gt;"",BLE_WALL_PRIMARY_WALL_MAT_TXT+" walling ","walling ") + if(BLE_WALL_FUNCTION_TXT&lt;&gt;"","("+BLE_WALL_FUNCTION_TXT+")","") + "." + if(PER_THERM_U_VALUE_W_M2K_NR&gt;0.70," [!U&gt;0.70 W/m²K]","")</t>
        </is>
      </c>
    </row>
    <row r="36" ht="60" customHeight="1" s="123">
      <c r="A36" s="149" t="inlineStr">
        <is>
          <t>Bill 3</t>
        </is>
      </c>
      <c r="B36" s="149" t="inlineStr">
        <is>
          <t>Floor finishes</t>
        </is>
      </c>
      <c r="C36" s="149" t="inlineStr">
        <is>
          <t>Floors</t>
        </is>
      </c>
      <c r="D36" s="149" t="inlineStr">
        <is>
          <t>[THK]mm [FINISH] floor finish.</t>
        </is>
      </c>
      <c r="E36" s="149" t="inlineStr">
        <is>
          <t>BLE_FLR_FINISH_TXT, BLE_FLR_THICKNESS_MM</t>
        </is>
      </c>
      <c r="F36" s="149" t="n"/>
      <c r="G36" s="149" t="n"/>
      <c r="H36" s="149" t="inlineStr">
        <is>
          <t>SM</t>
        </is>
      </c>
      <c r="I36" s="149" t="inlineStr">
        <is>
          <t>Area</t>
        </is>
      </c>
      <c r="J36" s="149" t="inlineStr">
        <is>
          <t>BOQ-ARCH-FloorFinishes</t>
        </is>
      </c>
      <c r="K36" s="149" t="inlineStr">
        <is>
          <t>By finish type</t>
        </is>
      </c>
      <c r="L36" s="150" t="inlineStr">
        <is>
          <t>if(BLE_FLR_MATERIAL_TXT&lt;&gt;"",BLE_FLR_MATERIAL_TXT+" ","") + if(BLE_FLR_TYPE_TXT&lt;&gt;"",BLE_FLR_TYPE_TXT+" ","") + "floor " + if(BLE_FLR_TILE_SZ_MM&lt;&gt;"",BLE_FLR_TILE_SZ_MM+"mm tile ","tiles") + "laid to falls where required."</t>
        </is>
      </c>
    </row>
    <row r="37" ht="32.25" customHeight="1" s="123">
      <c r="A37" s="149" t="inlineStr">
        <is>
          <t>Bill 3</t>
        </is>
      </c>
      <c r="B37" s="149" t="inlineStr">
        <is>
          <t>Doors</t>
        </is>
      </c>
      <c r="C37" s="149" t="inlineStr">
        <is>
          <t>Doors</t>
        </is>
      </c>
      <c r="D37" s="149" t="inlineStr">
        <is>
          <t>[W]x[H]mm [OP] door in [MAT] with [HW] hardware.</t>
        </is>
      </c>
      <c r="E37" s="149" t="inlineStr">
        <is>
          <t>BLE_DOOR_WIDTH_MM, BLE_DOOR_HEIGHT_MM, BLE_DOOR_OPERATION_TYPE, BLE_DOOR_MATERIAL_FINISH_TXT, BLE_DOOR_HARDWARE_SPECIFICATION_TXT</t>
        </is>
      </c>
      <c r="F37" s="149" t="n"/>
      <c r="G37" s="149" t="n"/>
      <c r="H37" s="149" t="inlineStr">
        <is>
          <t>NO</t>
        </is>
      </c>
      <c r="I37" s="149" t="inlineStr">
        <is>
          <t>Count</t>
        </is>
      </c>
      <c r="J37" s="149" t="inlineStr">
        <is>
          <t>BOQ-ARCH-Doors</t>
        </is>
      </c>
      <c r="K37" s="149" t="inlineStr">
        <is>
          <t>Include ironmongery set</t>
        </is>
      </c>
    </row>
    <row r="38" ht="60" customHeight="1" s="123">
      <c r="A38" s="149" t="inlineStr">
        <is>
          <t>Bill 3</t>
        </is>
      </c>
      <c r="B38" s="149" t="inlineStr">
        <is>
          <t>Windows</t>
        </is>
      </c>
      <c r="C38" s="149" t="inlineStr">
        <is>
          <t>Windows</t>
        </is>
      </c>
      <c r="D38" s="149" t="inlineStr">
        <is>
          <t>[W]x[H]mm [OP] [GLAZING] window.</t>
        </is>
      </c>
      <c r="E38" s="149" t="inlineStr">
        <is>
          <t>BLE_WINDOW_WIDTH_MM, BLE_WINDOW_HEIGHT_MM, BLE_WINDOW_OPERATION_TYPE_TXT, BLE_WINDOW_GLAZING_TYPE_TXT</t>
        </is>
      </c>
      <c r="F38" s="149" t="n"/>
      <c r="G38" s="149" t="n"/>
      <c r="H38" s="149" t="inlineStr">
        <is>
          <t>NO</t>
        </is>
      </c>
      <c r="I38" s="149" t="inlineStr">
        <is>
          <t>Count</t>
        </is>
      </c>
      <c r="J38" s="149" t="inlineStr">
        <is>
          <t>BOQ-ARCH-Windows</t>
        </is>
      </c>
      <c r="K38" s="149" t="inlineStr">
        <is>
          <t>Include glass spec</t>
        </is>
      </c>
      <c r="L38" s="150" t="inlineStr">
        <is>
          <t>if(BLE_WINDOW_OPERATION_TYPE_TXT&lt;&gt;"",BLE_WINDOW_OPERATION_TYPE_TXT+" ","") + "window " + if(BLE_WINDOW_WIDTH_MM&lt;&gt;"",BLE_WINDOW_WIDTH_MM+"W","?W") + "x" + if(BLE_WINDOW_HEIGHT_MM&lt;&gt;"",BLE_WINDOW_HEIGHT_MM+"H mm","?H mm") + ", " + if(BLE_WINDOW_GLAZING_TYPE_TXT&lt;&gt;"",BLE_WINDOW_GLAZING_TYPE_TXT+" glazed,","glazed,") + " frame: " + if(BLE_WINDOW_FRAME_MAT_TXT&lt;&gt;"",BLE_WINDOW_FRAME_MAT_TXT+",","TBC,") + " including ironmongery, mosquito screen, burglar bar." + if(BLE_WINDOW_U_VALUE_W_M_2K_NR&gt;3.0," [!U&gt;3.0]","") + if(BLE_WINDOW_SOLAR_HEAT_GAIN_COEFFICIENT_NR&gt;0.40," [!SHGC&gt;0.40]","")</t>
        </is>
      </c>
    </row>
    <row r="39" ht="60" customHeight="1" s="123">
      <c r="A39" s="149" t="inlineStr">
        <is>
          <t>Bill 3</t>
        </is>
      </c>
      <c r="B39" s="149" t="inlineStr">
        <is>
          <t>Roofing</t>
        </is>
      </c>
      <c r="C39" s="149" t="inlineStr">
        <is>
          <t>Roofs</t>
        </is>
      </c>
      <c r="D39" s="149" t="inlineStr">
        <is>
          <t>[TYPE] roofing complete with all accessories.</t>
        </is>
      </c>
      <c r="E39" s="149" t="inlineStr">
        <is>
          <t>ASS_DESCRIPTION_TXT</t>
        </is>
      </c>
      <c r="F39" s="149" t="n"/>
      <c r="G39" s="149" t="inlineStr">
        <is>
          <t xml:space="preserve"> complete with all accessories.</t>
        </is>
      </c>
      <c r="H39" s="149" t="inlineStr">
        <is>
          <t>SM</t>
        </is>
      </c>
      <c r="I39" s="149" t="inlineStr">
        <is>
          <t>Area</t>
        </is>
      </c>
      <c r="J39" s="149" t="inlineStr">
        <is>
          <t>BOQ-ARCH-Roofing</t>
        </is>
      </c>
      <c r="K39" s="149" t="inlineStr">
        <is>
          <t>Gauge, profile from type</t>
        </is>
      </c>
      <c r="L39" s="150" t="inlineStr">
        <is>
          <t>if(BLE_ROOF_TYPE_TXT&lt;&gt;"",BLE_ROOF_TYPE_TXT+" ","") + if(BLE_ROOF_MATERIAL_TXT&lt;&gt;"",BLE_ROOF_MATERIAL_TXT+" roofing ","roofing ") + "to " + if(BLE_ROOF_PITCH_DEG&lt;&gt;"",BLE_ROOF_PITCH_DEG+"° pitch.","as drawings.") + if(PER_THERM_U_VALUE_W_M2K_NR&gt;0.50," [!U&gt;0.50 W/m²K roof]","")</t>
        </is>
      </c>
    </row>
    <row r="40" ht="15" customHeight="1" s="123">
      <c r="A40" s="149" t="inlineStr">
        <is>
          <t>Bill 3</t>
        </is>
      </c>
      <c r="B40" s="149" t="inlineStr">
        <is>
          <t>Ceiling finishes</t>
        </is>
      </c>
      <c r="C40" s="149" t="inlineStr">
        <is>
          <t>Ceilings</t>
        </is>
      </c>
      <c r="D40" s="149" t="inlineStr">
        <is>
          <t>[TYPE] ceiling.</t>
        </is>
      </c>
      <c r="E40" s="149" t="inlineStr">
        <is>
          <t>ASS_DESCRIPTION_TXT</t>
        </is>
      </c>
      <c r="F40" s="149" t="n"/>
      <c r="G40" s="149" t="n"/>
      <c r="H40" s="149" t="inlineStr">
        <is>
          <t>SM</t>
        </is>
      </c>
      <c r="I40" s="149" t="inlineStr">
        <is>
          <t>Area</t>
        </is>
      </c>
      <c r="J40" s="149" t="inlineStr">
        <is>
          <t>BOQ-ARCH-Ceilings</t>
        </is>
      </c>
      <c r="K40" s="149" t="inlineStr">
        <is>
          <t>Suspended, plastered, etc.</t>
        </is>
      </c>
    </row>
    <row r="41" ht="32.25" customHeight="1" s="123">
      <c r="A41" s="149" t="inlineStr">
        <is>
          <t>Bill 3</t>
        </is>
      </c>
      <c r="B41" s="149" t="inlineStr">
        <is>
          <t>Stairs</t>
        </is>
      </c>
      <c r="C41" s="149" t="inlineStr">
        <is>
          <t>Stairs</t>
        </is>
      </c>
      <c r="D41" s="149" t="inlineStr">
        <is>
          <t>[MAT] staircase [W]mm wide, [RISE]mm rise, [GOING]mm going, with [FINISH] tread finish and [HR_MAT] handrail.</t>
        </is>
      </c>
      <c r="E41" s="149" t="inlineStr">
        <is>
          <t>BLE_STAIR_MAT, BLE_STAIR_WIDTH_MM, BLE_STAIR_RISE_MM, BLE_STAIR_GOING_MM, BLE_STAIR_TREAD_FINISH, BLE_STAIR_HANDRAIL_MAT</t>
        </is>
      </c>
      <c r="F41" s="149" t="n"/>
      <c r="G41" s="149" t="n"/>
      <c r="H41" s="149" t="inlineStr">
        <is>
          <t>NR/FLIGHT</t>
        </is>
      </c>
      <c r="I41" s="149" t="inlineStr">
        <is>
          <t>Count</t>
        </is>
      </c>
      <c r="J41" s="149" t="inlineStr">
        <is>
          <t>BOQ-ARCH-Stairs</t>
        </is>
      </c>
      <c r="K41" s="149" t="n"/>
    </row>
    <row r="42" ht="60" customHeight="1" s="123">
      <c r="A42" s="149" t="inlineStr">
        <is>
          <t>Bill 3</t>
        </is>
      </c>
      <c r="B42" s="149" t="inlineStr">
        <is>
          <t>RC columns</t>
        </is>
      </c>
      <c r="C42" s="149" t="inlineStr">
        <is>
          <t>Structural Columns</t>
        </is>
      </c>
      <c r="D42" s="149" t="inlineStr">
        <is>
          <t>[SZ] reinforced concrete column, [GRADE] grade.</t>
        </is>
      </c>
      <c r="E42" s="149" t="inlineStr">
        <is>
          <t>BLE_STRUCT_COLUMN_SZ_TXT, BLE_STRUCT_CONCRETE_GRADE_TXT</t>
        </is>
      </c>
      <c r="F42" s="149" t="n"/>
      <c r="G42" s="149" t="n"/>
      <c r="H42" s="149" t="inlineStr">
        <is>
          <t>NR</t>
        </is>
      </c>
      <c r="I42" s="149" t="inlineStr">
        <is>
          <t>Count</t>
        </is>
      </c>
      <c r="J42" s="149" t="inlineStr">
        <is>
          <t>BOQ-STR-Columns</t>
        </is>
      </c>
      <c r="K42" s="149" t="inlineStr">
        <is>
          <t>Links to rebar schedule</t>
        </is>
      </c>
      <c r="L42" s="150" t="inlineStr">
        <is>
          <t>"Grade " + if(BLE_STRUCT_CONCRETE_GRADE_TXT&lt;&gt;"",BLE_STRUCT_CONCRETE_GRADE_TXT,"C30") + " RC column " + if(ASS_DESCRIPTION_TXT&lt;&gt;"",ASS_DESCRIPTION_TXT,"as drawings") + " reinforced per BBS."</t>
        </is>
      </c>
    </row>
    <row r="43" ht="60" customHeight="1" s="123">
      <c r="A43" s="149" t="inlineStr">
        <is>
          <t>Bill 3</t>
        </is>
      </c>
      <c r="B43" s="149" t="inlineStr">
        <is>
          <t>RC beams</t>
        </is>
      </c>
      <c r="C43" s="149" t="inlineStr">
        <is>
          <t>Structural Framing</t>
        </is>
      </c>
      <c r="D43" s="149" t="inlineStr">
        <is>
          <t>[SZ] reinforced concrete beam, [GRADE] grade.</t>
        </is>
      </c>
      <c r="E43" s="149" t="inlineStr">
        <is>
          <t>BLE_STRUCT_BEAM_SZ_TXT, BLE_STRUCT_CONCRETE_GRADE_TXT</t>
        </is>
      </c>
      <c r="F43" s="149" t="n"/>
      <c r="G43" s="149" t="n"/>
      <c r="H43" s="149" t="inlineStr">
        <is>
          <t>LM</t>
        </is>
      </c>
      <c r="I43" s="149" t="inlineStr">
        <is>
          <t>Length</t>
        </is>
      </c>
      <c r="J43" s="149" t="inlineStr">
        <is>
          <t>BOQ-STR-Framing</t>
        </is>
      </c>
      <c r="K43" s="149" t="n"/>
      <c r="L43" s="150" t="inlineStr">
        <is>
          <t>"Grade " + if(BLE_STRUCT_CONCRETE_GRADE_TXT&lt;&gt;"",BLE_STRUCT_CONCRETE_GRADE_TXT,"C30") + " RC beam " + if(ASS_DESCRIPTION_TXT&lt;&gt;"",ASS_DESCRIPTION_TXT,"as drawings") + " reinforced per BBS."</t>
        </is>
      </c>
    </row>
    <row r="44" ht="21.75" customHeight="1" s="123">
      <c r="A44" s="149" t="inlineStr">
        <is>
          <t>Bill 3</t>
        </is>
      </c>
      <c r="B44" s="149" t="inlineStr">
        <is>
          <t>Foundations</t>
        </is>
      </c>
      <c r="C44" s="149" t="inlineStr">
        <is>
          <t>Structural Foundations</t>
        </is>
      </c>
      <c r="D44" s="149" t="inlineStr">
        <is>
          <t>[SZ] foundation in [GRADE] concrete with [REINF] reinforcement.</t>
        </is>
      </c>
      <c r="E44" s="149" t="inlineStr">
        <is>
          <t>BLE_STRUCT_FOUNDATION_SZ_TXT, BLE_STRUCT_CONCRETE_GRADE_TXT, BLE_STRUCT_REINFORCEMENT</t>
        </is>
      </c>
      <c r="F44" s="149" t="n"/>
      <c r="G44" s="149" t="n"/>
      <c r="H44" s="149" t="inlineStr">
        <is>
          <t>CM</t>
        </is>
      </c>
      <c r="I44" s="149" t="inlineStr">
        <is>
          <t>Volume</t>
        </is>
      </c>
      <c r="J44" s="149" t="inlineStr">
        <is>
          <t>BOQ-STR-Foundations</t>
        </is>
      </c>
      <c r="K44" s="149" t="inlineStr">
        <is>
          <t>Pad, strip, raft</t>
        </is>
      </c>
    </row>
    <row r="45" ht="15" customHeight="1" s="123">
      <c r="A45" s="135" t="inlineStr">
        <is>
          <t>BILL No.9 — ICT INSTALLATIONS</t>
        </is>
      </c>
      <c r="B45" s="136" t="n"/>
      <c r="C45" s="136" t="n"/>
      <c r="D45" s="136" t="n"/>
      <c r="E45" s="136" t="n"/>
      <c r="F45" s="136" t="n"/>
      <c r="G45" s="136" t="n"/>
      <c r="H45" s="136" t="n"/>
      <c r="I45" s="136" t="n"/>
      <c r="J45" s="136" t="n"/>
      <c r="K45" s="137" t="n"/>
    </row>
    <row r="46" ht="60" customHeight="1" s="123">
      <c r="A46" s="149" t="inlineStr">
        <is>
          <t>Bill 9</t>
        </is>
      </c>
      <c r="B46" s="149" t="inlineStr">
        <is>
          <t>Data outlets</t>
        </is>
      </c>
      <c r="C46" s="149" t="inlineStr">
        <is>
          <t>Data Devices</t>
        </is>
      </c>
      <c r="D46" s="149" t="inlineStr">
        <is>
          <t>Cat[CAT] [TYPE] data outlet point in [CDT_SZ]mm PVC conduit complete with all accessories.</t>
        </is>
      </c>
      <c r="E46" s="149" t="inlineStr">
        <is>
          <t>ICT_OUTLET_TYPE_TXT, ELC_CDT_SZ_MM</t>
        </is>
      </c>
      <c r="F46" s="149" t="n"/>
      <c r="G46" s="149" t="inlineStr">
        <is>
          <t xml:space="preserve"> complete with all accessories.</t>
        </is>
      </c>
      <c r="H46" s="149" t="inlineStr">
        <is>
          <t>NO</t>
        </is>
      </c>
      <c r="I46" s="149" t="inlineStr">
        <is>
          <t>Count</t>
        </is>
      </c>
      <c r="J46" s="149" t="inlineStr">
        <is>
          <t>BOQ-ICT-DataOutlets</t>
        </is>
      </c>
      <c r="K46" s="149" t="inlineStr">
        <is>
          <t>Cat5e/Cat6/Cat6A</t>
        </is>
      </c>
      <c r="L46" s="150" t="inlineStr">
        <is>
          <t>"Cat " + if(ICT_CAT_RATING_TXT&lt;&gt;"",ICT_CAT_RATING_TXT,"6") + " data outlet in " + if(ELC_CDT_SZ_MM&lt;&gt;"",ELC_CDT_SZ_MM+"mm","25mm") + " PVC " + if(ELC_CDT_INSTALL_METHOD_TXT&lt;&gt;"",ELC_CDT_INSTALL_METHOD_TXT,"concealed") + " conduit, " + if(ASS_MANUFACTURER_TXT&lt;&gt;"",ASS_MANUFACTURER_TXT,"Panduit or equal") + " complete with faceplate and accessories."</t>
        </is>
      </c>
    </row>
    <row r="47" ht="60" customHeight="1" s="123">
      <c r="A47" s="149" t="inlineStr">
        <is>
          <t>Bill 9</t>
        </is>
      </c>
      <c r="B47" s="149" t="inlineStr">
        <is>
          <t>CCTV cameras</t>
        </is>
      </c>
      <c r="C47" s="149" t="inlineStr">
        <is>
          <t>Security Devices</t>
        </is>
      </c>
      <c r="D47" s="149" t="inlineStr">
        <is>
          <t>[TYPE] CCTV camera point in [CDT_SZ]mm PVC conduit complete with all accessories.</t>
        </is>
      </c>
      <c r="E47" s="149" t="inlineStr">
        <is>
          <t>ASS_DESCRIPTION_TXT, ELC_CDT_SZ_MM</t>
        </is>
      </c>
      <c r="F47" s="149" t="n"/>
      <c r="G47" s="149" t="inlineStr">
        <is>
          <t xml:space="preserve"> complete with all accessories.</t>
        </is>
      </c>
      <c r="H47" s="149" t="inlineStr">
        <is>
          <t>NO</t>
        </is>
      </c>
      <c r="I47" s="149" t="inlineStr">
        <is>
          <t>Count</t>
        </is>
      </c>
      <c r="J47" s="149" t="inlineStr">
        <is>
          <t>BOQ-ELC-Security</t>
        </is>
      </c>
      <c r="K47" s="149" t="n"/>
      <c r="L47" s="150" t="inlineStr">
        <is>
          <t>"CCTV " + if(SEC_DEV_TYPE_TXT&lt;&gt;"",SEC_DEV_TYPE_TXT,"dome camera") + " in " + if(ELC_CDT_SZ_MM&lt;&gt;"",ELC_CDT_SZ_MM+"mm","25mm") + " PVC concealed conduit, " + if(ASS_MANUFACTURER_TXT&lt;&gt;"",ASS_MANUFACTURER_TXT,"Hikvision or equal") + " complete with bracket and accessories."</t>
        </is>
      </c>
    </row>
    <row r="48" ht="60" customHeight="1" s="123">
      <c r="A48" s="149" t="inlineStr">
        <is>
          <t>Bill 9</t>
        </is>
      </c>
      <c r="B48" s="149" t="inlineStr">
        <is>
          <t>BMS controllers</t>
        </is>
      </c>
      <c r="C48" s="149" t="inlineStr">
        <is>
          <t>Communication Devices</t>
        </is>
      </c>
      <c r="D48" s="149" t="inlineStr">
        <is>
          <t>[TYPE] BMS controller, [PROTOCOL], BACnet instance [ID].</t>
        </is>
      </c>
      <c r="E48" s="149" t="inlineStr">
        <is>
          <t>COM_C_DEV_TYPE_TXT, COM_C_NETWORK_ADDRESS_TXT, COM_C_DEV_BACNET_INSTANCE_INT</t>
        </is>
      </c>
      <c r="F48" s="149" t="n"/>
      <c r="G48" s="149" t="n"/>
      <c r="H48" s="149" t="inlineStr">
        <is>
          <t>NO</t>
        </is>
      </c>
      <c r="I48" s="149" t="inlineStr">
        <is>
          <t>Count</t>
        </is>
      </c>
      <c r="J48" s="149" t="inlineStr">
        <is>
          <t>BOQ-ICT-BMS</t>
        </is>
      </c>
      <c r="K48" s="149" t="n"/>
      <c r="L48" s="150" t="inlineStr">
        <is>
          <t>if(COM_C_DEV_TYPE_TXT&lt;&gt;"",COM_C_DEV_TYPE_TXT,"BMS controller") + " BACnet/IP, instance " + if(COM_C_DEV_BACNET_INSTANCE_INT&lt;&gt;"",COM_C_DEV_BACNET_INSTANCE_INT,"?") + " complete with I/O, power supply and housing."</t>
        </is>
      </c>
    </row>
    <row r="49" ht="39.75" customHeight="1" s="123">
      <c r="A49" s="151" t="inlineStr">
        <is>
          <t>Bill 3</t>
        </is>
      </c>
      <c r="B49" s="151" t="inlineStr">
        <is>
          <t>Ceilings</t>
        </is>
      </c>
      <c r="C49" s="151" t="inlineStr">
        <is>
          <t>Ceilings</t>
        </is>
      </c>
      <c r="D49" s="152" t="inlineStr">
        <is>
          <t>[MATERIAL] [TYPE] ceiling system [MODULE]mm at [HEIGHT]mm FFL</t>
        </is>
      </c>
      <c r="E49" s="152" t="inlineStr">
        <is>
          <t>BLE_CEIL_MATERIAL_TXT, BLE_CEIL_TYPE_TXT, BLE_CEIL_MODULE_MM, BLE_CEIL_HEIGHT_MM</t>
        </is>
      </c>
      <c r="F49" s="152" t="n"/>
      <c r="G49" s="152" t="inlineStr">
        <is>
          <t>complete with all accessories.</t>
        </is>
      </c>
      <c r="H49" s="152" t="inlineStr">
        <is>
          <t>m²</t>
        </is>
      </c>
      <c r="I49" s="152" t="inlineStr">
        <is>
          <t>Area</t>
        </is>
      </c>
      <c r="J49" s="152" t="inlineStr">
        <is>
          <t>BOQ-ARCH-Ceilings</t>
        </is>
      </c>
      <c r="K49" s="152" t="inlineStr">
        <is>
          <t>Group by type mark. Acoustic warning if noise &gt; 40dB.</t>
        </is>
      </c>
    </row>
    <row r="50" ht="60" customHeight="1" s="123">
      <c r="A50" s="153" t="inlineStr">
        <is>
          <t>Bill 3</t>
        </is>
      </c>
      <c r="B50" s="153" t="inlineStr">
        <is>
          <t>Roofing</t>
        </is>
      </c>
      <c r="C50" s="153" t="inlineStr">
        <is>
          <t>Roofs</t>
        </is>
      </c>
      <c r="D50" s="154" t="inlineStr">
        <is>
          <t>[TYPE] [MATERIAL] roofing [GAUGE] to [PITCH]° pitch with all accessories</t>
        </is>
      </c>
      <c r="E50" s="154" t="inlineStr">
        <is>
          <t>BLE_ROOF_TYPE_TXT, BLE_ROOF_MATERIAL_TXT, BLE_ROOF_PITCH_DEG</t>
        </is>
      </c>
      <c r="F50" s="154" t="n"/>
      <c r="G50" s="154" t="inlineStr">
        <is>
          <t>complete with all accessories.</t>
        </is>
      </c>
      <c r="H50" s="154" t="inlineStr">
        <is>
          <t>m²</t>
        </is>
      </c>
      <c r="I50" s="154" t="inlineStr">
        <is>
          <t>Area</t>
        </is>
      </c>
      <c r="J50" s="154" t="inlineStr">
        <is>
          <t>BOQ-ARCH-Roofing</t>
        </is>
      </c>
      <c r="K50" s="154" t="inlineStr">
        <is>
          <t>U-value warning for roof &gt; 0.50 W/m²K.</t>
        </is>
      </c>
      <c r="L50" s="150" t="inlineStr">
        <is>
          <t>if(BLE_ROOF_TYPE_TXT&lt;&gt;"",BLE_ROOF_TYPE_TXT+" ","") + if(BLE_ROOF_MATERIAL_TXT&lt;&gt;"",BLE_ROOF_MATERIAL_TXT+" roofing ","roofing ") + "to " + if(BLE_ROOF_PITCH_DEG&lt;&gt;"",BLE_ROOF_PITCH_DEG+"° pitch.","as drawings.") + if(PER_THERM_U_VALUE_W_M2K_NR&gt;0.50," [!U&gt;0.50 W/m²K roof]","")</t>
        </is>
      </c>
    </row>
    <row r="51" ht="39.75" customHeight="1" s="123">
      <c r="A51" s="151" t="inlineStr">
        <is>
          <t>Bill 3</t>
        </is>
      </c>
      <c r="B51" s="151" t="inlineStr">
        <is>
          <t>RC Columns</t>
        </is>
      </c>
      <c r="C51" s="151" t="inlineStr">
        <is>
          <t>Structural Columns</t>
        </is>
      </c>
      <c r="D51" s="152" t="inlineStr">
        <is>
          <t>Grade [GRADE] RC columns [DESC], reinforced per BBS</t>
        </is>
      </c>
      <c r="E51" s="152" t="inlineStr">
        <is>
          <t>BLE_STRUCT_CONCRETE_GRADE_TXT, ASS_DESCRIPTION_TXT</t>
        </is>
      </c>
      <c r="F51" s="152" t="inlineStr">
        <is>
          <t>Grade</t>
        </is>
      </c>
      <c r="G51" s="152" t="inlineStr">
        <is>
          <t>reinforced per BBS.</t>
        </is>
      </c>
      <c r="H51" s="152" t="inlineStr">
        <is>
          <t>m³</t>
        </is>
      </c>
      <c r="I51" s="152" t="inlineStr">
        <is>
          <t>Volume</t>
        </is>
      </c>
      <c r="J51" s="152" t="inlineStr">
        <is>
          <t>BOQ-STR-Columns</t>
        </is>
      </c>
      <c r="K51" s="152" t="inlineStr">
        <is>
          <t>Group by column mark.</t>
        </is>
      </c>
    </row>
    <row r="52" ht="39.75" customHeight="1" s="123">
      <c r="A52" s="153" t="inlineStr">
        <is>
          <t>Bill 3</t>
        </is>
      </c>
      <c r="B52" s="153" t="inlineStr">
        <is>
          <t>Foundations</t>
        </is>
      </c>
      <c r="C52" s="153" t="inlineStr">
        <is>
          <t>Structural Foundations</t>
        </is>
      </c>
      <c r="D52" s="154" t="inlineStr">
        <is>
          <t>Grade [GRADE] concrete foundations [THICKNESS]mm thick, reinforced per BBS</t>
        </is>
      </c>
      <c r="E52" s="154" t="inlineStr">
        <is>
          <t>BLE_STRUCT_CONCRETE_GRADE_TXT, BLE_STRUCT_THICKNESS_MM</t>
        </is>
      </c>
      <c r="F52" s="154" t="inlineStr">
        <is>
          <t>Grade</t>
        </is>
      </c>
      <c r="G52" s="154" t="inlineStr">
        <is>
          <t>reinforced per BBS.</t>
        </is>
      </c>
      <c r="H52" s="154" t="inlineStr">
        <is>
          <t>m³</t>
        </is>
      </c>
      <c r="I52" s="154" t="inlineStr">
        <is>
          <t>Volume</t>
        </is>
      </c>
      <c r="J52" s="154" t="inlineStr">
        <is>
          <t>BOQ-STR-Foundations</t>
        </is>
      </c>
      <c r="K52" s="154" t="inlineStr">
        <is>
          <t>Pad, strip, raft — group by type.</t>
        </is>
      </c>
    </row>
    <row r="53" ht="39.75" customHeight="1" s="123">
      <c r="A53" s="151" t="inlineStr">
        <is>
          <t>Bill 3</t>
        </is>
      </c>
      <c r="B53" s="151" t="inlineStr">
        <is>
          <t>Stairs</t>
        </is>
      </c>
      <c r="C53" s="151" t="inlineStr">
        <is>
          <t>Stairs</t>
        </is>
      </c>
      <c r="D53" s="152" t="inlineStr">
        <is>
          <t>[MATERIAL] stair [RISE]R/[GOING]G mm, [WIDTH]mm wide, [TREAD] tread, [HANDRAIL] handrail</t>
        </is>
      </c>
      <c r="E53" s="152" t="inlineStr">
        <is>
          <t>BLE_STAIR_MAT_TXT, BLE_STAIR_RISE_MM, BLE_STAIR_GOING_MM, BLE_STAIR_WIDTH_MM, BLE_STAIR_TREAD_FINISH_TXT</t>
        </is>
      </c>
      <c r="F53" s="152" t="n"/>
      <c r="G53" s="152" t="inlineStr">
        <is>
          <t>complete with handrail and balustrade.</t>
        </is>
      </c>
      <c r="H53" s="152" t="inlineStr">
        <is>
          <t>Flight</t>
        </is>
      </c>
      <c r="I53" s="152" t="inlineStr">
        <is>
          <t>Count</t>
        </is>
      </c>
      <c r="J53" s="152" t="inlineStr">
        <is>
          <t>BOQ-ARCH-Stairs</t>
        </is>
      </c>
      <c r="K53" s="152" t="inlineStr">
        <is>
          <t>Warning: rise &gt; 190 or width &lt; 1000mm.</t>
        </is>
      </c>
    </row>
    <row r="54" ht="39.75" customHeight="1" s="123">
      <c r="A54" s="153" t="inlineStr">
        <is>
          <t>Bill 3</t>
        </is>
      </c>
      <c r="B54" s="153" t="inlineStr">
        <is>
          <t>Access ramps</t>
        </is>
      </c>
      <c r="C54" s="153" t="inlineStr">
        <is>
          <t>Ramps</t>
        </is>
      </c>
      <c r="D54" s="154" t="inlineStr">
        <is>
          <t>Access ramp [SLOPE]% gradient, [SURFACE] surface, handrails both sides, [WIDTH]mm clear</t>
        </is>
      </c>
      <c r="E54" s="154" t="inlineStr">
        <is>
          <t>BLE_RAMP_SLOPE_PCT, BLE_RAMP_SURFACE_FINISH_TXT, RGL_ACCESS_CLEAR_WIDTH_MM</t>
        </is>
      </c>
      <c r="F54" s="154" t="inlineStr">
        <is>
          <t>Ramp at</t>
        </is>
      </c>
      <c r="G54" s="154" t="inlineStr">
        <is>
          <t>complete with handrails and nosings.</t>
        </is>
      </c>
      <c r="H54" s="154" t="inlineStr">
        <is>
          <t>LM</t>
        </is>
      </c>
      <c r="I54" s="154" t="inlineStr">
        <is>
          <t>Length</t>
        </is>
      </c>
      <c r="J54" s="154" t="inlineStr">
        <is>
          <t>BOQ-ARCH-Ramps</t>
        </is>
      </c>
      <c r="K54" s="154" t="inlineStr">
        <is>
          <t>Warning: slope &gt; 8.33%, width &lt; 900mm. Uganda PWD Act.</t>
        </is>
      </c>
    </row>
    <row r="55" ht="39.75" customHeight="1" s="123">
      <c r="A55" s="151" t="inlineStr">
        <is>
          <t>Bill 7</t>
        </is>
      </c>
      <c r="B55" s="151" t="inlineStr">
        <is>
          <t>Flex ducts</t>
        </is>
      </c>
      <c r="C55" s="151" t="inlineStr">
        <is>
          <t>Flex Ducts</t>
        </is>
      </c>
      <c r="D55" s="152" t="inlineStr">
        <is>
          <t>[DIA]mm flexible duct [LENGTH]mm long connecting rigid duct to terminal</t>
        </is>
      </c>
      <c r="E55" s="152" t="inlineStr">
        <is>
          <t>HVC_DCT_FLEX_DIA_MM, HVC_DCT_FLEX_MAX_LEN_MM</t>
        </is>
      </c>
      <c r="F55" s="152" t="n"/>
      <c r="G55" s="152" t="inlineStr">
        <is>
          <t>complete with clamps, max 1500mm per SMACNA.</t>
        </is>
      </c>
      <c r="H55" s="152" t="inlineStr">
        <is>
          <t>No.</t>
        </is>
      </c>
      <c r="I55" s="152" t="inlineStr">
        <is>
          <t>Count</t>
        </is>
      </c>
      <c r="J55" s="152" t="inlineStr">
        <is>
          <t>BOQ-HVC-FlexDucts</t>
        </is>
      </c>
      <c r="K55" s="152" t="inlineStr">
        <is>
          <t>Warning: length &gt; 1500mm.</t>
        </is>
      </c>
    </row>
    <row r="56" ht="39.75" customHeight="1" s="123">
      <c r="A56" s="153" t="inlineStr">
        <is>
          <t>Bill 7</t>
        </is>
      </c>
      <c r="B56" s="153" t="inlineStr">
        <is>
          <t>Duct accessories</t>
        </is>
      </c>
      <c r="C56" s="153" t="inlineStr">
        <is>
          <t>Duct Accessories</t>
        </is>
      </c>
      <c r="D56" s="154" t="inlineStr">
        <is>
          <t>[TYPE] duct accessory [SIZE]mm including all fixings</t>
        </is>
      </c>
      <c r="E56" s="154" t="inlineStr">
        <is>
          <t>HVC_DCT_ACC_TYPE_TXT, HVC_DCT_SZ_W_MM</t>
        </is>
      </c>
      <c r="F56" s="154" t="n"/>
      <c r="G56" s="154" t="inlineStr">
        <is>
          <t>complete with fixings and accessories.</t>
        </is>
      </c>
      <c r="H56" s="154" t="inlineStr">
        <is>
          <t>No.</t>
        </is>
      </c>
      <c r="I56" s="154" t="inlineStr">
        <is>
          <t>Count</t>
        </is>
      </c>
      <c r="J56" s="154" t="inlineStr">
        <is>
          <t>BOQ-HVC-DuctAcc</t>
        </is>
      </c>
      <c r="K56" s="154" t="inlineStr">
        <is>
          <t>Dampers, attenuators, fire dampers — group by type.</t>
        </is>
      </c>
    </row>
    <row r="57" ht="39.75" customHeight="1" s="123">
      <c r="A57" s="151" t="inlineStr">
        <is>
          <t>Bill 8</t>
        </is>
      </c>
      <c r="B57" s="151" t="inlineStr">
        <is>
          <t>Passenger lifts</t>
        </is>
      </c>
      <c r="C57" s="151" t="inlineStr">
        <is>
          <t>Specialty Equipment</t>
        </is>
      </c>
      <c r="D57" s="152" t="inlineStr">
        <is>
          <t>[BRAND] [CAPACITY]kg [STOPS]-stop passenger lift [SPEED]m/s complete with all accessories</t>
        </is>
      </c>
      <c r="E57" s="152" t="inlineStr">
        <is>
          <t>ASS_MANUFACTURER_TXT, ASS_CAPACITY_TXT, ASS_DESCRIPTION_TXT</t>
        </is>
      </c>
      <c r="F57" s="152" t="n"/>
      <c r="G57" s="152" t="inlineStr">
        <is>
          <t>complete with landing doors, controls, emergency phone.</t>
        </is>
      </c>
      <c r="H57" s="152" t="inlineStr">
        <is>
          <t>No.</t>
        </is>
      </c>
      <c r="I57" s="152" t="inlineStr">
        <is>
          <t>Count</t>
        </is>
      </c>
      <c r="J57" s="152" t="inlineStr">
        <is>
          <t>BOQ-LIFT-Equipment</t>
        </is>
      </c>
      <c r="K57" s="152" t="inlineStr">
        <is>
          <t>Uganda: BS EN 81-20. Govt lift inspector cert.</t>
        </is>
      </c>
    </row>
    <row r="58" ht="39.75" customHeight="1" s="123">
      <c r="A58" s="153" t="inlineStr">
        <is>
          <t>Bill 9</t>
        </is>
      </c>
      <c r="B58" s="153" t="inlineStr">
        <is>
          <t>Generator</t>
        </is>
      </c>
      <c r="C58" s="153" t="inlineStr">
        <is>
          <t>Specialty Equipment</t>
        </is>
      </c>
      <c r="D58" s="154" t="inlineStr">
        <is>
          <t>[BRAND] [CAPACITY]kVA diesel generator with canopy, ATS, complete with commissioning</t>
        </is>
      </c>
      <c r="E58" s="154" t="inlineStr">
        <is>
          <t>ASS_MANUFACTURER_TXT, ASS_CAPACITY_TXT, ASS_DESCRIPTION_TXT</t>
        </is>
      </c>
      <c r="F58" s="154" t="n"/>
      <c r="G58" s="154" t="inlineStr">
        <is>
          <t>complete with base tank, ATS panel, wiring.</t>
        </is>
      </c>
      <c r="H58" s="154" t="inlineStr">
        <is>
          <t>No.</t>
        </is>
      </c>
      <c r="I58" s="154" t="inlineStr">
        <is>
          <t>Count</t>
        </is>
      </c>
      <c r="J58" s="154" t="inlineStr">
        <is>
          <t>BOQ-ELEC-Generator</t>
        </is>
      </c>
      <c r="K58" s="154" t="inlineStr">
        <is>
          <t>Uganda: essential for commercial/institutional buildings.</t>
        </is>
      </c>
    </row>
    <row r="59" ht="39.75" customHeight="1" s="123">
      <c r="A59" s="151" t="inlineStr">
        <is>
          <t>Bill 9</t>
        </is>
      </c>
      <c r="B59" s="151" t="inlineStr">
        <is>
          <t>Nurse call points</t>
        </is>
      </c>
      <c r="C59" s="151" t="inlineStr">
        <is>
          <t>Nurse Call Devices</t>
        </is>
      </c>
      <c r="D59" s="152" t="inlineStr">
        <is>
          <t>[TYPE] nurse call point zone [ZONE] complete with pull cord, indicator, and accessories</t>
        </is>
      </c>
      <c r="E59" s="152" t="inlineStr">
        <is>
          <t>NCL_CALL_TYPE_TXT, NCL_ZONE_TXT</t>
        </is>
      </c>
      <c r="F59" s="152" t="n"/>
      <c r="G59" s="152" t="inlineStr">
        <is>
          <t>connected to master panel.</t>
        </is>
      </c>
      <c r="H59" s="152" t="inlineStr">
        <is>
          <t>No.</t>
        </is>
      </c>
      <c r="I59" s="152" t="inlineStr">
        <is>
          <t>Count</t>
        </is>
      </c>
      <c r="J59" s="152" t="inlineStr">
        <is>
          <t>BOQ-ICT-NurseCall</t>
        </is>
      </c>
      <c r="K59" s="152" t="inlineStr">
        <is>
          <t>HTM 08-03. Healthcare projects only.</t>
        </is>
      </c>
    </row>
    <row r="60" ht="49.5" customHeight="1" s="123">
      <c r="A60" s="155" t="inlineStr">
        <is>
          <t>Bill 3</t>
        </is>
      </c>
      <c r="B60" s="155" t="inlineStr">
        <is>
          <t>Internal plaster / paint</t>
        </is>
      </c>
      <c r="C60" s="155" t="inlineStr">
        <is>
          <t>Walls</t>
        </is>
      </c>
      <c r="D60" s="156" t="inlineStr">
        <is>
          <t>[FINISH] two coats on all internal plastered wall faces</t>
        </is>
      </c>
      <c r="E60" s="156" t="inlineStr">
        <is>
          <t>BLE_WALL_INTERIOR_FINISH_TXT</t>
        </is>
      </c>
      <c r="F60" s="156" t="n"/>
      <c r="G60" s="156" t="inlineStr">
        <is>
          <t>to all internal faces.</t>
        </is>
      </c>
      <c r="H60" s="156" t="inlineStr">
        <is>
          <t>m²</t>
        </is>
      </c>
      <c r="I60" s="156" t="inlineStr">
        <is>
          <t>Area</t>
        </is>
      </c>
      <c r="J60" s="156" t="inlineStr">
        <is>
          <t>BOQ-ARCH-InternalPlaster</t>
        </is>
      </c>
      <c r="K60" s="156" t="inlineStr">
        <is>
          <t>Colour from room data sheet. Paint type from spec.</t>
        </is>
      </c>
      <c r="L60" s="150" t="inlineStr">
        <is>
          <t>if(BLE_WALL_INTERIOR_FINISH_TXT&lt;&gt;"",BLE_WALL_INTERIOR_FINISH_TXT,"[COLOUR]") + " paint two coats on internal plastered walls."</t>
        </is>
      </c>
    </row>
    <row r="61" ht="49.5" customHeight="1" s="123">
      <c r="A61" s="157" t="inlineStr">
        <is>
          <t>Bill 7</t>
        </is>
      </c>
      <c r="B61" s="157" t="inlineStr">
        <is>
          <t>HVAC equipment (combined)</t>
        </is>
      </c>
      <c r="C61" s="157" t="inlineStr">
        <is>
          <t>Mechanical Equipment</t>
        </is>
      </c>
      <c r="D61" s="158" t="inlineStr">
        <is>
          <t>[TYPE] HVAC unit [CAPACITY]kW complete with all accessories</t>
        </is>
      </c>
      <c r="E61" s="158" t="inlineStr">
        <is>
          <t>HVC_CAP_KW, ASS_DESCRIPTION_TXT, ASS_MANUFACTURER_TXT</t>
        </is>
      </c>
      <c r="F61" s="158" t="n"/>
      <c r="G61" s="158" t="inlineStr">
        <is>
          <t>complete with all accessories.</t>
        </is>
      </c>
      <c r="H61" s="158" t="inlineStr">
        <is>
          <t>No.</t>
        </is>
      </c>
      <c r="I61" s="158" t="inlineStr">
        <is>
          <t>Count</t>
        </is>
      </c>
      <c r="J61" s="158" t="inlineStr">
        <is>
          <t>BOQ-HVC-Equipment</t>
        </is>
      </c>
      <c r="K61" s="158" t="inlineStr">
        <is>
          <t>Covers VRF indoor+outdoor, splits, AHUs when grouped.</t>
        </is>
      </c>
      <c r="L61" s="150" t="inlineStr">
        <is>
          <t>if(ASS_MANUFACTURER_TXT&lt;&gt;"",ASS_MANUFACTURER_TXT,"HVAC") + " " + if(ASS_DESCRIPTION_TXT&lt;&gt;"",ASS_DESCRIPTION_TXT,"") + " " + if(HVC_CAP_KW&lt;&gt;"",HVC_CAP_KW+"kW ","") + "complete with all accessories."</t>
        </is>
      </c>
    </row>
  </sheetData>
  <mergeCells count="8">
    <mergeCell ref="A34:K34"/>
    <mergeCell ref="A2:K2"/>
    <mergeCell ref="A16:K16"/>
    <mergeCell ref="A1:K1"/>
    <mergeCell ref="A28:K28"/>
    <mergeCell ref="A5:K5"/>
    <mergeCell ref="A45:K45"/>
    <mergeCell ref="A23:K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F6B6B"/>
    <outlinePr summaryBelow="1" summaryRight="1"/>
    <pageSetUpPr fitToPage="0"/>
  </sheetPr>
  <dimension ref="A1:I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22" min="1" max="1"/>
    <col width="8" customWidth="1" style="122" min="2" max="2"/>
    <col width="12" customWidth="1" style="122" min="3" max="3"/>
    <col width="14" customWidth="1" style="122" min="4" max="4"/>
    <col width="8" customWidth="1" style="122" min="5" max="5"/>
    <col width="35" customWidth="1" style="122" min="6" max="6"/>
    <col width="40" customWidth="1" style="122" min="7" max="7"/>
    <col width="12" customWidth="1" style="122" min="8" max="9"/>
  </cols>
  <sheetData>
    <row r="1" ht="15" customHeight="1" s="123">
      <c r="A1" s="133" t="inlineStr">
        <is>
          <t>NEW PARAMETERS FOR v4.2  |  Paragraph containers for gap categories + warning threshold params + BOQ schedule params</t>
        </is>
      </c>
    </row>
    <row r="3" ht="15" customHeight="1" s="123">
      <c r="A3" s="134" t="inlineStr">
        <is>
          <t>Parameter name</t>
        </is>
      </c>
      <c r="B3" s="134" t="inlineStr">
        <is>
          <t>Type</t>
        </is>
      </c>
      <c r="C3" s="134" t="inlineStr">
        <is>
          <t>Group</t>
        </is>
      </c>
      <c r="D3" s="134" t="inlineStr">
        <is>
          <t>Discipline</t>
        </is>
      </c>
      <c r="E3" s="134" t="inlineStr">
        <is>
          <t>Binding</t>
        </is>
      </c>
      <c r="F3" s="134" t="inlineStr">
        <is>
          <t>Category scope</t>
        </is>
      </c>
      <c r="G3" s="134" t="inlineStr">
        <is>
          <t>Description</t>
        </is>
      </c>
      <c r="H3" s="134" t="inlineStr">
        <is>
          <t>Source</t>
        </is>
      </c>
      <c r="I3" s="134" t="inlineStr">
        <is>
          <t>Priority</t>
        </is>
      </c>
    </row>
    <row r="4" ht="15" customHeight="1" s="123">
      <c r="A4" s="135" t="inlineStr">
        <is>
          <t>v4.2 PARAGRAPH ENGINE — 3-state visibility (3 params)</t>
        </is>
      </c>
      <c r="B4" s="136" t="n"/>
      <c r="C4" s="136" t="n"/>
      <c r="D4" s="136" t="n"/>
      <c r="E4" s="136" t="n"/>
      <c r="F4" s="136" t="n"/>
      <c r="G4" s="136" t="n"/>
      <c r="H4" s="136" t="n"/>
      <c r="I4" s="137" t="n"/>
    </row>
    <row r="5" ht="15" customHeight="1" s="123">
      <c r="A5" s="140" t="inlineStr">
        <is>
          <t>TAG_PARA_STATE_1_BOOL</t>
        </is>
      </c>
      <c r="B5" s="140" t="inlineStr">
        <is>
          <t>YESNO</t>
        </is>
      </c>
      <c r="C5" s="140" t="inlineStr">
        <is>
          <t>TAG_STYLE</t>
        </is>
      </c>
      <c r="D5" s="140" t="inlineStr">
        <is>
          <t>MULTI</t>
        </is>
      </c>
      <c r="E5" s="140" t="inlineStr">
        <is>
          <t>Type</t>
        </is>
      </c>
      <c r="F5" s="140" t="inlineStr">
        <is>
          <t>All 53</t>
        </is>
      </c>
      <c r="G5" s="140" t="inlineStr">
        <is>
          <t>Compact mode (tier 1 only)</t>
        </is>
      </c>
      <c r="H5" s="140" t="inlineStr">
        <is>
          <t>v4.2 new</t>
        </is>
      </c>
      <c r="I5" s="140" t="inlineStr">
        <is>
          <t>IMMEDIATE</t>
        </is>
      </c>
    </row>
    <row r="6" ht="15" customHeight="1" s="123">
      <c r="A6" s="140" t="inlineStr">
        <is>
          <t>TAG_PARA_STATE_2_BOOL</t>
        </is>
      </c>
      <c r="B6" s="140" t="inlineStr">
        <is>
          <t>YESNO</t>
        </is>
      </c>
      <c r="C6" s="140" t="inlineStr">
        <is>
          <t>TAG_STYLE</t>
        </is>
      </c>
      <c r="D6" s="140" t="inlineStr">
        <is>
          <t>MULTI</t>
        </is>
      </c>
      <c r="E6" s="140" t="inlineStr">
        <is>
          <t>Type</t>
        </is>
      </c>
      <c r="F6" s="140" t="inlineStr">
        <is>
          <t>All 53</t>
        </is>
      </c>
      <c r="G6" s="140" t="inlineStr">
        <is>
          <t>Standard mode (tiers 1+2)</t>
        </is>
      </c>
      <c r="H6" s="140" t="inlineStr">
        <is>
          <t>v4.2 new</t>
        </is>
      </c>
      <c r="I6" s="140" t="inlineStr">
        <is>
          <t>IMMEDIATE</t>
        </is>
      </c>
    </row>
    <row r="7" ht="15" customHeight="1" s="123">
      <c r="A7" s="140" t="inlineStr">
        <is>
          <t>TAG_PARA_STATE_3_BOOL</t>
        </is>
      </c>
      <c r="B7" s="140" t="inlineStr">
        <is>
          <t>YESNO</t>
        </is>
      </c>
      <c r="C7" s="140" t="inlineStr">
        <is>
          <t>TAG_STYLE</t>
        </is>
      </c>
      <c r="D7" s="140" t="inlineStr">
        <is>
          <t>MULTI</t>
        </is>
      </c>
      <c r="E7" s="140" t="inlineStr">
        <is>
          <t>Type</t>
        </is>
      </c>
      <c r="F7" s="140" t="inlineStr">
        <is>
          <t>All 53</t>
        </is>
      </c>
      <c r="G7" s="140" t="inlineStr">
        <is>
          <t>Comprehensive mode (tiers 1+2+3)</t>
        </is>
      </c>
      <c r="H7" s="140" t="inlineStr">
        <is>
          <t>v4.2 new</t>
        </is>
      </c>
      <c r="I7" s="140" t="inlineStr">
        <is>
          <t>IMMEDIATE</t>
        </is>
      </c>
    </row>
    <row r="8" ht="15" customHeight="1" s="123">
      <c r="A8" s="135" t="inlineStr">
        <is>
          <t>v4.2 GAP CATEGORY PARAGRAPH CONTAINERS (18 params)</t>
        </is>
      </c>
      <c r="B8" s="136" t="n"/>
      <c r="C8" s="136" t="n"/>
      <c r="D8" s="136" t="n"/>
      <c r="E8" s="136" t="n"/>
      <c r="F8" s="136" t="n"/>
      <c r="G8" s="136" t="n"/>
      <c r="H8" s="136" t="n"/>
      <c r="I8" s="137" t="n"/>
    </row>
    <row r="9" ht="15" customHeight="1" s="123">
      <c r="A9" s="140" t="inlineStr">
        <is>
          <t>PLM_TAG_7_PARA_FIXTURE_TXT</t>
        </is>
      </c>
      <c r="B9" s="140" t="inlineStr">
        <is>
          <t>TEXT</t>
        </is>
      </c>
      <c r="C9" s="140" t="inlineStr">
        <is>
          <t>PLM_TAG</t>
        </is>
      </c>
      <c r="D9" s="140" t="inlineStr">
        <is>
          <t>PLUMBING</t>
        </is>
      </c>
      <c r="E9" s="140" t="inlineStr">
        <is>
          <t>Type</t>
        </is>
      </c>
      <c r="F9" s="140" t="inlineStr">
        <is>
          <t>Plumbing Fixtures</t>
        </is>
      </c>
      <c r="G9" s="140" t="inlineStr">
        <is>
          <t>Sanitary fixture paragraph</t>
        </is>
      </c>
      <c r="H9" s="140" t="inlineStr">
        <is>
          <t>v4.2 new</t>
        </is>
      </c>
      <c r="I9" s="140" t="inlineStr">
        <is>
          <t>IMMEDIATE</t>
        </is>
      </c>
    </row>
    <row r="10" ht="15" customHeight="1" s="123">
      <c r="A10" s="140" t="inlineStr">
        <is>
          <t>PLM_TAG_7_PARA_EQUIPMENT_TXT</t>
        </is>
      </c>
      <c r="B10" s="140" t="inlineStr">
        <is>
          <t>TEXT</t>
        </is>
      </c>
      <c r="C10" s="140" t="inlineStr">
        <is>
          <t>PLM_TAG</t>
        </is>
      </c>
      <c r="D10" s="140" t="inlineStr">
        <is>
          <t>PLUMBING</t>
        </is>
      </c>
      <c r="E10" s="140" t="inlineStr">
        <is>
          <t>Type</t>
        </is>
      </c>
      <c r="F10" s="140" t="inlineStr">
        <is>
          <t>Plumbing Equipment</t>
        </is>
      </c>
      <c r="G10" s="140" t="inlineStr">
        <is>
          <t>Plumbing equipment paragraph</t>
        </is>
      </c>
      <c r="H10" s="140" t="inlineStr">
        <is>
          <t>v4.2 new</t>
        </is>
      </c>
      <c r="I10" s="140" t="inlineStr">
        <is>
          <t>IMMEDIATE</t>
        </is>
      </c>
    </row>
    <row r="11" ht="15" customHeight="1" s="123">
      <c r="A11" s="140" t="inlineStr">
        <is>
          <t>PLM_TAG_7_PARA_PIPEACC_TXT</t>
        </is>
      </c>
      <c r="B11" s="140" t="inlineStr">
        <is>
          <t>TEXT</t>
        </is>
      </c>
      <c r="C11" s="140" t="inlineStr">
        <is>
          <t>PLM_TAG</t>
        </is>
      </c>
      <c r="D11" s="140" t="inlineStr">
        <is>
          <t>PLUMBING</t>
        </is>
      </c>
      <c r="E11" s="140" t="inlineStr">
        <is>
          <t>Type</t>
        </is>
      </c>
      <c r="F11" s="140" t="inlineStr">
        <is>
          <t>Pipe Accessories</t>
        </is>
      </c>
      <c r="G11" s="140" t="inlineStr">
        <is>
          <t>Pipe accessory paragraph</t>
        </is>
      </c>
      <c r="H11" s="140" t="inlineStr">
        <is>
          <t>v4.2 new</t>
        </is>
      </c>
      <c r="I11" s="140" t="inlineStr">
        <is>
          <t>HIGH</t>
        </is>
      </c>
    </row>
    <row r="12" ht="15" customHeight="1" s="123">
      <c r="A12" s="140" t="inlineStr">
        <is>
          <t>ELC_TAG_7_PARA_CONDUIT_TXT</t>
        </is>
      </c>
      <c r="B12" s="140" t="inlineStr">
        <is>
          <t>TEXT</t>
        </is>
      </c>
      <c r="C12" s="140" t="inlineStr">
        <is>
          <t>ELC_TAG</t>
        </is>
      </c>
      <c r="D12" s="140" t="inlineStr">
        <is>
          <t>ELECTRICAL</t>
        </is>
      </c>
      <c r="E12" s="140" t="inlineStr">
        <is>
          <t>Type</t>
        </is>
      </c>
      <c r="F12" s="140" t="inlineStr">
        <is>
          <t>Conduits, Conduit Fittings</t>
        </is>
      </c>
      <c r="G12" s="140" t="inlineStr">
        <is>
          <t>Conduit paragraph</t>
        </is>
      </c>
      <c r="H12" s="140" t="inlineStr">
        <is>
          <t>v4.2 new</t>
        </is>
      </c>
      <c r="I12" s="140" t="inlineStr">
        <is>
          <t>HIGH</t>
        </is>
      </c>
    </row>
    <row r="13" ht="15" customHeight="1" s="123">
      <c r="A13" s="140" t="inlineStr">
        <is>
          <t>ELC_TAG_7_PARA_TRAY_TXT</t>
        </is>
      </c>
      <c r="B13" s="140" t="inlineStr">
        <is>
          <t>TEXT</t>
        </is>
      </c>
      <c r="C13" s="140" t="inlineStr">
        <is>
          <t>ELC_TAG</t>
        </is>
      </c>
      <c r="D13" s="140" t="inlineStr">
        <is>
          <t>ELECTRICAL</t>
        </is>
      </c>
      <c r="E13" s="140" t="inlineStr">
        <is>
          <t>Type</t>
        </is>
      </c>
      <c r="F13" s="140" t="inlineStr">
        <is>
          <t>Cable Trays, Cable Tray Fittings</t>
        </is>
      </c>
      <c r="G13" s="140" t="inlineStr">
        <is>
          <t>Cable tray paragraph</t>
        </is>
      </c>
      <c r="H13" s="140" t="inlineStr">
        <is>
          <t>v4.2 new</t>
        </is>
      </c>
      <c r="I13" s="140" t="inlineStr">
        <is>
          <t>HIGH</t>
        </is>
      </c>
    </row>
    <row r="14" ht="15" customHeight="1" s="123">
      <c r="A14" s="140" t="inlineStr">
        <is>
          <t>HVC_TAG_7_PARA_FLEXDUCT_TXT</t>
        </is>
      </c>
      <c r="B14" s="140" t="inlineStr">
        <is>
          <t>TEXT</t>
        </is>
      </c>
      <c r="C14" s="140" t="inlineStr">
        <is>
          <t>HVC_TAG</t>
        </is>
      </c>
      <c r="D14" s="140" t="inlineStr">
        <is>
          <t>HVAC</t>
        </is>
      </c>
      <c r="E14" s="140" t="inlineStr">
        <is>
          <t>Type</t>
        </is>
      </c>
      <c r="F14" s="140" t="inlineStr">
        <is>
          <t>Flex Ducts</t>
        </is>
      </c>
      <c r="G14" s="140" t="inlineStr">
        <is>
          <t>Flex duct paragraph</t>
        </is>
      </c>
      <c r="H14" s="140" t="inlineStr">
        <is>
          <t>v4.2 new</t>
        </is>
      </c>
      <c r="I14" s="140" t="inlineStr">
        <is>
          <t>HIGH</t>
        </is>
      </c>
    </row>
    <row r="15" ht="15" customHeight="1" s="123">
      <c r="A15" s="140" t="inlineStr">
        <is>
          <t>HVC_TAG_7_PARA_DCTACC_TXT</t>
        </is>
      </c>
      <c r="B15" s="140" t="inlineStr">
        <is>
          <t>TEXT</t>
        </is>
      </c>
      <c r="C15" s="140" t="inlineStr">
        <is>
          <t>HVC_TAG</t>
        </is>
      </c>
      <c r="D15" s="140" t="inlineStr">
        <is>
          <t>HVAC</t>
        </is>
      </c>
      <c r="E15" s="140" t="inlineStr">
        <is>
          <t>Type</t>
        </is>
      </c>
      <c r="F15" s="140" t="inlineStr">
        <is>
          <t>Duct Accessories</t>
        </is>
      </c>
      <c r="G15" s="140" t="inlineStr">
        <is>
          <t>Duct accessory paragraph</t>
        </is>
      </c>
      <c r="H15" s="140" t="inlineStr">
        <is>
          <t>v4.2 new</t>
        </is>
      </c>
      <c r="I15" s="140" t="inlineStr">
        <is>
          <t>HIGH</t>
        </is>
      </c>
    </row>
    <row r="16" ht="21.75" customHeight="1" s="123">
      <c r="A16" s="140" t="inlineStr">
        <is>
          <t>ARCH_TAG_7_PARA_FACADE_TXT</t>
        </is>
      </c>
      <c r="B16" s="140" t="inlineStr">
        <is>
          <t>TEXT</t>
        </is>
      </c>
      <c r="C16" s="140" t="inlineStr">
        <is>
          <t>ARCH_TAG</t>
        </is>
      </c>
      <c r="D16" s="140" t="inlineStr">
        <is>
          <t>ARCHITECTURAL</t>
        </is>
      </c>
      <c r="E16" s="140" t="inlineStr">
        <is>
          <t>Type</t>
        </is>
      </c>
      <c r="F16" s="140" t="inlineStr">
        <is>
          <t>Curtain Panels, CW Mullions</t>
        </is>
      </c>
      <c r="G16" s="140" t="inlineStr">
        <is>
          <t>Facade/curtain wall paragraph</t>
        </is>
      </c>
      <c r="H16" s="140" t="inlineStr">
        <is>
          <t>v4.2 new</t>
        </is>
      </c>
      <c r="I16" s="140" t="inlineStr">
        <is>
          <t>HIGH</t>
        </is>
      </c>
    </row>
    <row r="17" ht="21.75" customHeight="1" s="123">
      <c r="A17" s="140" t="inlineStr">
        <is>
          <t>ARCH_TAG_7_PARA_STAIR_TXT</t>
        </is>
      </c>
      <c r="B17" s="140" t="inlineStr">
        <is>
          <t>TEXT</t>
        </is>
      </c>
      <c r="C17" s="140" t="inlineStr">
        <is>
          <t>ARCH_TAG</t>
        </is>
      </c>
      <c r="D17" s="140" t="inlineStr">
        <is>
          <t>ARCHITECTURAL</t>
        </is>
      </c>
      <c r="E17" s="140" t="inlineStr">
        <is>
          <t>Type</t>
        </is>
      </c>
      <c r="F17" s="140" t="inlineStr">
        <is>
          <t>Stairs</t>
        </is>
      </c>
      <c r="G17" s="140" t="inlineStr">
        <is>
          <t>Stair paragraph</t>
        </is>
      </c>
      <c r="H17" s="140" t="inlineStr">
        <is>
          <t>v4.2 new</t>
        </is>
      </c>
      <c r="I17" s="140" t="inlineStr">
        <is>
          <t>HIGH</t>
        </is>
      </c>
    </row>
    <row r="18" ht="21.75" customHeight="1" s="123">
      <c r="A18" s="140" t="inlineStr">
        <is>
          <t>ARCH_TAG_7_PARA_RAMP_TXT</t>
        </is>
      </c>
      <c r="B18" s="140" t="inlineStr">
        <is>
          <t>TEXT</t>
        </is>
      </c>
      <c r="C18" s="140" t="inlineStr">
        <is>
          <t>ARCH_TAG</t>
        </is>
      </c>
      <c r="D18" s="140" t="inlineStr">
        <is>
          <t>ARCHITECTURAL</t>
        </is>
      </c>
      <c r="E18" s="140" t="inlineStr">
        <is>
          <t>Type</t>
        </is>
      </c>
      <c r="F18" s="140" t="inlineStr">
        <is>
          <t>Ramps</t>
        </is>
      </c>
      <c r="G18" s="140" t="inlineStr">
        <is>
          <t>Ramp paragraph</t>
        </is>
      </c>
      <c r="H18" s="140" t="inlineStr">
        <is>
          <t>v4.2 new</t>
        </is>
      </c>
      <c r="I18" s="140" t="inlineStr">
        <is>
          <t>HIGH</t>
        </is>
      </c>
    </row>
    <row r="19" ht="21.75" customHeight="1" s="123">
      <c r="A19" s="140" t="inlineStr">
        <is>
          <t>STR_TAG_7_PARA_FDN_TXT</t>
        </is>
      </c>
      <c r="B19" s="140" t="inlineStr">
        <is>
          <t>TEXT</t>
        </is>
      </c>
      <c r="C19" s="140" t="inlineStr">
        <is>
          <t>STR_TAG</t>
        </is>
      </c>
      <c r="D19" s="140" t="inlineStr">
        <is>
          <t>ARCHITECTURAL</t>
        </is>
      </c>
      <c r="E19" s="140" t="inlineStr">
        <is>
          <t>Type</t>
        </is>
      </c>
      <c r="F19" s="140" t="inlineStr">
        <is>
          <t>Structural Foundations</t>
        </is>
      </c>
      <c r="G19" s="140" t="inlineStr">
        <is>
          <t>Foundation paragraph</t>
        </is>
      </c>
      <c r="H19" s="140" t="inlineStr">
        <is>
          <t>v4.2 new</t>
        </is>
      </c>
      <c r="I19" s="140" t="inlineStr">
        <is>
          <t>HIGH</t>
        </is>
      </c>
    </row>
    <row r="20" ht="21.75" customHeight="1" s="123">
      <c r="A20" s="140" t="inlineStr">
        <is>
          <t>ARCH_TAG_7_PARA_CASEWORK_TXT</t>
        </is>
      </c>
      <c r="B20" s="140" t="inlineStr">
        <is>
          <t>TEXT</t>
        </is>
      </c>
      <c r="C20" s="140" t="inlineStr">
        <is>
          <t>ARCH_TAG</t>
        </is>
      </c>
      <c r="D20" s="140" t="inlineStr">
        <is>
          <t>ARCHITECTURAL</t>
        </is>
      </c>
      <c r="E20" s="140" t="inlineStr">
        <is>
          <t>Type</t>
        </is>
      </c>
      <c r="F20" s="140" t="inlineStr">
        <is>
          <t>Casework</t>
        </is>
      </c>
      <c r="G20" s="140" t="inlineStr">
        <is>
          <t>Casework paragraph</t>
        </is>
      </c>
      <c r="H20" s="140" t="inlineStr">
        <is>
          <t>v4.2 new</t>
        </is>
      </c>
      <c r="I20" s="140" t="inlineStr">
        <is>
          <t>MEDIUM</t>
        </is>
      </c>
    </row>
    <row r="21" ht="21.75" customHeight="1" s="123">
      <c r="A21" s="140" t="inlineStr">
        <is>
          <t>ARCH_TAG_7_PARA_FURNITURE_TXT</t>
        </is>
      </c>
      <c r="B21" s="140" t="inlineStr">
        <is>
          <t>TEXT</t>
        </is>
      </c>
      <c r="C21" s="140" t="inlineStr">
        <is>
          <t>ARCH_TAG</t>
        </is>
      </c>
      <c r="D21" s="140" t="inlineStr">
        <is>
          <t>ARCHITECTURAL</t>
        </is>
      </c>
      <c r="E21" s="140" t="inlineStr">
        <is>
          <t>Type</t>
        </is>
      </c>
      <c r="F21" s="140" t="inlineStr">
        <is>
          <t>Furniture</t>
        </is>
      </c>
      <c r="G21" s="140" t="inlineStr">
        <is>
          <t>Furniture paragraph</t>
        </is>
      </c>
      <c r="H21" s="140" t="inlineStr">
        <is>
          <t>v4.2 new</t>
        </is>
      </c>
      <c r="I21" s="140" t="inlineStr">
        <is>
          <t>MEDIUM</t>
        </is>
      </c>
    </row>
    <row r="22" ht="15" customHeight="1" s="123">
      <c r="A22" s="140" t="inlineStr">
        <is>
          <t>ASS_TAG_7_PARA_EQUIPMENT_TXT</t>
        </is>
      </c>
      <c r="B22" s="140" t="inlineStr">
        <is>
          <t>TEXT</t>
        </is>
      </c>
      <c r="C22" s="140" t="inlineStr">
        <is>
          <t>ASS_TAG</t>
        </is>
      </c>
      <c r="D22" s="140" t="inlineStr">
        <is>
          <t>MULTI</t>
        </is>
      </c>
      <c r="E22" s="140" t="inlineStr">
        <is>
          <t>Type</t>
        </is>
      </c>
      <c r="F22" s="140" t="inlineStr">
        <is>
          <t>Specialty Equipment</t>
        </is>
      </c>
      <c r="G22" s="140" t="inlineStr">
        <is>
          <t>Specialty equipment paragraph</t>
        </is>
      </c>
      <c r="H22" s="140" t="inlineStr">
        <is>
          <t>v4.2 new</t>
        </is>
      </c>
      <c r="I22" s="140" t="inlineStr">
        <is>
          <t>MEDIUM</t>
        </is>
      </c>
    </row>
    <row r="23" ht="15" customHeight="1" s="123">
      <c r="A23" s="140" t="inlineStr">
        <is>
          <t>COM_TAG_7_PARA_BMS_TXT</t>
        </is>
      </c>
      <c r="B23" s="140" t="inlineStr">
        <is>
          <t>TEXT</t>
        </is>
      </c>
      <c r="C23" s="140" t="inlineStr">
        <is>
          <t>COM_TAG</t>
        </is>
      </c>
      <c r="D23" s="140" t="inlineStr">
        <is>
          <t>ELECTRICAL</t>
        </is>
      </c>
      <c r="E23" s="140" t="inlineStr">
        <is>
          <t>Type</t>
        </is>
      </c>
      <c r="F23" s="140" t="inlineStr">
        <is>
          <t>Communication Devices</t>
        </is>
      </c>
      <c r="G23" s="140" t="inlineStr">
        <is>
          <t>BMS device paragraph</t>
        </is>
      </c>
      <c r="H23" s="140" t="inlineStr">
        <is>
          <t>v4.2 new</t>
        </is>
      </c>
      <c r="I23" s="140" t="inlineStr">
        <is>
          <t>HIGH</t>
        </is>
      </c>
    </row>
    <row r="24" ht="15" customHeight="1" s="123">
      <c r="A24" s="140" t="inlineStr">
        <is>
          <t>ICT_TAG_7_PARA_DATA_TXT</t>
        </is>
      </c>
      <c r="B24" s="140" t="inlineStr">
        <is>
          <t>TEXT</t>
        </is>
      </c>
      <c r="C24" s="140" t="inlineStr">
        <is>
          <t>ICT_TAG</t>
        </is>
      </c>
      <c r="D24" s="140" t="inlineStr">
        <is>
          <t>ELECTRICAL</t>
        </is>
      </c>
      <c r="E24" s="140" t="inlineStr">
        <is>
          <t>Type</t>
        </is>
      </c>
      <c r="F24" s="140" t="inlineStr">
        <is>
          <t>Data Devices, Telephone Devices</t>
        </is>
      </c>
      <c r="G24" s="140" t="inlineStr">
        <is>
          <t>Data/telephone outlet paragraph</t>
        </is>
      </c>
      <c r="H24" s="140" t="inlineStr">
        <is>
          <t>v4.2 new</t>
        </is>
      </c>
      <c r="I24" s="140" t="inlineStr">
        <is>
          <t>MEDIUM</t>
        </is>
      </c>
    </row>
    <row r="25" ht="15" customHeight="1" s="123">
      <c r="A25" s="140" t="inlineStr">
        <is>
          <t>NCL_TAG_7_PARA_NURSECALL_TXT</t>
        </is>
      </c>
      <c r="B25" s="140" t="inlineStr">
        <is>
          <t>TEXT</t>
        </is>
      </c>
      <c r="C25" s="140" t="inlineStr">
        <is>
          <t>NCL_TAG</t>
        </is>
      </c>
      <c r="D25" s="140" t="inlineStr">
        <is>
          <t>ELECTRICAL</t>
        </is>
      </c>
      <c r="E25" s="140" t="inlineStr">
        <is>
          <t>Type</t>
        </is>
      </c>
      <c r="F25" s="140" t="inlineStr">
        <is>
          <t>Nurse Call Devices</t>
        </is>
      </c>
      <c r="G25" s="140" t="inlineStr">
        <is>
          <t>Nurse call paragraph</t>
        </is>
      </c>
      <c r="H25" s="140" t="inlineStr">
        <is>
          <t>v4.2 new</t>
        </is>
      </c>
      <c r="I25" s="140" t="inlineStr">
        <is>
          <t>PROJECT</t>
        </is>
      </c>
    </row>
    <row r="26" ht="15" customHeight="1" s="123">
      <c r="A26" s="140" t="inlineStr">
        <is>
          <t>SEC_TAG_7_PARA_SECURITY_TXT</t>
        </is>
      </c>
      <c r="B26" s="140" t="inlineStr">
        <is>
          <t>TEXT</t>
        </is>
      </c>
      <c r="C26" s="140" t="inlineStr">
        <is>
          <t>SEC_TAG</t>
        </is>
      </c>
      <c r="D26" s="140" t="inlineStr">
        <is>
          <t>ELECTRICAL</t>
        </is>
      </c>
      <c r="E26" s="140" t="inlineStr">
        <is>
          <t>Type</t>
        </is>
      </c>
      <c r="F26" s="140" t="inlineStr">
        <is>
          <t>Security Devices</t>
        </is>
      </c>
      <c r="G26" s="140" t="inlineStr">
        <is>
          <t>Security device paragraph</t>
        </is>
      </c>
      <c r="H26" s="140" t="inlineStr">
        <is>
          <t>v4.2 new</t>
        </is>
      </c>
      <c r="I26" s="140" t="inlineStr">
        <is>
          <t>MEDIUM</t>
        </is>
      </c>
    </row>
    <row r="27" ht="15" customHeight="1" s="123">
      <c r="A27" s="159" t="inlineStr">
        <is>
          <t>v4.2 TIER-3 UNIVERSAL PARAGRAPH CONTAINERS — docx s6.2 (5 params)</t>
        </is>
      </c>
    </row>
    <row r="28" ht="15" customHeight="1" s="123">
      <c r="A28" s="160" t="inlineStr">
        <is>
          <t>RGL_TAG_7_PARA_COMPLIANCE_TXT</t>
        </is>
      </c>
      <c r="B28" s="160" t="inlineStr">
        <is>
          <t>TEXT</t>
        </is>
      </c>
      <c r="C28" s="160" t="inlineStr">
        <is>
          <t>RGL_TAG</t>
        </is>
      </c>
      <c r="D28" s="160" t="inlineStr">
        <is>
          <t>MULTI</t>
        </is>
      </c>
      <c r="E28" s="160" t="inlineStr">
        <is>
          <t>Type</t>
        </is>
      </c>
      <c r="F28" s="160" t="inlineStr">
        <is>
          <t>All 53 (tier 3)</t>
        </is>
      </c>
      <c r="G28" s="160" t="inlineStr">
        <is>
          <t>Regulatory compliance paragraph (KCCA, UMEME, NWSC, NEMA approvals, QA)</t>
        </is>
      </c>
      <c r="H28" s="160" t="inlineStr">
        <is>
          <t>v4.2 new</t>
        </is>
      </c>
      <c r="I28" s="160" t="inlineStr">
        <is>
          <t>HIGH</t>
        </is>
      </c>
    </row>
    <row r="29" ht="15" customHeight="1" s="123">
      <c r="A29" s="161" t="inlineStr">
        <is>
          <t>PER_TAG_7_PARA_ENVIRONMENT_TXT</t>
        </is>
      </c>
      <c r="B29" s="161" t="inlineStr">
        <is>
          <t>TEXT</t>
        </is>
      </c>
      <c r="C29" s="161" t="inlineStr">
        <is>
          <t>PER_TAG</t>
        </is>
      </c>
      <c r="D29" s="161" t="inlineStr">
        <is>
          <t>MULTI</t>
        </is>
      </c>
      <c r="E29" s="161" t="inlineStr">
        <is>
          <t>Type</t>
        </is>
      </c>
      <c r="F29" s="161" t="inlineStr">
        <is>
          <t>All 53 (tier 3)</t>
        </is>
      </c>
      <c r="G29" s="161" t="inlineStr">
        <is>
          <t>Environmental context paragraph (climate zone, humidity, altitude, rainfall, termite protection)</t>
        </is>
      </c>
      <c r="H29" s="161" t="inlineStr">
        <is>
          <t>v4.2 new</t>
        </is>
      </c>
      <c r="I29" s="161" t="inlineStr">
        <is>
          <t>HIGH</t>
        </is>
      </c>
    </row>
    <row r="30" ht="15" customHeight="1" s="123">
      <c r="A30" s="160" t="inlineStr">
        <is>
          <t>CST_TAG_7_PARA_CONCRETE_TXT</t>
        </is>
      </c>
      <c r="B30" s="160" t="inlineStr">
        <is>
          <t>TEXT</t>
        </is>
      </c>
      <c r="C30" s="160" t="inlineStr">
        <is>
          <t>CST_TAG</t>
        </is>
      </c>
      <c r="D30" s="160" t="inlineStr">
        <is>
          <t>STR/ARCH</t>
        </is>
      </c>
      <c r="E30" s="160" t="inlineStr">
        <is>
          <t>Type</t>
        </is>
      </c>
      <c r="F30" s="160" t="inlineStr">
        <is>
          <t>Generic (structural)</t>
        </is>
      </c>
      <c r="G30" s="160" t="inlineStr">
        <is>
          <t>Concrete/masonry specification paragraph (grade, strength, admixture, mix ratio)</t>
        </is>
      </c>
      <c r="H30" s="160" t="inlineStr">
        <is>
          <t>v4.2 new</t>
        </is>
      </c>
      <c r="I30" s="160" t="inlineStr">
        <is>
          <t>HIGH</t>
        </is>
      </c>
    </row>
    <row r="31" ht="15" customHeight="1" s="123">
      <c r="A31" s="161" t="inlineStr">
        <is>
          <t>PLM_TAG_7_PARA_DRAIN_TXT</t>
        </is>
      </c>
      <c r="B31" s="161" t="inlineStr">
        <is>
          <t>TEXT</t>
        </is>
      </c>
      <c r="C31" s="161" t="inlineStr">
        <is>
          <t>PLM_TAG</t>
        </is>
      </c>
      <c r="D31" s="161" t="inlineStr">
        <is>
          <t>PLUMBING</t>
        </is>
      </c>
      <c r="E31" s="161" t="inlineStr">
        <is>
          <t>Type</t>
        </is>
      </c>
      <c r="F31" s="161" t="inlineStr">
        <is>
          <t>Pipes (drainage only)</t>
        </is>
      </c>
      <c r="G31" s="161" t="inlineStr">
        <is>
          <t>Drainage paragraph (trap type, cleanout, vent terminals, expansion joints, strainers)</t>
        </is>
      </c>
      <c r="H31" s="161" t="inlineStr">
        <is>
          <t>v4.2 new</t>
        </is>
      </c>
      <c r="I31" s="161" t="inlineStr">
        <is>
          <t>HIGH</t>
        </is>
      </c>
    </row>
    <row r="32" ht="15" customHeight="1" s="123">
      <c r="A32" s="160" t="inlineStr">
        <is>
          <t>ELC_TAG_7_PARA_CABLE_TXT</t>
        </is>
      </c>
      <c r="B32" s="160" t="inlineStr">
        <is>
          <t>TEXT</t>
        </is>
      </c>
      <c r="C32" s="160" t="inlineStr">
        <is>
          <t>ELC_TAG</t>
        </is>
      </c>
      <c r="D32" s="160" t="inlineStr">
        <is>
          <t>ELECTRICAL</t>
        </is>
      </c>
      <c r="E32" s="160" t="inlineStr">
        <is>
          <t>Type</t>
        </is>
      </c>
      <c r="F32" s="160" t="inlineStr">
        <is>
          <t>Cable Trays, Conduits</t>
        </is>
      </c>
      <c r="G32" s="160" t="inlineStr">
        <is>
          <t>Cable paragraph (destination, source, cores, size, insulation, install method, tray fill, load)</t>
        </is>
      </c>
      <c r="H32" s="160" t="inlineStr">
        <is>
          <t>v4.2 new</t>
        </is>
      </c>
      <c r="I32" s="160" t="inlineStr">
        <is>
          <t>HIGH</t>
        </is>
      </c>
    </row>
    <row r="33" ht="15" customHeight="1" s="123">
      <c r="A33" s="135" t="inlineStr">
        <is>
          <t>v4.2 WARNING THRESHOLD REFERENCE PARAMS (3 new system params)</t>
        </is>
      </c>
      <c r="B33" s="162" t="n"/>
      <c r="C33" s="162" t="n"/>
      <c r="D33" s="162" t="n"/>
      <c r="E33" s="162" t="n"/>
      <c r="F33" s="162" t="n"/>
      <c r="G33" s="162" t="n"/>
      <c r="H33" s="162" t="n"/>
      <c r="I33" s="163" t="n"/>
    </row>
    <row r="34" ht="15" customHeight="1" s="123">
      <c r="A34" s="140" t="inlineStr">
        <is>
          <t>TAG_WARN_VISIBLE_BOOL</t>
        </is>
      </c>
      <c r="B34" s="140" t="inlineStr">
        <is>
          <t>YESNO</t>
        </is>
      </c>
      <c r="C34" s="140" t="inlineStr">
        <is>
          <t>TAG_STYLE</t>
        </is>
      </c>
      <c r="D34" s="140" t="inlineStr">
        <is>
          <t>MULTI</t>
        </is>
      </c>
      <c r="E34" s="140" t="inlineStr">
        <is>
          <t>Type</t>
        </is>
      </c>
      <c r="F34" s="140" t="inlineStr">
        <is>
          <t>All 53</t>
        </is>
      </c>
      <c r="G34" s="140" t="inlineStr">
        <is>
          <t>Enable/disable warning text in tags</t>
        </is>
      </c>
      <c r="H34" s="140" t="inlineStr">
        <is>
          <t>v4.2 new</t>
        </is>
      </c>
      <c r="I34" s="140" t="inlineStr">
        <is>
          <t>IMMEDIATE</t>
        </is>
      </c>
    </row>
    <row r="35" ht="15" customHeight="1" s="123">
      <c r="A35" s="140" t="inlineStr">
        <is>
          <t>TAG_WARN_SEVERITY_FILTER_TXT</t>
        </is>
      </c>
      <c r="B35" s="140" t="inlineStr">
        <is>
          <t>TEXT</t>
        </is>
      </c>
      <c r="C35" s="140" t="inlineStr">
        <is>
          <t>TAG_STYLE</t>
        </is>
      </c>
      <c r="D35" s="140" t="inlineStr">
        <is>
          <t>MULTI</t>
        </is>
      </c>
      <c r="E35" s="140" t="inlineStr">
        <is>
          <t>Type</t>
        </is>
      </c>
      <c r="F35" s="140" t="inlineStr">
        <is>
          <t>Project Information</t>
        </is>
      </c>
      <c r="G35" s="140" t="inlineStr">
        <is>
          <t>Filter: CRITICAL, HIGH, MEDIUM, ALL</t>
        </is>
      </c>
      <c r="H35" s="140" t="inlineStr">
        <is>
          <t>v4.2 new</t>
        </is>
      </c>
      <c r="I35" s="140" t="inlineStr">
        <is>
          <t>HIGH</t>
        </is>
      </c>
    </row>
    <row r="36" ht="15" customHeight="1" s="123">
      <c r="A36" s="140" t="inlineStr">
        <is>
          <t>ELC_PNL_RATED_KW</t>
        </is>
      </c>
      <c r="B36" s="140" t="inlineStr">
        <is>
          <t>NUMBER</t>
        </is>
      </c>
      <c r="C36" s="140" t="inlineStr">
        <is>
          <t>ELC_PWR</t>
        </is>
      </c>
      <c r="D36" s="140" t="inlineStr">
        <is>
          <t>ELECTRICAL</t>
        </is>
      </c>
      <c r="E36" s="140" t="inlineStr">
        <is>
          <t>Type</t>
        </is>
      </c>
      <c r="F36" s="140" t="inlineStr">
        <is>
          <t>Electrical Equipment</t>
        </is>
      </c>
      <c r="G36" s="140" t="inlineStr">
        <is>
          <t>Panel rated capacity kW (for overload check)</t>
        </is>
      </c>
      <c r="H36" s="140" t="inlineStr">
        <is>
          <t>v4.2 new</t>
        </is>
      </c>
      <c r="I36" s="140" t="inlineStr">
        <is>
          <t>HIGH</t>
        </is>
      </c>
    </row>
    <row r="38" ht="15" customHeight="1" s="123">
      <c r="A38" s="164" t="inlineStr">
        <is>
          <t>TOTAL: 3 visibility + 18 paragraph containers + 5 tier-3 universal + 3 warning system = 29 new parameters</t>
        </is>
      </c>
    </row>
    <row r="39" ht="13.5" customHeight="1" s="123">
      <c r="A39" s="165" t="inlineStr">
        <is>
          <t>v4.3 RE-REGISTERED v4.1 CONTAINERS + NEW v4.3 CONTAINERS (18 params)</t>
        </is>
      </c>
      <c r="B39" s="166" t="n"/>
      <c r="C39" s="166" t="n"/>
      <c r="D39" s="166" t="n"/>
      <c r="E39" s="166" t="n"/>
      <c r="F39" s="166" t="n"/>
      <c r="G39" s="166" t="n"/>
      <c r="H39" s="166" t="n"/>
      <c r="I39" s="166" t="n"/>
    </row>
    <row r="40" ht="13.5" customHeight="1" s="123">
      <c r="A40" s="167" t="inlineStr">
        <is>
          <t>ARCH_TAG_7_PARA_WALL_TXT</t>
        </is>
      </c>
      <c r="B40" s="168" t="inlineStr">
        <is>
          <t>TEXT</t>
        </is>
      </c>
      <c r="C40" s="168" t="inlineStr">
        <is>
          <t>ARCH_TAG</t>
        </is>
      </c>
      <c r="D40" s="168" t="inlineStr">
        <is>
          <t>ARCHITECTURAL</t>
        </is>
      </c>
      <c r="E40" s="168" t="inlineStr">
        <is>
          <t>Type</t>
        </is>
      </c>
      <c r="F40" s="168" t="inlineStr">
        <is>
          <t>Walls</t>
        </is>
      </c>
      <c r="G40" s="168" t="inlineStr">
        <is>
          <t>Wall paragraph container</t>
        </is>
      </c>
      <c r="H40" s="168" t="inlineStr">
        <is>
          <t>v4.1 + v4.3 unified</t>
        </is>
      </c>
      <c r="I40" s="168" t="inlineStr">
        <is>
          <t>IMMEDIATE</t>
        </is>
      </c>
    </row>
    <row r="41" ht="13.5" customHeight="1" s="123">
      <c r="A41" s="169" t="inlineStr">
        <is>
          <t>ARCH_TAG_7_PARA_FLOOR_TXT</t>
        </is>
      </c>
      <c r="B41" s="170" t="inlineStr">
        <is>
          <t>TEXT</t>
        </is>
      </c>
      <c r="C41" s="170" t="inlineStr">
        <is>
          <t>ARCH_TAG</t>
        </is>
      </c>
      <c r="D41" s="170" t="inlineStr">
        <is>
          <t>ARCHITECTURAL</t>
        </is>
      </c>
      <c r="E41" s="170" t="inlineStr">
        <is>
          <t>Type</t>
        </is>
      </c>
      <c r="F41" s="170" t="inlineStr">
        <is>
          <t>Floors</t>
        </is>
      </c>
      <c r="G41" s="170" t="inlineStr">
        <is>
          <t>Floor paragraph container</t>
        </is>
      </c>
      <c r="H41" s="170" t="inlineStr">
        <is>
          <t>v4.1 + v4.3 unified</t>
        </is>
      </c>
      <c r="I41" s="170" t="inlineStr">
        <is>
          <t>IMMEDIATE</t>
        </is>
      </c>
    </row>
    <row r="42" ht="13.5" customHeight="1" s="123">
      <c r="A42" s="167" t="inlineStr">
        <is>
          <t>ARCH_TAG_7_PARA_DOOR_TXT</t>
        </is>
      </c>
      <c r="B42" s="168" t="inlineStr">
        <is>
          <t>TEXT</t>
        </is>
      </c>
      <c r="C42" s="168" t="inlineStr">
        <is>
          <t>ARCH_TAG</t>
        </is>
      </c>
      <c r="D42" s="168" t="inlineStr">
        <is>
          <t>ARCHITECTURAL</t>
        </is>
      </c>
      <c r="E42" s="168" t="inlineStr">
        <is>
          <t>Type</t>
        </is>
      </c>
      <c r="F42" s="168" t="inlineStr">
        <is>
          <t>Doors</t>
        </is>
      </c>
      <c r="G42" s="168" t="inlineStr">
        <is>
          <t>Door paragraph container</t>
        </is>
      </c>
      <c r="H42" s="168" t="inlineStr">
        <is>
          <t>v4.1 + v4.3 unified</t>
        </is>
      </c>
      <c r="I42" s="168" t="inlineStr">
        <is>
          <t>IMMEDIATE</t>
        </is>
      </c>
    </row>
    <row r="43" ht="13.5" customHeight="1" s="123">
      <c r="A43" s="169" t="inlineStr">
        <is>
          <t>ARCH_TAG_7_PARA_WIN_TXT</t>
        </is>
      </c>
      <c r="B43" s="170" t="inlineStr">
        <is>
          <t>TEXT</t>
        </is>
      </c>
      <c r="C43" s="170" t="inlineStr">
        <is>
          <t>ARCH_TAG</t>
        </is>
      </c>
      <c r="D43" s="170" t="inlineStr">
        <is>
          <t>ARCHITECTURAL</t>
        </is>
      </c>
      <c r="E43" s="170" t="inlineStr">
        <is>
          <t>Type</t>
        </is>
      </c>
      <c r="F43" s="170" t="inlineStr">
        <is>
          <t>Windows</t>
        </is>
      </c>
      <c r="G43" s="170" t="inlineStr">
        <is>
          <t>Window paragraph container</t>
        </is>
      </c>
      <c r="H43" s="170" t="inlineStr">
        <is>
          <t>v4.1 + v4.3 unified</t>
        </is>
      </c>
      <c r="I43" s="170" t="inlineStr">
        <is>
          <t>IMMEDIATE</t>
        </is>
      </c>
    </row>
    <row r="44" ht="13.5" customHeight="1" s="123">
      <c r="A44" s="167" t="inlineStr">
        <is>
          <t>ARCH_TAG_7_PARA_ROOM_TXT</t>
        </is>
      </c>
      <c r="B44" s="168" t="inlineStr">
        <is>
          <t>TEXT</t>
        </is>
      </c>
      <c r="C44" s="168" t="inlineStr">
        <is>
          <t>ARCH_TAG</t>
        </is>
      </c>
      <c r="D44" s="168" t="inlineStr">
        <is>
          <t>ARCHITECTURAL</t>
        </is>
      </c>
      <c r="E44" s="168" t="inlineStr">
        <is>
          <t>Type</t>
        </is>
      </c>
      <c r="F44" s="168" t="inlineStr">
        <is>
          <t>Rooms</t>
        </is>
      </c>
      <c r="G44" s="168" t="inlineStr">
        <is>
          <t>Room/space paragraph container</t>
        </is>
      </c>
      <c r="H44" s="168" t="inlineStr">
        <is>
          <t>v4.1 + v4.3 unified</t>
        </is>
      </c>
      <c r="I44" s="168" t="inlineStr">
        <is>
          <t>IMMEDIATE</t>
        </is>
      </c>
    </row>
    <row r="45" ht="13.5" customHeight="1" s="123">
      <c r="A45" s="169" t="inlineStr">
        <is>
          <t>ARCH_TAG_7_PARA_CEIL_TXT</t>
        </is>
      </c>
      <c r="B45" s="170" t="inlineStr">
        <is>
          <t>TEXT</t>
        </is>
      </c>
      <c r="C45" s="170" t="inlineStr">
        <is>
          <t>ARCH_TAG</t>
        </is>
      </c>
      <c r="D45" s="170" t="inlineStr">
        <is>
          <t>ARCHITECTURAL</t>
        </is>
      </c>
      <c r="E45" s="170" t="inlineStr">
        <is>
          <t>Type</t>
        </is>
      </c>
      <c r="F45" s="170" t="inlineStr">
        <is>
          <t>Ceilings</t>
        </is>
      </c>
      <c r="G45" s="170" t="inlineStr">
        <is>
          <t>Ceiling paragraph container — NEW v4.3</t>
        </is>
      </c>
      <c r="H45" s="170" t="inlineStr">
        <is>
          <t>v4.3 new</t>
        </is>
      </c>
      <c r="I45" s="170" t="inlineStr">
        <is>
          <t>HIGH</t>
        </is>
      </c>
    </row>
    <row r="46" ht="13.5" customHeight="1" s="123">
      <c r="A46" s="167" t="inlineStr">
        <is>
          <t>ARCH_TAG_7_PARA_ROOF_TXT</t>
        </is>
      </c>
      <c r="B46" s="168" t="inlineStr">
        <is>
          <t>TEXT</t>
        </is>
      </c>
      <c r="C46" s="168" t="inlineStr">
        <is>
          <t>ARCH_TAG</t>
        </is>
      </c>
      <c r="D46" s="168" t="inlineStr">
        <is>
          <t>ARCHITECTURAL</t>
        </is>
      </c>
      <c r="E46" s="168" t="inlineStr">
        <is>
          <t>Type</t>
        </is>
      </c>
      <c r="F46" s="168" t="inlineStr">
        <is>
          <t>Roofs</t>
        </is>
      </c>
      <c r="G46" s="168" t="inlineStr">
        <is>
          <t>Roof paragraph container — NEW v4.3</t>
        </is>
      </c>
      <c r="H46" s="168" t="inlineStr">
        <is>
          <t>v4.3 new</t>
        </is>
      </c>
      <c r="I46" s="168" t="inlineStr">
        <is>
          <t>HIGH</t>
        </is>
      </c>
    </row>
    <row r="47" ht="13.5" customHeight="1" s="123">
      <c r="A47" s="169" t="inlineStr">
        <is>
          <t>STR_TAG_7_PARA_COL_TXT</t>
        </is>
      </c>
      <c r="B47" s="170" t="inlineStr">
        <is>
          <t>TEXT</t>
        </is>
      </c>
      <c r="C47" s="170" t="inlineStr">
        <is>
          <t>STR_TAG</t>
        </is>
      </c>
      <c r="D47" s="170" t="inlineStr">
        <is>
          <t>STRUCTURAL</t>
        </is>
      </c>
      <c r="E47" s="170" t="inlineStr">
        <is>
          <t>Type</t>
        </is>
      </c>
      <c r="F47" s="170" t="inlineStr">
        <is>
          <t>Structural Columns</t>
        </is>
      </c>
      <c r="G47" s="170" t="inlineStr">
        <is>
          <t>Column paragraph container</t>
        </is>
      </c>
      <c r="H47" s="170" t="inlineStr">
        <is>
          <t>v4.1 + v4.3 unified</t>
        </is>
      </c>
      <c r="I47" s="170" t="inlineStr">
        <is>
          <t>HIGH</t>
        </is>
      </c>
    </row>
    <row r="48" ht="13.5" customHeight="1" s="123">
      <c r="A48" s="167" t="inlineStr">
        <is>
          <t>STR_TAG_7_PARA_BEAM_TXT</t>
        </is>
      </c>
      <c r="B48" s="168" t="inlineStr">
        <is>
          <t>TEXT</t>
        </is>
      </c>
      <c r="C48" s="168" t="inlineStr">
        <is>
          <t>STR_TAG</t>
        </is>
      </c>
      <c r="D48" s="168" t="inlineStr">
        <is>
          <t>STRUCTURAL</t>
        </is>
      </c>
      <c r="E48" s="168" t="inlineStr">
        <is>
          <t>Type</t>
        </is>
      </c>
      <c r="F48" s="168" t="inlineStr">
        <is>
          <t>Structural Framing</t>
        </is>
      </c>
      <c r="G48" s="168" t="inlineStr">
        <is>
          <t>Beam/framing paragraph container</t>
        </is>
      </c>
      <c r="H48" s="168" t="inlineStr">
        <is>
          <t>v4.1 + v4.3 unified</t>
        </is>
      </c>
      <c r="I48" s="168" t="inlineStr">
        <is>
          <t>HIGH</t>
        </is>
      </c>
    </row>
    <row r="49" ht="13.5" customHeight="1" s="123">
      <c r="A49" s="169" t="inlineStr">
        <is>
          <t>HVC_TAG_7_PARA_SPEC_TXT</t>
        </is>
      </c>
      <c r="B49" s="170" t="inlineStr">
        <is>
          <t>TEXT</t>
        </is>
      </c>
      <c r="C49" s="170" t="inlineStr">
        <is>
          <t>HVC_TAG</t>
        </is>
      </c>
      <c r="D49" s="170" t="inlineStr">
        <is>
          <t>HVAC</t>
        </is>
      </c>
      <c r="E49" s="170" t="inlineStr">
        <is>
          <t>Type</t>
        </is>
      </c>
      <c r="F49" s="170" t="inlineStr">
        <is>
          <t>Mechanical Equipment</t>
        </is>
      </c>
      <c r="G49" s="170" t="inlineStr">
        <is>
          <t>HVAC equipment paragraph container</t>
        </is>
      </c>
      <c r="H49" s="170" t="inlineStr">
        <is>
          <t>v4.1 + v4.3 unified</t>
        </is>
      </c>
      <c r="I49" s="170" t="inlineStr">
        <is>
          <t>IMMEDIATE</t>
        </is>
      </c>
    </row>
    <row r="50" ht="13.5" customHeight="1" s="123">
      <c r="A50" s="167" t="inlineStr">
        <is>
          <t>HVC_TAG_7_PARA_DUCT_TXT</t>
        </is>
      </c>
      <c r="B50" s="168" t="inlineStr">
        <is>
          <t>TEXT</t>
        </is>
      </c>
      <c r="C50" s="168" t="inlineStr">
        <is>
          <t>HVC_TAG</t>
        </is>
      </c>
      <c r="D50" s="168" t="inlineStr">
        <is>
          <t>HVAC</t>
        </is>
      </c>
      <c r="E50" s="168" t="inlineStr">
        <is>
          <t>Type</t>
        </is>
      </c>
      <c r="F50" s="168" t="inlineStr">
        <is>
          <t>Ducts, Duct Fittings</t>
        </is>
      </c>
      <c r="G50" s="168" t="inlineStr">
        <is>
          <t>Duct paragraph container</t>
        </is>
      </c>
      <c r="H50" s="168" t="inlineStr">
        <is>
          <t>v4.1 + v4.3 unified</t>
        </is>
      </c>
      <c r="I50" s="168" t="inlineStr">
        <is>
          <t>IMMEDIATE</t>
        </is>
      </c>
    </row>
    <row r="51" ht="13.5" customHeight="1" s="123">
      <c r="A51" s="169" t="inlineStr">
        <is>
          <t>HVC_TAG_7_PARA_AT_TXT</t>
        </is>
      </c>
      <c r="B51" s="170" t="inlineStr">
        <is>
          <t>TEXT</t>
        </is>
      </c>
      <c r="C51" s="170" t="inlineStr">
        <is>
          <t>HVC_TAG</t>
        </is>
      </c>
      <c r="D51" s="170" t="inlineStr">
        <is>
          <t>HVAC</t>
        </is>
      </c>
      <c r="E51" s="170" t="inlineStr">
        <is>
          <t>Type</t>
        </is>
      </c>
      <c r="F51" s="170" t="inlineStr">
        <is>
          <t>Air Terminals</t>
        </is>
      </c>
      <c r="G51" s="170" t="inlineStr">
        <is>
          <t>Air terminal paragraph container</t>
        </is>
      </c>
      <c r="H51" s="170" t="inlineStr">
        <is>
          <t>v4.1 + v4.3 unified</t>
        </is>
      </c>
      <c r="I51" s="170" t="inlineStr">
        <is>
          <t>IMMEDIATE</t>
        </is>
      </c>
    </row>
    <row r="52" ht="13.5" customHeight="1" s="123">
      <c r="A52" s="167" t="inlineStr">
        <is>
          <t>ELC_TAG_7_PARA_PANEL_TXT</t>
        </is>
      </c>
      <c r="B52" s="168" t="inlineStr">
        <is>
          <t>TEXT</t>
        </is>
      </c>
      <c r="C52" s="168" t="inlineStr">
        <is>
          <t>ELC_TAG</t>
        </is>
      </c>
      <c r="D52" s="168" t="inlineStr">
        <is>
          <t>ELECTRICAL</t>
        </is>
      </c>
      <c r="E52" s="168" t="inlineStr">
        <is>
          <t>Type</t>
        </is>
      </c>
      <c r="F52" s="168" t="inlineStr">
        <is>
          <t>Electrical Equipment</t>
        </is>
      </c>
      <c r="G52" s="168" t="inlineStr">
        <is>
          <t>DB panel paragraph container</t>
        </is>
      </c>
      <c r="H52" s="168" t="inlineStr">
        <is>
          <t>v4.1 + v4.3 unified</t>
        </is>
      </c>
      <c r="I52" s="168" t="inlineStr">
        <is>
          <t>IMMEDIATE</t>
        </is>
      </c>
    </row>
    <row r="53" ht="13.5" customHeight="1" s="123">
      <c r="A53" s="169" t="inlineStr">
        <is>
          <t>LTG_TAG_7_PARA_SPEC_TXT</t>
        </is>
      </c>
      <c r="B53" s="170" t="inlineStr">
        <is>
          <t>TEXT</t>
        </is>
      </c>
      <c r="C53" s="170" t="inlineStr">
        <is>
          <t>LTG_TAG</t>
        </is>
      </c>
      <c r="D53" s="170" t="inlineStr">
        <is>
          <t>ELECTRICAL</t>
        </is>
      </c>
      <c r="E53" s="170" t="inlineStr">
        <is>
          <t>Type</t>
        </is>
      </c>
      <c r="F53" s="170" t="inlineStr">
        <is>
          <t>Lighting Fixtures</t>
        </is>
      </c>
      <c r="G53" s="170" t="inlineStr">
        <is>
          <t>Lighting fixture paragraph container</t>
        </is>
      </c>
      <c r="H53" s="170" t="inlineStr">
        <is>
          <t>v4.1 + v4.3 unified</t>
        </is>
      </c>
      <c r="I53" s="170" t="inlineStr">
        <is>
          <t>IMMEDIATE</t>
        </is>
      </c>
    </row>
    <row r="54" ht="13.5" customHeight="1" s="123">
      <c r="A54" s="167" t="inlineStr">
        <is>
          <t>ELC_TAG_7_PARA_CIRCUIT_TXT</t>
        </is>
      </c>
      <c r="B54" s="168" t="inlineStr">
        <is>
          <t>TEXT</t>
        </is>
      </c>
      <c r="C54" s="168" t="inlineStr">
        <is>
          <t>ELC_TAG</t>
        </is>
      </c>
      <c r="D54" s="168" t="inlineStr">
        <is>
          <t>ELECTRICAL</t>
        </is>
      </c>
      <c r="E54" s="168" t="inlineStr">
        <is>
          <t>Type</t>
        </is>
      </c>
      <c r="F54" s="168" t="inlineStr">
        <is>
          <t>Electrical Fixtures</t>
        </is>
      </c>
      <c r="G54" s="168" t="inlineStr">
        <is>
          <t>Circuit/point paragraph container</t>
        </is>
      </c>
      <c r="H54" s="168" t="inlineStr">
        <is>
          <t>v4.1 + v4.3 unified</t>
        </is>
      </c>
      <c r="I54" s="168" t="inlineStr">
        <is>
          <t>IMMEDIATE</t>
        </is>
      </c>
    </row>
    <row r="55" ht="13.5" customHeight="1" s="123">
      <c r="A55" s="169" t="inlineStr">
        <is>
          <t>PLM_TAG_7_PARA_PIPE_TXT</t>
        </is>
      </c>
      <c r="B55" s="170" t="inlineStr">
        <is>
          <t>TEXT</t>
        </is>
      </c>
      <c r="C55" s="170" t="inlineStr">
        <is>
          <t>PLM_TAG</t>
        </is>
      </c>
      <c r="D55" s="170" t="inlineStr">
        <is>
          <t>PLUMBING</t>
        </is>
      </c>
      <c r="E55" s="170" t="inlineStr">
        <is>
          <t>Type</t>
        </is>
      </c>
      <c r="F55" s="170" t="inlineStr">
        <is>
          <t>Pipes, Pipe Fittings</t>
        </is>
      </c>
      <c r="G55" s="170" t="inlineStr">
        <is>
          <t>Pipe paragraph container — NEW v4.3</t>
        </is>
      </c>
      <c r="H55" s="170" t="inlineStr">
        <is>
          <t>v4.3 new</t>
        </is>
      </c>
      <c r="I55" s="170" t="inlineStr">
        <is>
          <t>HIGH</t>
        </is>
      </c>
    </row>
    <row r="56" ht="13.5" customHeight="1" s="123">
      <c r="A56" s="167" t="inlineStr">
        <is>
          <t>FLS_TAG_7_PARA_FA_TXT</t>
        </is>
      </c>
      <c r="B56" s="168" t="inlineStr">
        <is>
          <t>TEXT</t>
        </is>
      </c>
      <c r="C56" s="168" t="inlineStr">
        <is>
          <t>FLS_TAG</t>
        </is>
      </c>
      <c r="D56" s="168" t="inlineStr">
        <is>
          <t>FIRE</t>
        </is>
      </c>
      <c r="E56" s="168" t="inlineStr">
        <is>
          <t>Type</t>
        </is>
      </c>
      <c r="F56" s="168" t="inlineStr">
        <is>
          <t>Fire Alarm Devices</t>
        </is>
      </c>
      <c r="G56" s="168" t="inlineStr">
        <is>
          <t>Fire alarm paragraph container — NEW v4.3</t>
        </is>
      </c>
      <c r="H56" s="168" t="inlineStr">
        <is>
          <t>v4.3 new</t>
        </is>
      </c>
      <c r="I56" s="168" t="inlineStr">
        <is>
          <t>HIGH</t>
        </is>
      </c>
    </row>
    <row r="57" ht="13.5" customHeight="1" s="123">
      <c r="A57" s="169" t="inlineStr">
        <is>
          <t>FLS_TAG_7_PARA_SPR_TXT</t>
        </is>
      </c>
      <c r="B57" s="170" t="inlineStr">
        <is>
          <t>TEXT</t>
        </is>
      </c>
      <c r="C57" s="170" t="inlineStr">
        <is>
          <t>FLS_TAG</t>
        </is>
      </c>
      <c r="D57" s="170" t="inlineStr">
        <is>
          <t>FIRE</t>
        </is>
      </c>
      <c r="E57" s="170" t="inlineStr">
        <is>
          <t>Type</t>
        </is>
      </c>
      <c r="F57" s="170" t="inlineStr">
        <is>
          <t>Sprinklers</t>
        </is>
      </c>
      <c r="G57" s="170" t="inlineStr">
        <is>
          <t>Sprinkler paragraph container — NEW v4.3</t>
        </is>
      </c>
      <c r="H57" s="170" t="inlineStr">
        <is>
          <t>v4.3 new</t>
        </is>
      </c>
      <c r="I57" s="170" t="inlineStr">
        <is>
          <t>HIGH</t>
        </is>
      </c>
    </row>
  </sheetData>
  <mergeCells count="4">
    <mergeCell ref="A1:I1"/>
    <mergeCell ref="A4:I4"/>
    <mergeCell ref="A27:I27"/>
    <mergeCell ref="A8:I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2" min="1" max="1"/>
    <col width="55" customWidth="1" style="122" min="2" max="2"/>
    <col width="12" customWidth="1" style="122" min="3" max="3"/>
    <col width="10" customWidth="1" style="122" min="4" max="5"/>
    <col width="45" customWidth="1" style="122" min="6" max="6"/>
  </cols>
  <sheetData>
    <row r="1" ht="15" customHeight="1" s="123">
      <c r="A1" s="133" t="inlineStr">
        <is>
          <t>VALIDATION CHECKLIST v4.2</t>
        </is>
      </c>
    </row>
    <row r="3" ht="23.25" customHeight="1" s="123">
      <c r="A3" s="134" t="inlineStr">
        <is>
          <t>Check</t>
        </is>
      </c>
      <c r="B3" s="134" t="inlineStr">
        <is>
          <t>Validation</t>
        </is>
      </c>
      <c r="C3" s="134" t="inlineStr">
        <is>
          <t>Severity</t>
        </is>
      </c>
      <c r="D3" s="134" t="inlineStr">
        <is>
          <t>Automated?</t>
        </is>
      </c>
      <c r="E3" s="134" t="inlineStr">
        <is>
          <t>Sheet ref</t>
        </is>
      </c>
      <c r="F3" s="134" t="inlineStr">
        <is>
          <t>Notes</t>
        </is>
      </c>
    </row>
    <row r="4" ht="15" customHeight="1" s="123">
      <c r="A4" s="149" t="inlineStr">
        <is>
          <t>V-01</t>
        </is>
      </c>
      <c r="B4" s="149" t="inlineStr">
        <is>
          <t>All v4.2 paragraph params exist in MR_PARAMETERS.csv</t>
        </is>
      </c>
      <c r="C4" s="149" t="inlineStr">
        <is>
          <t>CRITICAL</t>
        </is>
      </c>
      <c r="D4" s="149" t="inlineStr">
        <is>
          <t>Yes</t>
        </is>
      </c>
      <c r="E4" s="149" t="inlineStr">
        <is>
          <t>05</t>
        </is>
      </c>
      <c r="F4" s="149" t="inlineStr">
        <is>
          <t>18 new containers</t>
        </is>
      </c>
    </row>
    <row r="5" ht="15" customHeight="1" s="123">
      <c r="A5" s="149" t="inlineStr">
        <is>
          <t>V-02</t>
        </is>
      </c>
      <c r="B5" s="149" t="inlineStr">
        <is>
          <t>All v4.2 paragraph formula source params exist in MR_PARAMETERS</t>
        </is>
      </c>
      <c r="C5" s="149" t="inlineStr">
        <is>
          <t>CRITICAL</t>
        </is>
      </c>
      <c r="D5" s="149" t="inlineStr">
        <is>
          <t>Yes</t>
        </is>
      </c>
      <c r="E5" s="149" t="inlineStr">
        <is>
          <t>03</t>
        </is>
      </c>
      <c r="F5" s="149" t="inlineStr">
        <is>
          <t>Cross-ref calculated value formulas</t>
        </is>
      </c>
    </row>
    <row r="6" ht="15" customHeight="1" s="123">
      <c r="A6" s="149" t="inlineStr">
        <is>
          <t>V-03</t>
        </is>
      </c>
      <c r="B6" s="149" t="inlineStr">
        <is>
          <t>All v4.2 paragraph params have Data_Type = TEXT</t>
        </is>
      </c>
      <c r="C6" s="149" t="inlineStr">
        <is>
          <t>HIGH</t>
        </is>
      </c>
      <c r="D6" s="149" t="inlineStr">
        <is>
          <t>Yes</t>
        </is>
      </c>
      <c r="E6" s="149" t="inlineStr">
        <is>
          <t>05</t>
        </is>
      </c>
      <c r="F6" s="149" t="n"/>
    </row>
    <row r="7" ht="15" customHeight="1" s="123">
      <c r="A7" s="149" t="inlineStr">
        <is>
          <t>V-04</t>
        </is>
      </c>
      <c r="B7" s="149" t="inlineStr">
        <is>
          <t>3-state visibility booleans registered in MR_PARAMETERS</t>
        </is>
      </c>
      <c r="C7" s="149" t="inlineStr">
        <is>
          <t>CRITICAL</t>
        </is>
      </c>
      <c r="D7" s="149" t="inlineStr">
        <is>
          <t>Yes</t>
        </is>
      </c>
      <c r="E7" s="149" t="inlineStr">
        <is>
          <t>05</t>
        </is>
      </c>
      <c r="F7" s="149" t="inlineStr">
        <is>
          <t>TAG_PARA_STATE_1/2/3_BOOL</t>
        </is>
      </c>
    </row>
    <row r="8" ht="15" customHeight="1" s="123">
      <c r="A8" s="149" t="inlineStr">
        <is>
          <t>V-05</t>
        </is>
      </c>
      <c r="B8" s="149" t="inlineStr">
        <is>
          <t>Warning threshold params exist for all CRITICAL/HIGH severity checks</t>
        </is>
      </c>
      <c r="C8" s="149" t="inlineStr">
        <is>
          <t>HIGH</t>
        </is>
      </c>
      <c r="D8" s="149" t="inlineStr">
        <is>
          <t>Yes</t>
        </is>
      </c>
      <c r="E8" s="149" t="inlineStr">
        <is>
          <t>02</t>
        </is>
      </c>
      <c r="F8" s="149" t="inlineStr">
        <is>
          <t>34 threshold checks</t>
        </is>
      </c>
    </row>
    <row r="9" ht="15" customHeight="1" s="123">
      <c r="A9" s="149" t="inlineStr">
        <is>
          <t>V-06</t>
        </is>
      </c>
      <c r="B9" s="149" t="inlineStr">
        <is>
          <t>Warning formula patterns valid in Revit calculated value syntax</t>
        </is>
      </c>
      <c r="C9" s="149" t="inlineStr">
        <is>
          <t>HIGH</t>
        </is>
      </c>
      <c r="D9" s="149" t="inlineStr">
        <is>
          <t>Manual</t>
        </is>
      </c>
      <c r="E9" s="149" t="inlineStr">
        <is>
          <t>02</t>
        </is>
      </c>
      <c r="F9" s="149" t="inlineStr">
        <is>
          <t>Test in Revit 2025/2026/2027</t>
        </is>
      </c>
    </row>
    <row r="10" ht="15" customHeight="1" s="123">
      <c r="A10" s="149" t="inlineStr">
        <is>
          <t>V-07</t>
        </is>
      </c>
      <c r="B10" s="149" t="inlineStr">
        <is>
          <t>All 47 categories have at least one Tag 7 paragraph or shared reference</t>
        </is>
      </c>
      <c r="C10" s="149" t="inlineStr">
        <is>
          <t>HIGH</t>
        </is>
      </c>
      <c r="D10" s="149" t="inlineStr">
        <is>
          <t>Yes</t>
        </is>
      </c>
      <c r="E10" s="149" t="inlineStr">
        <is>
          <t>01</t>
        </is>
      </c>
      <c r="F10" s="149" t="inlineStr">
        <is>
          <t>47/47 target</t>
        </is>
      </c>
    </row>
    <row r="11" ht="21.75" customHeight="1" s="123">
      <c r="A11" s="149" t="inlineStr">
        <is>
          <t>V-08</t>
        </is>
      </c>
      <c r="B11" s="149" t="inlineStr">
        <is>
          <t>BOQ schedule calculated values produce valid natural-language descriptions</t>
        </is>
      </c>
      <c r="C11" s="149" t="inlineStr">
        <is>
          <t>HIGH</t>
        </is>
      </c>
      <c r="D11" s="149" t="inlineStr">
        <is>
          <t>Manual</t>
        </is>
      </c>
      <c r="E11" s="149" t="inlineStr">
        <is>
          <t>04</t>
        </is>
      </c>
      <c r="F11" s="149" t="inlineStr">
        <is>
          <t>Test with sample model export</t>
        </is>
      </c>
    </row>
    <row r="12" ht="15" customHeight="1" s="123">
      <c r="A12" s="149" t="inlineStr">
        <is>
          <t>V-09</t>
        </is>
      </c>
      <c r="B12" s="149" t="inlineStr">
        <is>
          <t>No duplicate GUID in MR_PARAMETERS after adding 24 new params</t>
        </is>
      </c>
      <c r="C12" s="149" t="inlineStr">
        <is>
          <t>CRITICAL</t>
        </is>
      </c>
      <c r="D12" s="149" t="inlineStr">
        <is>
          <t>Yes</t>
        </is>
      </c>
      <c r="E12" s="149" t="inlineStr">
        <is>
          <t>05</t>
        </is>
      </c>
      <c r="F12" s="149" t="inlineStr">
        <is>
          <t>VALIDAT_BIM_TEMPLATE check G-01</t>
        </is>
      </c>
    </row>
    <row r="13" ht="21.75" customHeight="1" s="123">
      <c r="A13" s="149" t="inlineStr">
        <is>
          <t>V-10</t>
        </is>
      </c>
      <c r="B13" s="149" t="inlineStr">
        <is>
          <t>CATEGORY_BINDINGS updated for all 18 new paragraph container params</t>
        </is>
      </c>
      <c r="C13" s="149" t="inlineStr">
        <is>
          <t>CRITICAL</t>
        </is>
      </c>
      <c r="D13" s="149" t="inlineStr">
        <is>
          <t>Yes</t>
        </is>
      </c>
      <c r="E13" s="149" t="inlineStr">
        <is>
          <t>01</t>
        </is>
      </c>
      <c r="F13" s="149" t="inlineStr">
        <is>
          <t>Each container bound to its category scope</t>
        </is>
      </c>
    </row>
    <row r="14" ht="21.75" customHeight="1" s="123">
      <c r="A14" s="149" t="inlineStr">
        <is>
          <t>V-11</t>
        </is>
      </c>
      <c r="B14" s="149" t="inlineStr">
        <is>
          <t>Warning severity filter respects TAG_WARN_SEVERITY_FILTER_TXT setting</t>
        </is>
      </c>
      <c r="C14" s="149" t="inlineStr">
        <is>
          <t>MEDIUM</t>
        </is>
      </c>
      <c r="D14" s="149" t="inlineStr">
        <is>
          <t>Manual</t>
        </is>
      </c>
      <c r="E14" s="149" t="inlineStr">
        <is>
          <t>02</t>
        </is>
      </c>
      <c r="F14" s="149" t="inlineStr">
        <is>
          <t>CRITICAL/HIGH/MEDIUM/ALL</t>
        </is>
      </c>
    </row>
    <row r="15" ht="15" customHeight="1" s="123">
      <c r="A15" s="149" t="inlineStr">
        <is>
          <t>V-12</t>
        </is>
      </c>
      <c r="B15" s="149" t="inlineStr">
        <is>
          <t>Backward compatibility: v4.1 projects load without errors</t>
        </is>
      </c>
      <c r="C15" s="149" t="inlineStr">
        <is>
          <t>CRITICAL</t>
        </is>
      </c>
      <c r="D15" s="149" t="inlineStr">
        <is>
          <t>Manual</t>
        </is>
      </c>
      <c r="E15" s="149" t="inlineStr">
        <is>
          <t>—</t>
        </is>
      </c>
      <c r="F15" s="149" t="inlineStr">
        <is>
          <t>STING Tools parameter sync adds defaults</t>
        </is>
      </c>
    </row>
    <row r="16" ht="15" customHeight="1" s="123">
      <c r="A16" s="149" t="inlineStr">
        <is>
          <t>V-13</t>
        </is>
      </c>
      <c r="B16" s="149" t="inlineStr">
        <is>
          <t>Tag performance benchmark: 1000 elements with warnings &lt; 3 sec regen</t>
        </is>
      </c>
      <c r="C16" s="149" t="inlineStr">
        <is>
          <t>HIGH</t>
        </is>
      </c>
      <c r="D16" s="149" t="inlineStr">
        <is>
          <t>Manual</t>
        </is>
      </c>
      <c r="E16" s="149" t="inlineStr">
        <is>
          <t>—</t>
        </is>
      </c>
      <c r="F16" s="149" t="inlineStr">
        <is>
          <t>Profile in Revit journal</t>
        </is>
      </c>
    </row>
    <row r="17" ht="15" customHeight="1" s="123">
      <c r="A17" s="149" t="inlineStr">
        <is>
          <t>V-14</t>
        </is>
      </c>
      <c r="B17" s="149" t="inlineStr">
        <is>
          <t>All BOQ schedules export cleanly to Excel with no formula errors</t>
        </is>
      </c>
      <c r="C17" s="149" t="inlineStr">
        <is>
          <t>HIGH</t>
        </is>
      </c>
      <c r="D17" s="149" t="inlineStr">
        <is>
          <t>Manual</t>
        </is>
      </c>
      <c r="E17" s="149" t="inlineStr">
        <is>
          <t>04</t>
        </is>
      </c>
      <c r="F17" s="149" t="inlineStr">
        <is>
          <t>Export + spot check</t>
        </is>
      </c>
    </row>
    <row r="18" ht="13.5" customHeight="1" s="123">
      <c r="A18" s="171" t="inlineStr">
        <is>
          <t>V-15</t>
        </is>
      </c>
      <c r="B18" s="172" t="inlineStr">
        <is>
          <t>Sheet 07 unified paragraph engine replaces 3-paragraph plan in all 47 categories</t>
        </is>
      </c>
      <c r="C18" s="173" t="inlineStr">
        <is>
          <t>HIGH</t>
        </is>
      </c>
      <c r="D18" s="172" t="inlineStr">
        <is>
          <t>Yes</t>
        </is>
      </c>
      <c r="E18" s="172" t="inlineStr">
        <is>
          <t>07</t>
        </is>
      </c>
      <c r="F18" s="172" t="inlineStr">
        <is>
          <t>v4.3 unified engine check</t>
        </is>
      </c>
    </row>
    <row r="19" ht="13.5" customHeight="1" s="123">
      <c r="A19" s="174" t="inlineStr">
        <is>
          <t>V-16</t>
        </is>
      </c>
      <c r="B19" s="175" t="inlineStr">
        <is>
          <t>All 36 Tag 7 param names in Sheet 07 registered in Sheet 05</t>
        </is>
      </c>
      <c r="C19" s="176" t="inlineStr">
        <is>
          <t>CRITICAL</t>
        </is>
      </c>
      <c r="D19" s="175" t="inlineStr">
        <is>
          <t>Yes</t>
        </is>
      </c>
      <c r="E19" s="175" t="inlineStr">
        <is>
          <t>05</t>
        </is>
      </c>
      <c r="F19" s="175" t="inlineStr">
        <is>
          <t>36 params incl 18 re-registered v4.1</t>
        </is>
      </c>
    </row>
    <row r="20" ht="13.5" customHeight="1" s="123">
      <c r="A20" s="171" t="inlineStr">
        <is>
          <t>V-17</t>
        </is>
      </c>
      <c r="B20" s="172" t="inlineStr">
        <is>
          <t>Sheet 04 and Sheet 08 schedule names fully aligned (no BOQ-HVAC- vs BOQ-HVC- mismatches)</t>
        </is>
      </c>
      <c r="C20" s="173" t="inlineStr">
        <is>
          <t>HIGH</t>
        </is>
      </c>
      <c r="D20" s="172" t="inlineStr">
        <is>
          <t>Yes</t>
        </is>
      </c>
      <c r="E20" s="172" t="inlineStr">
        <is>
          <t>04,08</t>
        </is>
      </c>
      <c r="F20" s="172" t="inlineStr">
        <is>
          <t>Standardised to BOQ-HVC- prefix</t>
        </is>
      </c>
    </row>
    <row r="21" ht="13.5" customHeight="1" s="123">
      <c r="A21" s="174" t="inlineStr">
        <is>
          <t>V-18</t>
        </is>
      </c>
      <c r="B21" s="175" t="inlineStr">
        <is>
          <t>Sheet 04 Col L (BOQ_DESC_FORMULA) provides paste-ready Revit formulas for all 28 automated elements</t>
        </is>
      </c>
      <c r="C21" s="177" t="inlineStr">
        <is>
          <t>HIGH</t>
        </is>
      </c>
      <c r="D21" s="175" t="inlineStr">
        <is>
          <t>Manual</t>
        </is>
      </c>
      <c r="E21" s="175" t="inlineStr">
        <is>
          <t>04</t>
        </is>
      </c>
      <c r="F21" s="175" t="inlineStr">
        <is>
          <t>Copy from Col L → Revit Edit Label</t>
        </is>
      </c>
    </row>
    <row r="22" ht="13.5" customHeight="1" s="123">
      <c r="A22" s="171" t="inlineStr">
        <is>
          <t>V-19</t>
        </is>
      </c>
      <c r="B22" s="172" t="inlineStr">
        <is>
          <t>All Sheet 08 item rows with Revit category have matching schedule in Sheet 04</t>
        </is>
      </c>
      <c r="C22" s="173" t="inlineStr">
        <is>
          <t>HIGH</t>
        </is>
      </c>
      <c r="D22" s="172" t="inlineStr">
        <is>
          <t>Yes</t>
        </is>
      </c>
      <c r="E22" s="172" t="inlineStr">
        <is>
          <t>04,08</t>
        </is>
      </c>
      <c r="F22" s="172" t="inlineStr">
        <is>
          <t>Cross-ref by schedule name</t>
        </is>
      </c>
    </row>
    <row r="23" ht="13.5" customHeight="1" s="123">
      <c r="A23" s="174" t="inlineStr">
        <is>
          <t>V-20</t>
        </is>
      </c>
      <c r="B23" s="175" t="inlineStr">
        <is>
          <t>Warning param formulas updated for ICT/Security/Specialty/NurseCall categories</t>
        </is>
      </c>
      <c r="C23" s="175" t="inlineStr">
        <is>
          <t>MEDIUM</t>
        </is>
      </c>
      <c r="D23" s="175" t="inlineStr">
        <is>
          <t>Manual</t>
        </is>
      </c>
      <c r="E23" s="175" t="inlineStr">
        <is>
          <t>07</t>
        </is>
      </c>
      <c r="F23" s="175" t="inlineStr">
        <is>
          <t>Previously had NO WARNING entries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N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22" min="1" max="1"/>
    <col width="10" customWidth="1" style="122" min="2" max="2"/>
    <col width="16" customWidth="1" style="122" min="3" max="3"/>
    <col width="10" customWidth="1" style="122" min="4" max="4"/>
    <col width="38" customWidth="1" style="122" min="5" max="7"/>
    <col width="24" customWidth="1" style="122" min="8" max="10"/>
    <col width="22" customWidth="1" style="122" min="11" max="12"/>
    <col width="32" customWidth="1" style="122" min="13" max="13"/>
    <col width="16" customWidth="1" style="122" min="14" max="14"/>
  </cols>
  <sheetData>
    <row r="1" ht="24" customHeight="1" s="123">
      <c r="A1" s="178" t="inlineStr">
        <is>
          <t>TAG 7 PARAGRAPH ENGINE — UNIFIED REFERENCE v4.3  |  Supersedes 3-paragraph plan  |  All categories  |  Source: advisory_v1_0.docx + v4.2 tag guide</t>
        </is>
      </c>
      <c r="B1" s="179" t="n"/>
      <c r="C1" s="179" t="n"/>
      <c r="D1" s="179" t="n"/>
      <c r="E1" s="179" t="n"/>
      <c r="F1" s="179" t="n"/>
      <c r="G1" s="179" t="n"/>
      <c r="H1" s="179" t="n"/>
      <c r="I1" s="179" t="n"/>
      <c r="J1" s="179" t="n"/>
      <c r="K1" s="179" t="n"/>
      <c r="L1" s="179" t="n"/>
      <c r="M1" s="179" t="n"/>
      <c r="N1" s="180" t="n"/>
    </row>
    <row r="2" ht="36" customHeight="1" s="123">
      <c r="A2" s="181" t="inlineStr">
        <is>
          <t>ARCHITECTURE: Tag 7 is the single paragraph container tier. The old "3-paragraph plan" (separate para per category type) is SUPERSEDED. v4.3 uses one unified paragraph tag per category class, with 3 additive DEPTH STATES gated by YES/NO params:
TAG_PARA_STATE_1_BOOL=compact (State 1 only) | TAG_PARA_STATE_2_BOOL=standard (States 1+2) | TAG_PARA_STATE_3_BOOL=comprehensive (States 1+2+3)
Each state adds a calculated-value label. Empty params collapse via if(PARAM&lt;&gt;"", PARAM, ""). Warning flags auto-append via if(PARAM &gt; MAX, " [!WARNING]", "").</t>
        </is>
      </c>
      <c r="B2" s="182" t="n"/>
      <c r="C2" s="182" t="n"/>
      <c r="D2" s="182" t="n"/>
      <c r="E2" s="182" t="n"/>
      <c r="F2" s="182" t="n"/>
      <c r="G2" s="182" t="n"/>
      <c r="H2" s="182" t="n"/>
      <c r="I2" s="182" t="n"/>
      <c r="J2" s="182" t="n"/>
      <c r="K2" s="182" t="n"/>
      <c r="L2" s="182" t="n"/>
      <c r="M2" s="182" t="n"/>
      <c r="N2" s="183" t="n"/>
    </row>
    <row r="3" ht="42" customHeight="1" s="123">
      <c r="A3" s="184" t="inlineStr">
        <is>
          <t>Category</t>
        </is>
      </c>
      <c r="B3" s="184" t="inlineStr">
        <is>
          <t>Disc.</t>
        </is>
      </c>
      <c r="C3" s="184" t="inlineStr">
        <is>
          <t>Tag 7 Param Name</t>
        </is>
      </c>
      <c r="D3" s="184" t="inlineStr">
        <is>
          <t>Tag Family</t>
        </is>
      </c>
      <c r="E3" s="184" t="inlineStr">
        <is>
          <t>STATE 1 — Compact formula (all states show this)</t>
        </is>
      </c>
      <c r="F3" s="184" t="inlineStr">
        <is>
          <t>STATE 2 — Standard formula (states 2+3 show this)</t>
        </is>
      </c>
      <c r="G3" s="184" t="inlineStr">
        <is>
          <t>STATE 3 — Comprehensive formula (state 3 only)</t>
        </is>
      </c>
      <c r="H3" s="184" t="inlineStr">
        <is>
          <t>S1 param pool</t>
        </is>
      </c>
      <c r="I3" s="184" t="inlineStr">
        <is>
          <t>S2 param pool</t>
        </is>
      </c>
      <c r="J3" s="184" t="inlineStr">
        <is>
          <t>S3 param pool</t>
        </is>
      </c>
      <c r="K3" s="184" t="inlineStr">
        <is>
          <t>Warning params + formula</t>
        </is>
      </c>
      <c r="L3" s="184" t="inlineStr">
        <is>
          <t>BOQ map ref</t>
        </is>
      </c>
      <c r="M3" s="184" t="inlineStr">
        <is>
          <t>Revit schedule name</t>
        </is>
      </c>
      <c r="N3" s="184" t="inlineStr">
        <is>
          <t>Priority</t>
        </is>
      </c>
    </row>
    <row r="4" ht="18" customHeight="1" s="123">
      <c r="A4" s="185" t="inlineStr">
        <is>
          <t>TIER 1/2 — UNIVERSAL CATEGORIES  |  Covered v4.1, paragraph engine adds S2 and S3 depth</t>
        </is>
      </c>
      <c r="B4" s="179" t="n"/>
      <c r="C4" s="179" t="n"/>
      <c r="D4" s="179" t="n"/>
      <c r="E4" s="179" t="n"/>
      <c r="F4" s="179" t="n"/>
      <c r="G4" s="179" t="n"/>
      <c r="H4" s="179" t="n"/>
      <c r="I4" s="179" t="n"/>
      <c r="J4" s="179" t="n"/>
      <c r="K4" s="179" t="n"/>
      <c r="L4" s="179" t="n"/>
      <c r="M4" s="179" t="n"/>
      <c r="N4" s="180" t="n"/>
    </row>
    <row r="5" ht="79.5" customHeight="1" s="123">
      <c r="A5" s="186" t="inlineStr">
        <is>
          <t>Walls</t>
        </is>
      </c>
      <c r="B5" s="186" t="inlineStr">
        <is>
          <t>ARCH</t>
        </is>
      </c>
      <c r="C5" s="187" t="inlineStr">
        <is>
          <t>ARCH_TAG_7_PARA_WALL_TXT</t>
        </is>
      </c>
      <c r="D5" s="156" t="inlineStr">
        <is>
          <t>ARCH_Wall_Para.rfa</t>
        </is>
      </c>
      <c r="E5" s="188" t="inlineStr">
        <is>
          <t>if(BLE_WALL_FUNCTION_TXT&lt;&gt;"",BLE_WALL_FUNCTION_TXT,"This") + " wall is " + if(BLE_WALL_THICKNESS_MM&lt;&gt;"",BLE_WALL_THICKNESS_MM+"mm thick","of unspecified thickness") + ", constructed by " + if(BLE_WALL_CST_METHOD_TXT&lt;&gt;"",BLE_WALL_CST_METHOD_TXT,"unspecified method") + ". Primary material: " + if(BLE_WALL_PRIMARY_WALL_MAT_TXT&lt;&gt;"",BLE_WALL_PRIMARY_WALL_MAT_TXT,"TBC") + ". Type: " + if(BLE_WALL_TYPE_CLASSIFICATION_TXT&lt;&gt;"",BLE_WALL_TYPE_CLASSIFICATION_TXT,"unclassified") + "."</t>
        </is>
      </c>
      <c r="F5" s="188" t="inlineStr">
        <is>
          <t>"Thermal: U=" + if(PER_THERM_U_VALUE_W_M2K_NR&lt;&gt;"",PER_THERM_U_VALUE_W_M2K_NR+"W/m²K","TBC") + ", R=" + if(PER_THERM_R_VALUE_M2K_W&lt;&gt;"",PER_THERM_R_VALUE_M2K_W+"m²K/W","TBC") + ". Condensation: " + if(PER_THERM_CONDENSATION_RISK_TXT&lt;&gt;"",PER_THERM_CONDENSATION_RISK_TXT,"not assessed") + ". STC: " + if(BLE_WALL_SOUND_TRANSMISSION_CLASS_RATING_NR&lt;&gt;"",BLE_WALL_SOUND_TRANSMISSION_CLASS_RATING_NR,"TBC") + ". FRR: " + if(FLS_PROT_FLS_RESISTANCE_RATING_MINUTES_MIN&lt;&gt;"",FLS_PROT_FLS_RESISTANCE_RATING_MINUTES_MIN+"min","N/A") + "."</t>
        </is>
      </c>
      <c r="G5" s="188" t="inlineStr">
        <is>
          <t>"Recycled: " + if(PER_SUST_RECYCLED_CONTENT_PCT&lt;&gt;"",PER_SUST_RECYCLED_CONTENT_PCT+"%","N/A") + ". Carbon: " + if(PER_SUST_CARBON_FOOTPRINT_KG&lt;&gt;"",PER_SUST_CARBON_FOOTPRINT_KG+"kgCO2e","N/A") + ". Density: " + if(PROP_DENSITY_KG_M3&lt;&gt;"",PROP_DENSITY_KG_M3+"kg/m³","N/A") + ". Finish int: " + if(BLE_WALL_INTERIOR_FINISH_TXT&lt;&gt;"",BLE_WALL_INTERIOR_FINISH_TXT,"TBC") + ", ext: " + if(BLE_WALL_EXTERIOR_FINISH_TXT&lt;&gt;"",BLE_WALL_EXTERIOR_FINISH_TXT,"TBC") + ". Moisture barrier: " + if(BLE_WALL_MOISTURE_BARRIER_INCLUDED_TXT&lt;&gt;"",BLE_WALL_MOISTURE_BARRIER_INCLUDED_TXT,"TBC") + ". Standard: " + if(RGL_STD_TXT&lt;&gt;"",RGL_STD_TXT,"N/A") + "."</t>
        </is>
      </c>
      <c r="H5" s="156" t="inlineStr">
        <is>
          <t>BLE_WALL_FUNCTION_TXT, BLE_WALL_THICKNESS_MM, BLE_WALL_CST_METHOD_TXT, BLE_WALL_PRIMARY_WALL_MAT_TXT, BLE_WALL_TYPE_CLASSIFICATION_TXT</t>
        </is>
      </c>
      <c r="I5" s="156" t="inlineStr">
        <is>
          <t>PER_THERM_U_VALUE_W_M2K_NR, PER_THERM_R_VALUE_M2K_W, PER_THERM_CONDENSATION_RISK_TXT, BLE_WALL_SOUND_TRANSMISSION_CLASS_RATING_NR, FLS_PROT_FLS_RESISTANCE_RATING_MINUTES_MIN</t>
        </is>
      </c>
      <c r="J5" s="156" t="inlineStr">
        <is>
          <t>PER_SUST_RECYCLED_CONTENT_PCT, PER_SUST_CARBON_FOOTPRINT_KG, PROP_DENSITY_KG_M3, BLE_WALL_INTERIOR_FINISH_TXT, BLE_WALL_EXTERIOR_FINISH_TXT, BLE_WALL_MOISTURE_BARRIER_INCLUDED_TXT, RGL_STD_TXT</t>
        </is>
      </c>
      <c r="K5" s="189" t="inlineStr">
        <is>
          <t>PER_THERM_U_VALUE_W_M2K_NR &gt; 0.70 → [!U &gt; 0.70]
FLS_PROT...&lt; 30 → [!FRR &lt; 30]</t>
        </is>
      </c>
      <c r="L5" s="190" t="inlineStr">
        <is>
          <t>BOQ-ARCH-Walling (sh.08)
Bill No.3: [THK]mm [TYPE] wall</t>
        </is>
      </c>
      <c r="M5" s="156" t="inlineStr">
        <is>
          <t>BOQ-ARCH-Walling</t>
        </is>
      </c>
      <c r="N5" s="186" t="inlineStr">
        <is>
          <t>IMMEDIATE</t>
        </is>
      </c>
    </row>
    <row r="6" ht="79.5" customHeight="1" s="123">
      <c r="A6" s="191" t="inlineStr">
        <is>
          <t>Floors</t>
        </is>
      </c>
      <c r="B6" s="191" t="inlineStr">
        <is>
          <t>ARCH</t>
        </is>
      </c>
      <c r="C6" s="192" t="inlineStr">
        <is>
          <t>ARCH_TAG_7_PARA_FLOOR_TXT</t>
        </is>
      </c>
      <c r="D6" s="158" t="inlineStr">
        <is>
          <t>ARCH_Floor_Para.rfa</t>
        </is>
      </c>
      <c r="E6" s="193" t="inlineStr">
        <is>
          <t>if(BLE_FLR_TYPE_TXT&lt;&gt;"",BLE_FLR_TYPE_TXT,"Floor") + ": " + if(BLE_FLR_FINISH_TXT&lt;&gt;"",BLE_FLR_FINISH_TXT,"finish TBC") + ", " + if(BLE_FLR_THICKNESS_MM&lt;&gt;"",BLE_FLR_THICKNESS_MM+"mm thick","thickness TBC") + ". Subfloor: " + if(BLE_FLR_SUBFLOOR_TXT&lt;&gt;"",BLE_FLR_SUBFLOOR_TXT,"TBC") + "."</t>
        </is>
      </c>
      <c r="F6" s="193" t="inlineStr">
        <is>
          <t>"Thermal: U=" + if(PER_THERM_U_VALUE_W_M2K_NR&lt;&gt;"",PER_THERM_U_VALUE_W_M2K_NR+"W/m²K","TBC") + ". DPM: " + if(BLE_FLR_MOISTURE_BARRIER_TXT&lt;&gt;"",BLE_FLR_MOISTURE_BARRIER_TXT,"TBC") + ". Structural rating: " + if(BLE_FLR_STRUCTURAL_RATING_TXT&lt;&gt;"",BLE_FLR_STRUCTURAL_RATING_TXT,"TBC") + "."</t>
        </is>
      </c>
      <c r="G6" s="193" t="inlineStr">
        <is>
          <t>"Procurement: " + if(CST_S_SUPPLIER_TXT&lt;&gt;"",CST_S_SUPPLIER_TXT,"TBC") + ". Unit rate: " + if(CST_S_UNIT_RATE_UGX_NR&lt;&gt;"",CST_S_UNIT_RATE_UGX_NR+" UGX/m²","TBC") + ". EPD: " + if(MAT_EPD_REF_TXT&lt;&gt;"",MAT_EPD_REF_TXT,"N/A") + ". RGL: " + if(RGL_STD_TXT&lt;&gt;"",RGL_STD_TXT,"N/A") + "."</t>
        </is>
      </c>
      <c r="H6" s="158" t="inlineStr">
        <is>
          <t>BLE_FLR_TYPE_TXT, BLE_FLR_FINISH_TXT, BLE_FLR_THICKNESS_MM, BLE_FLR_SUBFLOOR_TXT</t>
        </is>
      </c>
      <c r="I6" s="158" t="inlineStr">
        <is>
          <t>PER_THERM_U_VALUE_W_M2K_NR, BLE_FLR_MOISTURE_BARRIER_TXT, BLE_FLR_STRUCTURAL_RATING_TXT</t>
        </is>
      </c>
      <c r="J6" s="158" t="inlineStr">
        <is>
          <t>CST_S_SUPPLIER_TXT, CST_S_UNIT_RATE_UGX_NR, MAT_EPD_REF_TXT, RGL_STD_TXT</t>
        </is>
      </c>
      <c r="K6" s="194" t="inlineStr">
        <is>
          <t>PER_THERM_U_VALUE_W_M2K_NR &gt; 0.70 → [!U &gt; 0.70]</t>
        </is>
      </c>
      <c r="L6" s="195" t="inlineStr">
        <is>
          <t>BOQ-ARCH-FloorFinish (sh.08)
Bill No.3: [THK]mm [FINISH] floor</t>
        </is>
      </c>
      <c r="M6" s="158" t="inlineStr">
        <is>
          <t>BOQ-ARCH-FloorFinish</t>
        </is>
      </c>
      <c r="N6" s="191" t="inlineStr">
        <is>
          <t>IMMEDIATE</t>
        </is>
      </c>
    </row>
    <row r="7" ht="79.5" customHeight="1" s="123">
      <c r="A7" s="186" t="inlineStr">
        <is>
          <t>Ceilings</t>
        </is>
      </c>
      <c r="B7" s="186" t="inlineStr">
        <is>
          <t>ARCH</t>
        </is>
      </c>
      <c r="C7" s="187" t="inlineStr">
        <is>
          <t>ARCH_TAG_7_PARA_CEIL_TXT</t>
        </is>
      </c>
      <c r="D7" s="156" t="inlineStr">
        <is>
          <t>ARCH_Ceil_Para.rfa</t>
        </is>
      </c>
      <c r="E7" s="188" t="inlineStr">
        <is>
          <t>if(ASS_DESCRIPTION_TXT&lt;&gt;"",ASS_DESCRIPTION_TXT,"Ceiling type TBC") + ". Suspension: " + if(BLE_CEIL_SUSPENSION_TXT&lt;&gt;"",BLE_CEIL_SUSPENSION_TXT,"TBC") + ". Grid: " + if(BLE_CEIL_GRID_MM&lt;&gt;"",BLE_CEIL_GRID_MM+"mm","TBC") + "."</t>
        </is>
      </c>
      <c r="F7" s="188" t="inlineStr">
        <is>
          <t>"Acoustic: NRC=" + if(PER_ACOUSTICS_NRC_NR&lt;&gt;"",PER_ACOUSTICS_NRC_NR,"TBC") + ", background noise=" + if(PER_ACOUSTICS_BACKGROUND_NOISE_DB&lt;&gt;"",PER_ACOUSTICS_BACKGROUND_NOISE_DB+"dB","TBC") + ". Thermal: U=" + if(PER_THERM_U_VALUE_W_M2K_NR&lt;&gt;"",PER_THERM_U_VALUE_W_M2K_NR+"W/m²K","TBC") + "."</t>
        </is>
      </c>
      <c r="G7" s="188" t="inlineStr">
        <is>
          <t>"Supplier: " + if(CST_S_SUPPLIER_TXT&lt;&gt;"",CST_S_SUPPLIER_TXT,"TBC") + ". FRR: " + if(FLS_PROT_FLS_RESISTANCE_RATING_MINUTES_MIN&lt;&gt;"",FLS_PROT_FLS_RESISTANCE_RATING_MINUTES_MIN+"min","N/A") + ". EPD: " + if(MAT_EPD_REF_TXT&lt;&gt;"",MAT_EPD_REF_TXT,"N/A") + "."</t>
        </is>
      </c>
      <c r="H7" s="156" t="inlineStr">
        <is>
          <t>ASS_DESCRIPTION_TXT, BLE_CEIL_SUSPENSION_TXT, BLE_CEIL_GRID_MM</t>
        </is>
      </c>
      <c r="I7" s="156" t="inlineStr">
        <is>
          <t>PER_ACOUSTICS_NRC_NR, PER_ACOUSTICS_BACKGROUND_NOISE_DB, PER_THERM_U_VALUE_W_M2K_NR</t>
        </is>
      </c>
      <c r="J7" s="156" t="inlineStr">
        <is>
          <t>CST_S_SUPPLIER_TXT, FLS_PROT_FLS_RESISTANCE_RATING_MINUTES_MIN, MAT_EPD_REF_TXT</t>
        </is>
      </c>
      <c r="K7" s="189" t="inlineStr">
        <is>
          <t>PER_ACOUSTICS_BACKGROUND_NOISE_DB &gt; 40 → [!NOISE &gt; 40dB]
[NEW v4.3 container]</t>
        </is>
      </c>
      <c r="L7" s="190" t="inlineStr">
        <is>
          <t>BOQ-ARCH-Ceilings (sh.08)
Bill No.3: [TYPE] ceiling</t>
        </is>
      </c>
      <c r="M7" s="156" t="inlineStr">
        <is>
          <t>BOQ-ARCH-Ceilings</t>
        </is>
      </c>
      <c r="N7" s="186" t="inlineStr">
        <is>
          <t>HIGH</t>
        </is>
      </c>
    </row>
    <row r="8" ht="79.5" customHeight="1" s="123">
      <c r="A8" s="191" t="inlineStr">
        <is>
          <t>Roofs</t>
        </is>
      </c>
      <c r="B8" s="191" t="inlineStr">
        <is>
          <t>ARCH</t>
        </is>
      </c>
      <c r="C8" s="192" t="inlineStr">
        <is>
          <t>ARCH_TAG_7_PARA_ROOF_TXT</t>
        </is>
      </c>
      <c r="D8" s="158" t="inlineStr">
        <is>
          <t>ARCH_Roof_Para.rfa</t>
        </is>
      </c>
      <c r="E8" s="193" t="inlineStr">
        <is>
          <t>if(ASS_DESCRIPTION_TXT&lt;&gt;"",ASS_DESCRIPTION_TXT,"Roof type TBC") + ". Pitch: " + if(BLE_ROOF_PITCH_DEG&lt;&gt;"",BLE_ROOF_PITCH_DEG+"°","TBC") + ". Primary material: " + if(BLE_ROOF_PRIMARY_MAT_TXT&lt;&gt;"",BLE_ROOF_PRIMARY_MAT_TXT,"TBC") + "."</t>
        </is>
      </c>
      <c r="F8" s="193" t="inlineStr">
        <is>
          <t>"Thermal: U=" + if(PER_THERM_U_VALUE_W_M2K_NR&lt;&gt;"",PER_THERM_U_VALUE_W_M2K_NR+"W/m²K","TBC") + ". Insulation: " + if(BLE_ROOF_INSULATION_TXT&lt;&gt;"",BLE_ROOF_INSULATION_TXT,"TBC") + ". Waterproofing: " + if(BLE_ROOF_WATERPROOFING_TXT&lt;&gt;"",BLE_ROOF_WATERPROOFING_TXT,"TBC") + "."</t>
        </is>
      </c>
      <c r="G8" s="193" t="inlineStr">
        <is>
          <t>"Carbon: " + if(PER_SUST_CARBON_FOOTPRINT_KG&lt;&gt;"",PER_SUST_CARBON_FOOTPRINT_KG+"kgCO2e","N/A") + ". Standard: " + if(RGL_STD_TXT&lt;&gt;"",RGL_STD_TXT,"N/A") + ". Supplier: " + if(CST_S_SUPPLIER_TXT&lt;&gt;"",CST_S_SUPPLIER_TXT,"TBC") + "."</t>
        </is>
      </c>
      <c r="H8" s="158" t="inlineStr">
        <is>
          <t>ASS_DESCRIPTION_TXT, BLE_ROOF_PITCH_DEG, BLE_ROOF_PRIMARY_MAT_TXT</t>
        </is>
      </c>
      <c r="I8" s="158" t="inlineStr">
        <is>
          <t>PER_THERM_U_VALUE_W_M2K_NR, BLE_ROOF_INSULATION_TXT, BLE_ROOF_WATERPROOFING_TXT</t>
        </is>
      </c>
      <c r="J8" s="158" t="inlineStr">
        <is>
          <t>PER_SUST_CARBON_FOOTPRINT_KG, RGL_STD_TXT, CST_S_SUPPLIER_TXT</t>
        </is>
      </c>
      <c r="K8" s="194" t="inlineStr">
        <is>
          <t>PER_THERM_U_VALUE_W_M2K_NR &gt; 0.50 → [!U &gt; 0.50]
[NEW v4.3 container]</t>
        </is>
      </c>
      <c r="L8" s="195" t="inlineStr">
        <is>
          <t>BOQ-ARCH-Roofing (sh.08)
Bill No.3: [TYPE] roofing</t>
        </is>
      </c>
      <c r="M8" s="158" t="inlineStr">
        <is>
          <t>BOQ-ARCH-Roofing</t>
        </is>
      </c>
      <c r="N8" s="191" t="inlineStr">
        <is>
          <t>HIGH</t>
        </is>
      </c>
    </row>
    <row r="9" ht="79.5" customHeight="1" s="123">
      <c r="A9" s="186" t="inlineStr">
        <is>
          <t>Doors</t>
        </is>
      </c>
      <c r="B9" s="186" t="inlineStr">
        <is>
          <t>ARCH</t>
        </is>
      </c>
      <c r="C9" s="187" t="inlineStr">
        <is>
          <t>ARCH_TAG_7_PARA_DOOR_TXT</t>
        </is>
      </c>
      <c r="D9" s="156" t="inlineStr">
        <is>
          <t>ARCH_Door_Para.rfa</t>
        </is>
      </c>
      <c r="E9" s="188" t="inlineStr">
        <is>
          <t>if(BLE_DOOR_WIDTH_MM&lt;&gt;"",BLE_DOOR_WIDTH_MM,"?") + "x" + if(BLE_DOOR_HEIGHT_MM&lt;&gt;"",BLE_DOOR_HEIGHT_MM,"?") + "mm " + if(BLE_DOOR_OPERATION_TYPE_TXT&lt;&gt;"",BLE_DOOR_OPERATION_TYPE_TXT,"") + " door, " + if(BLE_DOOR_MATERIAL_FINISH_TXT&lt;&gt;"",BLE_DOOR_MATERIAL_FINISH_TXT,"material TBC") + " frame and leaf."</t>
        </is>
      </c>
      <c r="F9" s="188" t="inlineStr">
        <is>
          <t>"Hardware: " + if(BLE_DOOR_HARDWARE_SPECIFICATION_TXT&lt;&gt;"",BLE_DOOR_HARDWARE_SPECIFICATION_TXT,"TBC") + ". FRR: " + if(FLS_PROT_FLS_RESISTANCE_RATING_MINUTES_MIN&lt;&gt;"",FLS_PROT_FLS_RESISTANCE_RATING_MINUTES_MIN+"min","N/A") + ". Security grade: " + if(BLE_DOOR_SECURITY_GRADE_TXT&lt;&gt;"",BLE_DOOR_SECURITY_GRADE_TXT,"N/A") + ". Glazing: " + if(BLE_DOOR_GLAZING_PCT&lt;&gt;"",BLE_DOOR_GLAZING_PCT+"%","N/A") + "."</t>
        </is>
      </c>
      <c r="G9" s="188" t="inlineStr">
        <is>
          <t>"Accessibility: " + if(RGL_ACCESS_CLEAR_WIDTH_MM&lt;&gt;"",RGL_ACCESS_CLEAR_WIDTH_MM+"mm clear","N/A") + ". Braille sign: " + if(RGL_ACCESS_BRAILLE_SIGN_BOOL&lt;&gt;"",RGL_ACCESS_BRAILLE_SIGN_BOOL,"N/A") + ". Unit cost: " + if(CST_S_UNIT_RATE_UGX_NR&lt;&gt;"",CST_S_UNIT_RATE_UGX_NR+" UGX","TBC") + ". Lead time: " + if(CST_S_LEAD_TIME_WEEKS_NR&lt;&gt;"",CST_S_LEAD_TIME_WEEKS_NR+"wks","TBC") + "."</t>
        </is>
      </c>
      <c r="H9" s="156" t="inlineStr">
        <is>
          <t>BLE_DOOR_WIDTH_MM, BLE_DOOR_HEIGHT_MM, BLE_DOOR_OPERATION_TYPE_TXT, BLE_DOOR_MATERIAL_FINISH_TXT</t>
        </is>
      </c>
      <c r="I9" s="156" t="inlineStr">
        <is>
          <t>BLE_DOOR_HARDWARE_SPECIFICATION_TXT, FLS_PROT_FLS_RESISTANCE_RATING_MINUTES_MIN, BLE_DOOR_SECURITY_GRADE_TXT, BLE_DOOR_GLAZING_PCT</t>
        </is>
      </c>
      <c r="J9" s="156" t="inlineStr">
        <is>
          <t>RGL_ACCESS_CLEAR_WIDTH_MM, RGL_ACCESS_BRAILLE_SIGN_BOOL, CST_S_UNIT_RATE_UGX_NR, CST_S_LEAD_TIME_WEEKS_NR</t>
        </is>
      </c>
      <c r="K9" s="189" t="inlineStr">
        <is>
          <t>BLE_DOOR_WIDTH_MM &lt; 900 → [!DOOR &lt; 900mm]
FLS_PROT...&lt; 30 → [!FRR &lt; 30]</t>
        </is>
      </c>
      <c r="L9" s="190" t="inlineStr">
        <is>
          <t>BOQ-ARCH-Doors (sh.08)
Bill No.3: [W]x[H]mm [OP] door</t>
        </is>
      </c>
      <c r="M9" s="156" t="inlineStr">
        <is>
          <t>BOQ-ARCH-Doors</t>
        </is>
      </c>
      <c r="N9" s="186" t="inlineStr">
        <is>
          <t>IMMEDIATE</t>
        </is>
      </c>
    </row>
    <row r="10" ht="79.5" customHeight="1" s="123">
      <c r="A10" s="191" t="inlineStr">
        <is>
          <t>Windows</t>
        </is>
      </c>
      <c r="B10" s="191" t="inlineStr">
        <is>
          <t>ARCH</t>
        </is>
      </c>
      <c r="C10" s="192" t="inlineStr">
        <is>
          <t>ARCH_TAG_7_PARA_WIN_TXT</t>
        </is>
      </c>
      <c r="D10" s="158" t="inlineStr">
        <is>
          <t>ARCH_Win_Para.rfa</t>
        </is>
      </c>
      <c r="E10" s="193" t="inlineStr">
        <is>
          <t>if(BLE_WINDOW_WIDTH_MM&lt;&gt;"",BLE_WINDOW_WIDTH_MM,"?") + "x" + if(BLE_WINDOW_HEIGHT_MM&lt;&gt;"",BLE_WINDOW_HEIGHT_MM,"?") + "mm " + if(BLE_WINDOW_OPERATION_TYPE_TXT&lt;&gt;"",BLE_WINDOW_OPERATION_TYPE_TXT,"") + " window. Frame: " + if(BLE_WINDOW_FRAME_MAT_TXT&lt;&gt;"",BLE_WINDOW_FRAME_MAT_TXT,"TBC") + ". Glazing: " + if(BLE_WINDOW_GLAZING_TYPE_TXT&lt;&gt;"",BLE_WINDOW_GLAZING_TYPE_TXT,"TBC") + "."</t>
        </is>
      </c>
      <c r="F10" s="193" t="inlineStr">
        <is>
          <t>"Thermal: U=" + if(PER_THERM_U_VALUE_W_M2K_NR&lt;&gt;"",PER_THERM_U_VALUE_W_M2K_NR+"W/m²K","TBC") + ". SHGC=" + if(BLE_WINDOW_SOLAR_HEAT_GAIN_COEFFICIENT_NR&lt;&gt;"",BLE_WINDOW_SOLAR_HEAT_GAIN_COEFFICIENT_NR,"TBC") + ". VLT=" + if(BLE_WINDOW_VLT_PCT&lt;&gt;"",BLE_WINDOW_VLT_PCT+"%","TBC") + ". Mosquito screen: " + if(BLE_WINDOW_MOSQUITO_SCREEN_BOOL&lt;&gt;"",BLE_WINDOW_MOSQUITO_SCREEN_BOOL,"N/A") + ". Burglar bars: " + if(BLE_WINDOW_BURGLAR_BARS_BOOL&lt;&gt;"",BLE_WINDOW_BURGLAR_BARS_BOOL,"N/A") + "."</t>
        </is>
      </c>
      <c r="G10" s="193" t="inlineStr">
        <is>
          <t>"Climate zone: " + if(PER_ENV_CLIMATE_ZONE_TXT&lt;&gt;"",PER_ENV_CLIMATE_ZONE_TXT,"TBC") + ". Shading: " + if(BLE_WINDOW_SHADING_DEVICE_TXT&lt;&gt;"",BLE_WINDOW_SHADING_DEVICE_TXT,"none") + ". Energy rating: " + if(PER_THERM_ENERGY_RATING_TXT&lt;&gt;"",PER_THERM_ENERGY_RATING_TXT,"TBC") + ". KCCA approval: " + if(RGL_KCCA_APPROVAL_TXT&lt;&gt;"",RGL_KCCA_APPROVAL_TXT,"N/A") + "."</t>
        </is>
      </c>
      <c r="H10" s="158" t="inlineStr">
        <is>
          <t>BLE_WINDOW_WIDTH_MM, BLE_WINDOW_HEIGHT_MM, BLE_WINDOW_OPERATION_TYPE_TXT, BLE_WINDOW_FRAME_MAT_TXT, BLE_WINDOW_GLAZING_TYPE_TXT</t>
        </is>
      </c>
      <c r="I10" s="158" t="inlineStr">
        <is>
          <t>PER_THERM_U_VALUE_W_M2K_NR, BLE_WINDOW_SOLAR_HEAT_GAIN_COEFFICIENT_NR, BLE_WINDOW_VLT_PCT, BLE_WINDOW_MOSQUITO_SCREEN_BOOL, BLE_WINDOW_BURGLAR_BARS_BOOL</t>
        </is>
      </c>
      <c r="J10" s="158" t="inlineStr">
        <is>
          <t>PER_ENV_CLIMATE_ZONE_TXT, BLE_WINDOW_SHADING_DEVICE_TXT, PER_THERM_ENERGY_RATING_TXT, RGL_KCCA_APPROVAL_TXT</t>
        </is>
      </c>
      <c r="K10" s="194" t="inlineStr">
        <is>
          <t>BLE_WINDOW_U_VALUE &gt; 3.00 → [!U &gt; 3.00]
BLE_WINDOW_SHGC &gt; 0.40 → [!SHGC &gt; 0.40]</t>
        </is>
      </c>
      <c r="L10" s="195" t="inlineStr">
        <is>
          <t>BOQ-ARCH-Windows (sh.08)
Bill No.3: [W]x[H]mm [OP] window</t>
        </is>
      </c>
      <c r="M10" s="158" t="inlineStr">
        <is>
          <t>BOQ-ARCH-Windows</t>
        </is>
      </c>
      <c r="N10" s="191" t="inlineStr">
        <is>
          <t>IMMEDIATE</t>
        </is>
      </c>
    </row>
    <row r="11" ht="79.5" customHeight="1" s="123">
      <c r="A11" s="186" t="inlineStr">
        <is>
          <t>Rooms/Spaces</t>
        </is>
      </c>
      <c r="B11" s="186" t="inlineStr">
        <is>
          <t>ARCH</t>
        </is>
      </c>
      <c r="C11" s="187" t="inlineStr">
        <is>
          <t>ARCH_TAG_7_PARA_ROOM_TXT</t>
        </is>
      </c>
      <c r="D11" s="156" t="inlineStr">
        <is>
          <t>ARCH_Room_Para.rfa</t>
        </is>
      </c>
      <c r="E11" s="188" t="inlineStr">
        <is>
          <t>if(BLE_ROOM_NAME_TXT&lt;&gt;"",BLE_ROOM_NAME_TXT,"Room") + " " + if(ASS_ROOM_NUMBER_TXT&lt;&gt;"",ASS_ROOM_NUMBER_TXT,"") + " | Dept: " + if(ASS_ROOM_DEPARTMENT_TXT&lt;&gt;"",ASS_ROOM_DEPARTMENT_TXT,"TBC") + " | Area: " + if(ASS_ROOM_AREA_SQ_M&lt;&gt;"",ASS_ROOM_AREA_SQ_M+"m²","TBC") + " | Occupancy: " + if(BLE_ROOM_OCCUPANCY_NR&lt;&gt;"",BLE_ROOM_OCCUPANCY_NR+" persons","TBC") + "."</t>
        </is>
      </c>
      <c r="F11" s="188" t="inlineStr">
        <is>
          <t>"Design lux: " + if(ASS_DESIGN_LTG_LVL_LUX_NR&lt;&gt;"",ASS_DESIGN_LTG_LVL_LUX_NR+"lux","TBC") + ". Ventilation: " + if(ASS_DESIGN_VENT_RATE_L_S_P&lt;&gt;"",ASS_DESIGN_VENT_RATE_L_S_P+"L/s/person","TBC") + ". Background noise: " + if(PER_ACOUSTICS_BACKGROUND_NOISE_DB&lt;&gt;"",PER_ACOUSTICS_BACKGROUND_NOISE_DB+"dB","TBC") + ". Thermal zone: " + if(BLE_ROOM_THERMAL_ZONE_TXT&lt;&gt;"",BLE_ROOM_THERMAL_ZONE_TXT,"TBC") + "."</t>
        </is>
      </c>
      <c r="G11" s="188" t="inlineStr">
        <is>
          <t>"Accessibility: " + if(RGL_ACCESS_CLEAR_WIDTH_MM&lt;&gt;"",RGL_ACCESS_CLEAR_WIDTH_MM+"mm","TBC") + ". Hearing loop: " + if(RGL_ACCESS_HEARING_LOOP_BOOL&lt;&gt;"",RGL_ACCESS_HEARING_LOOP_BOOL,"N/A") + ". Refuge area: " + if(FLS_PROT_REFUGE_AREA_BOOL&lt;&gt;"",FLS_PROT_REFUGE_AREA_BOOL,"N/A") + ". Humidity: " + if(PER_ENV_HUMIDITY_PCT&lt;&gt;"",PER_ENV_HUMIDITY_PCT+"%","TBC") + ". Termite protection: " + if(PER_ENV_TERMITE_PROTECTION_TXT&lt;&gt;"",PER_ENV_TERMITE_PROTECTION_TXT,"N/A") + "."</t>
        </is>
      </c>
      <c r="H11" s="156" t="inlineStr">
        <is>
          <t>BLE_ROOM_NAME_TXT, ASS_ROOM_NUMBER_TXT, ASS_ROOM_DEPARTMENT_TXT, ASS_ROOM_AREA_SQ_M, BLE_ROOM_OCCUPANCY_NR</t>
        </is>
      </c>
      <c r="I11" s="156" t="inlineStr">
        <is>
          <t>ASS_DESIGN_LTG_LVL_LUX_NR, ASS_DESIGN_VENT_RATE_L_S_P, PER_ACOUSTICS_BACKGROUND_NOISE_DB, BLE_ROOM_THERMAL_ZONE_TXT</t>
        </is>
      </c>
      <c r="J11" s="156" t="inlineStr">
        <is>
          <t>RGL_ACCESS_CLEAR_WIDTH_MM, RGL_ACCESS_HEARING_LOOP_BOOL, FLS_PROT_REFUGE_AREA_BOOL, PER_ENV_HUMIDITY_PCT, PER_ENV_TERMITE_PROTECTION_TXT</t>
        </is>
      </c>
      <c r="K11" s="189" t="inlineStr">
        <is>
          <t>ASS_DESIGN_LTG_LVL_LUX_NR &lt; 300 → [!LUX &lt; 300]
PER_ACOUSTICS_BACKGROUND_NOISE_DB &gt; 40 → [!NOISE &gt; 40dB]</t>
        </is>
      </c>
      <c r="L11" s="190" t="inlineStr">
        <is>
          <t>N/A (space, not BOQ item)
Room schedule export</t>
        </is>
      </c>
      <c r="M11" s="156" t="inlineStr">
        <is>
          <t>BOQ-ARCH-Rooms (space schedule)</t>
        </is>
      </c>
      <c r="N11" s="186" t="inlineStr">
        <is>
          <t>IMMEDIATE</t>
        </is>
      </c>
    </row>
    <row r="12" ht="18" customHeight="1" s="123">
      <c r="A12" s="196" t="inlineStr">
        <is>
          <t>STRUCTURAL CATEGORIES</t>
        </is>
      </c>
      <c r="B12" s="179" t="n"/>
      <c r="C12" s="179" t="n"/>
      <c r="D12" s="179" t="n"/>
      <c r="E12" s="179" t="n"/>
      <c r="F12" s="179" t="n"/>
      <c r="G12" s="179" t="n"/>
      <c r="H12" s="179" t="n"/>
      <c r="I12" s="179" t="n"/>
      <c r="J12" s="179" t="n"/>
      <c r="K12" s="179" t="n"/>
      <c r="L12" s="179" t="n"/>
      <c r="M12" s="179" t="n"/>
      <c r="N12" s="180" t="n"/>
    </row>
    <row r="13" ht="79.5" customHeight="1" s="123">
      <c r="A13" s="186" t="inlineStr">
        <is>
          <t>Str. Foundations</t>
        </is>
      </c>
      <c r="B13" s="186" t="inlineStr">
        <is>
          <t>STR</t>
        </is>
      </c>
      <c r="C13" s="187" t="inlineStr">
        <is>
          <t>STR_TAG_7_PARA_FDN_TXT</t>
        </is>
      </c>
      <c r="D13" s="156" t="inlineStr">
        <is>
          <t>STR_Fdn_Para.rfa</t>
        </is>
      </c>
      <c r="E13" s="188" t="inlineStr">
        <is>
          <t>if(BLE_STRUCT_FOUNDATION_TYPE_TXT&lt;&gt;"",BLE_STRUCT_FOUNDATION_TYPE_TXT,"Foundation") + " " + if(BLE_STRUCT_FOUNDATION_SZ_TXT&lt;&gt;"",BLE_STRUCT_FOUNDATION_SZ_TXT,"(size TBC)") + ". Concrete: " + if(BLE_STRUCT_CONCRETE_GRADE_TXT&lt;&gt;"",BLE_STRUCT_CONCRETE_GRADE_TXT,"grade TBC") + ". Reinforcement: " + if(BLE_STRUCT_REINFORCEMENT_TXT&lt;&gt;"",BLE_STRUCT_REINFORCEMENT_TXT,"TBC") + "."</t>
        </is>
      </c>
      <c r="F13" s="188" t="inlineStr">
        <is>
          <t>"Bearing capacity: " + if(BLE_STRUCT_BEARING_KPA&lt;&gt;"",BLE_STRUCT_BEARING_KPA+"kPa","TBC") + ". Admixture: " + if(CST_TAG_7_PARA_CONCRETE_TXT&lt;&gt;"",CST_TAG_7_PARA_CONCRETE_TXT,"none specified") + ". DPC: " + if(BLE_STRUCT_DPC_TXT&lt;&gt;"",BLE_STRUCT_DPC_TXT,"TBC") + "."</t>
        </is>
      </c>
      <c r="G13" s="188" t="inlineStr">
        <is>
          <t>"Insecticide: " + if(PER_ENV_INSECTICIDE_TXT&lt;&gt;"",PER_ENV_INSECTICIDE_TXT,"N/A") + ". Standard: " + if(RGL_STD_TXT&lt;&gt;"",RGL_STD_TXT,"N/A") + ". QA: " + if(ASS_QA_CERT_TXT&lt;&gt;"",ASS_QA_CERT_TXT,"TBC") + "."</t>
        </is>
      </c>
      <c r="H13" s="156" t="inlineStr">
        <is>
          <t>BLE_STRUCT_FOUNDATION_TYPE_TXT, BLE_STRUCT_FOUNDATION_SZ_TXT, BLE_STRUCT_CONCRETE_GRADE_TXT, BLE_STRUCT_REINFORCEMENT_TXT</t>
        </is>
      </c>
      <c r="I13" s="156" t="inlineStr">
        <is>
          <t>BLE_STRUCT_BEARING_KPA, CST_TAG_7_PARA_CONCRETE_TXT, BLE_STRUCT_DPC_TXT</t>
        </is>
      </c>
      <c r="J13" s="156" t="inlineStr">
        <is>
          <t>PER_ENV_INSECTICIDE_TXT, RGL_STD_TXT, ASS_QA_CERT_TXT</t>
        </is>
      </c>
      <c r="K13" s="189" t="inlineStr">
        <is>
          <t>BLE_STRUCT_CONCRETE_GRADE_TXT check vs exposure class → [!CHECK GRADE]</t>
        </is>
      </c>
      <c r="L13" s="190" t="inlineStr">
        <is>
          <t>BOQ-STR-Foundations (sh.08)
Bill No.2/3: [SZ] foundation [GRADE]</t>
        </is>
      </c>
      <c r="M13" s="156" t="inlineStr">
        <is>
          <t>BOQ-STR-Foundations</t>
        </is>
      </c>
      <c r="N13" s="186" t="inlineStr">
        <is>
          <t>HIGH</t>
        </is>
      </c>
    </row>
    <row r="14" ht="79.5" customHeight="1" s="123">
      <c r="A14" s="191" t="inlineStr">
        <is>
          <t>Str. Columns</t>
        </is>
      </c>
      <c r="B14" s="191" t="inlineStr">
        <is>
          <t>STR</t>
        </is>
      </c>
      <c r="C14" s="192" t="inlineStr">
        <is>
          <t>STR_TAG_7_PARA_COL_TXT</t>
        </is>
      </c>
      <c r="D14" s="158" t="inlineStr">
        <is>
          <t>STR_Col_Para.rfa</t>
        </is>
      </c>
      <c r="E14" s="193" t="inlineStr">
        <is>
          <t>if(BLE_STRUCT_COLUMN_SZ_TXT&lt;&gt;"",BLE_STRUCT_COLUMN_SZ_TXT,"(size TBC)") + " RC column. Concrete: " + if(BLE_STRUCT_CONCRETE_GRADE_TXT&lt;&gt;"",BLE_STRUCT_CONCRETE_GRADE_TXT,"grade TBC") + ". Rebar: " + if(BLE_STRUCT_REINFORCEMENT_TXT&lt;&gt;"",BLE_STRUCT_REINFORCEMENT_TXT,"TBC") + "."</t>
        </is>
      </c>
      <c r="F14" s="193" t="inlineStr">
        <is>
          <t>"Cover: " + if(BLE_STRUCT_COVER_MM&lt;&gt;"",BLE_STRUCT_COVER_MM+"mm","TBC") + ". Formwork: " + if(BLE_STRUCT_FORMWORK_TXT&lt;&gt;"",BLE_STRUCT_FORMWORK_TXT,"TBC") + ". Fire protection: " + if(FLS_PROT_FLS_RESISTANCE_RATING_MINUTES_MIN&lt;&gt;"",FLS_PROT_FLS_RESISTANCE_RATING_MINUTES_MIN+"min","N/A") + "."</t>
        </is>
      </c>
      <c r="G14" s="193" t="inlineStr">
        <is>
          <t>"Standard: " + if(RGL_STD_TXT&lt;&gt;"",RGL_STD_TXT,"N/A") + ". Cube test: " + if(ASS_QA_CUBE_TEST_TXT&lt;&gt;"",ASS_QA_CUBE_TEST_TXT,"TBC") + "."</t>
        </is>
      </c>
      <c r="H14" s="158" t="inlineStr">
        <is>
          <t>BLE_STRUCT_COLUMN_SZ_TXT, BLE_STRUCT_CONCRETE_GRADE_TXT, BLE_STRUCT_REINFORCEMENT_TXT</t>
        </is>
      </c>
      <c r="I14" s="158" t="inlineStr">
        <is>
          <t>BLE_STRUCT_COVER_MM, BLE_STRUCT_FORMWORK_TXT, FLS_PROT_FLS_RESISTANCE_RATING_MINUTES_MIN</t>
        </is>
      </c>
      <c r="J14" s="158" t="inlineStr">
        <is>
          <t>RGL_STD_TXT, ASS_QA_CUBE_TEST_TXT</t>
        </is>
      </c>
      <c r="K14" s="194" t="inlineStr">
        <is>
          <t>BLE_STRUCT_CONCRETE_GRADE_TXT check → [!CHECK GRADE vs EXPOSURE]</t>
        </is>
      </c>
      <c r="L14" s="195" t="inlineStr">
        <is>
          <t>BOQ-STR-Columns (sh.08)
Bill No.3: [SZ] RC column [GRADE]</t>
        </is>
      </c>
      <c r="M14" s="158" t="inlineStr">
        <is>
          <t>BOQ-STR-Columns</t>
        </is>
      </c>
      <c r="N14" s="191" t="inlineStr">
        <is>
          <t>HIGH</t>
        </is>
      </c>
    </row>
    <row r="15" ht="79.5" customHeight="1" s="123">
      <c r="A15" s="186" t="inlineStr">
        <is>
          <t>Str. Framing</t>
        </is>
      </c>
      <c r="B15" s="186" t="inlineStr">
        <is>
          <t>STR</t>
        </is>
      </c>
      <c r="C15" s="187" t="inlineStr">
        <is>
          <t>STR_TAG_7_PARA_BEAM_TXT</t>
        </is>
      </c>
      <c r="D15" s="156" t="inlineStr">
        <is>
          <t>STR_Beam_Para.rfa</t>
        </is>
      </c>
      <c r="E15" s="188" t="inlineStr">
        <is>
          <t>if(BLE_STRUCT_BEAM_SZ_TXT&lt;&gt;"",BLE_STRUCT_BEAM_SZ_TXT,"(size TBC)") + " " + if(BLE_STRUCT_STEEL_GRADE_TXT&lt;&gt;"",BLE_STRUCT_STEEL_GRADE_TXT,"RC") + " beam/slab. Grade: " + if(BLE_STRUCT_CONCRETE_GRADE_TXT&lt;&gt;"",BLE_STRUCT_CONCRETE_GRADE_TXT,"TBC") + "."</t>
        </is>
      </c>
      <c r="F15" s="188" t="inlineStr">
        <is>
          <t>"Cover: " + if(BLE_STRUCT_COVER_MM&lt;&gt;"",BLE_STRUCT_COVER_MM+"mm","TBC") + ". Rebar: " + if(BLE_STRUCT_REINFORCEMENT_TXT&lt;&gt;"",BLE_STRUCT_REINFORCEMENT_TXT,"TBC") + ". Steel section: " + if(BLE_STRUCT_STEEL_SECTION_TXT&lt;&gt;"",BLE_STRUCT_STEEL_SECTION_TXT,"N/A") + "."</t>
        </is>
      </c>
      <c r="G15" s="188" t="inlineStr">
        <is>
          <t>"FRR: " + if(FLS_PROT_FLS_RESISTANCE_RATING_MINUTES_MIN&lt;&gt;"",FLS_PROT_FLS_RESISTANCE_RATING_MINUTES_MIN+"min","N/A") + ". Standard: " + if(RGL_STD_TXT&lt;&gt;"",RGL_STD_TXT,"N/A") + "."</t>
        </is>
      </c>
      <c r="H15" s="156" t="inlineStr">
        <is>
          <t>BLE_STRUCT_BEAM_SZ_TXT, BLE_STRUCT_STEEL_GRADE_TXT, BLE_STRUCT_CONCRETE_GRADE_TXT</t>
        </is>
      </c>
      <c r="I15" s="156" t="inlineStr">
        <is>
          <t>BLE_STRUCT_COVER_MM, BLE_STRUCT_REINFORCEMENT_TXT, BLE_STRUCT_STEEL_SECTION_TXT</t>
        </is>
      </c>
      <c r="J15" s="156" t="inlineStr">
        <is>
          <t>FLS_PROT_FLS_RESISTANCE_RATING_MINUTES_MIN, RGL_STD_TXT</t>
        </is>
      </c>
      <c r="K15" s="189" t="inlineStr">
        <is>
          <t>BLE_STRUCT_CONCRETE_GRADE_TXT check → [!CHECK GRADE]</t>
        </is>
      </c>
      <c r="L15" s="190" t="inlineStr">
        <is>
          <t>BOQ-STR-Beams (sh.08)
Bill No.3: [SZ] RC/steel beam</t>
        </is>
      </c>
      <c r="M15" s="156" t="inlineStr">
        <is>
          <t>BOQ-STR-Beams</t>
        </is>
      </c>
      <c r="N15" s="186" t="inlineStr">
        <is>
          <t>HIGH</t>
        </is>
      </c>
    </row>
    <row r="16" ht="79.5" customHeight="1" s="123">
      <c r="A16" s="191" t="inlineStr">
        <is>
          <t>Stairs</t>
        </is>
      </c>
      <c r="B16" s="191" t="inlineStr">
        <is>
          <t>ARCH</t>
        </is>
      </c>
      <c r="C16" s="192" t="inlineStr">
        <is>
          <t>ARCH_TAG_7_PARA_STAIR_TXT</t>
        </is>
      </c>
      <c r="D16" s="158" t="inlineStr">
        <is>
          <t>ARCH_Stair_Para.rfa</t>
        </is>
      </c>
      <c r="E16" s="193" t="inlineStr">
        <is>
          <t>if(BLE_STAIR_MAT_TXT&lt;&gt;"",BLE_STAIR_MAT_TXT,"") + " stair, " + if(BLE_STAIR_RISE_MM&lt;&gt;"",BLE_STAIR_RISE_MM+"mm","?mm") + " rise, " + if(BLE_STAIR_GOING_MM&lt;&gt;"",BLE_STAIR_GOING_MM+"mm","?mm") + " going, " + if(BLE_STAIR_WIDTH_MM&lt;&gt;"",BLE_STAIR_WIDTH_MM+"mm","?mm") + " wide. Tread: " + if(BLE_STAIR_TREAD_FINISH_TXT&lt;&gt;"",BLE_STAIR_TREAD_FINISH_TXT,"TBC") + ". Handrail: " + if(BLE_STAIR_HANDRAIL_MAT_TXT&lt;&gt;"",BLE_STAIR_HANDRAIL_MAT_TXT,"TBC") + "."</t>
        </is>
      </c>
      <c r="F16" s="193" t="inlineStr">
        <is>
          <t>"Nosing: " + if(BLE_STAIR_NOSING_TXT&lt;&gt;"",BLE_STAIR_NOSING_TXT,"TBC") + ". Balustrade: " + if(BLE_STAIR_BALUSTRADE_SPEC_TXT&lt;&gt;"",BLE_STAIR_BALUSTRADE_SPEC_TXT,"TBC") + ". FRR: " + if(FLS_PROT_FLS_RESISTANCE_RATING_MINUTES_MIN&lt;&gt;"",FLS_PROT_FLS_RESISTANCE_RATING_MINUTES_MIN+"min","N/A") + "."</t>
        </is>
      </c>
      <c r="G16" s="193" t="inlineStr">
        <is>
          <t>"Reg: " + if(RGL_STD_TXT&lt;&gt;"",RGL_STD_TXT,"N/A") + ". PWD compliant: " + if(RGL_ACCESS_CLEAR_WIDTH_MM&lt;&gt;"",RGL_ACCESS_CLEAR_WIDTH_MM+"mm clear","N/A") + ". Cost: " + if(CST_S_UNIT_RATE_UGX_NR&lt;&gt;"",CST_S_UNIT_RATE_UGX_NR+" UGX/flight","TBC") + "."</t>
        </is>
      </c>
      <c r="H16" s="158" t="inlineStr">
        <is>
          <t>BLE_STAIR_MAT_TXT, BLE_STAIR_RISE_MM, BLE_STAIR_GOING_MM, BLE_STAIR_WIDTH_MM, BLE_STAIR_TREAD_FINISH_TXT, BLE_STAIR_HANDRAIL_MAT_TXT</t>
        </is>
      </c>
      <c r="I16" s="158" t="inlineStr">
        <is>
          <t>BLE_STAIR_NOSING_TXT, BLE_STAIR_BALUSTRADE_SPEC_TXT, FLS_PROT_FLS_RESISTANCE_RATING_MINUTES_MIN</t>
        </is>
      </c>
      <c r="J16" s="158" t="inlineStr">
        <is>
          <t>RGL_STD_TXT, RGL_ACCESS_CLEAR_WIDTH_MM, CST_S_UNIT_RATE_UGX_NR</t>
        </is>
      </c>
      <c r="K16" s="194" t="inlineStr">
        <is>
          <t>RISE &lt; 150 or &gt; 190 → [!RISE]
GOING &lt; 250 or &gt; 400 → [!GOING]
WIDTH &lt; 1000 → [!WIDTH &lt; 1000]</t>
        </is>
      </c>
      <c r="L16" s="195" t="inlineStr">
        <is>
          <t>BOQ-ARCH-Stairs (sh.08)
Bill No.3: [MAT] stair [W]mm wide</t>
        </is>
      </c>
      <c r="M16" s="158" t="inlineStr">
        <is>
          <t>BOQ-ARCH-Stairs</t>
        </is>
      </c>
      <c r="N16" s="191" t="inlineStr">
        <is>
          <t>HIGH</t>
        </is>
      </c>
    </row>
    <row r="17" ht="79.5" customHeight="1" s="123">
      <c r="A17" s="186" t="inlineStr">
        <is>
          <t>Ramps</t>
        </is>
      </c>
      <c r="B17" s="186" t="inlineStr">
        <is>
          <t>ARCH</t>
        </is>
      </c>
      <c r="C17" s="187" t="inlineStr">
        <is>
          <t>ARCH_TAG_7_PARA_RAMP_TXT</t>
        </is>
      </c>
      <c r="D17" s="156" t="inlineStr">
        <is>
          <t>ARCH_Ramp_Para.rfa</t>
        </is>
      </c>
      <c r="E17" s="188" t="inlineStr">
        <is>
          <t>"Ramp at " + if(BLE_RAMP_SLOPE_PCT&lt;&gt;"",BLE_RAMP_SLOPE_PCT+"%","?%") + " gradient, " + if(BLE_RAMP_SURFACE_FINISH_TXT&lt;&gt;"",BLE_RAMP_SURFACE_FINISH_TXT,"surface TBC") + " finish. Handrails: " + if(BLE_RAMP_HANDRAIL_BOTH_SIDES_BOOL&lt;&gt;"",BLE_RAMP_HANDRAIL_BOTH_SIDES_BOOL,"TBC") + ". Clear width: " + if(RGL_ACCESS_CLEAR_WIDTH_MM&lt;&gt;"",RGL_ACCESS_CLEAR_WIDTH_MM+"mm","TBC") + "."</t>
        </is>
      </c>
      <c r="F17" s="188" t="inlineStr">
        <is>
          <t>"Landing: " + if(BLE_RAMP_LANDING_DIM_TXT&lt;&gt;"",BLE_RAMP_LANDING_DIM_TXT,"TBC") + ". Handrail height: " + if(BLE_RAMP_HANDRAIL_HGT_MM&lt;&gt;"",BLE_RAMP_HANDRAIL_HGT_MM+"mm","TBC") + ". Non-slip: " + if(BLE_RAMP_NONSLIP_TREATMENT_TXT&lt;&gt;"",BLE_RAMP_NONSLIP_TREATMENT_TXT,"TBC") + "."</t>
        </is>
      </c>
      <c r="G17" s="188" t="inlineStr">
        <is>
          <t>"Uganda PWD Act 2020 compliance. Max gradient 1:12 (8.33%). Max run 9m. Approval: " + if(RGL_KCCA_APPROVAL_TXT&lt;&gt;"",RGL_KCCA_APPROVAL_TXT,"pending") + "."</t>
        </is>
      </c>
      <c r="H17" s="156" t="inlineStr">
        <is>
          <t>BLE_RAMP_SLOPE_PCT, BLE_RAMP_SURFACE_FINISH_TXT, BLE_RAMP_HANDRAIL_BOTH_SIDES_BOOL, RGL_ACCESS_CLEAR_WIDTH_MM</t>
        </is>
      </c>
      <c r="I17" s="156" t="inlineStr">
        <is>
          <t>BLE_RAMP_LANDING_DIM_TXT, BLE_RAMP_HANDRAIL_HGT_MM, BLE_RAMP_NONSLIP_TREATMENT_TXT</t>
        </is>
      </c>
      <c r="J17" s="156" t="inlineStr">
        <is>
          <t>RGL_KCCA_APPROVAL_TXT</t>
        </is>
      </c>
      <c r="K17" s="189" t="inlineStr">
        <is>
          <t>SLOPE &gt; 8.33 → [!SLOPE &gt; 1:12]
WIDTH &lt; 900 → [!WIDTH &lt; 900mm]</t>
        </is>
      </c>
      <c r="L17" s="190" t="inlineStr">
        <is>
          <t>BOQ-ARCH-Ramps (sh.08)
Bill No.3: Ramp at [SLOPE]%</t>
        </is>
      </c>
      <c r="M17" s="156" t="inlineStr">
        <is>
          <t>BOQ-ARCH-Ramps</t>
        </is>
      </c>
      <c r="N17" s="186" t="inlineStr">
        <is>
          <t>HIGH</t>
        </is>
      </c>
    </row>
    <row r="18" ht="79.5" customHeight="1" s="123">
      <c r="A18" s="191" t="inlineStr">
        <is>
          <t>Curtain Panels</t>
        </is>
      </c>
      <c r="B18" s="191" t="inlineStr">
        <is>
          <t>ARCH</t>
        </is>
      </c>
      <c r="C18" s="192" t="inlineStr">
        <is>
          <t>ARCH_TAG_7_PARA_FACADE_TXT</t>
        </is>
      </c>
      <c r="D18" s="158" t="inlineStr">
        <is>
          <t>ARCH_Facade_Para.rfa</t>
        </is>
      </c>
      <c r="E18" s="193" t="inlineStr">
        <is>
          <t>if(BLE_FACADE_CLR_TXT&lt;&gt;"",BLE_FACADE_CLR_TXT,"") + " " + if(BLE_FACADE_FINISH_TXT&lt;&gt;"",BLE_FACADE_FINISH_TXT,"") + " curtain panel, " + if(BLE_FACADE_FIX_SYSTEM_TXT&lt;&gt;"",BLE_FACADE_FIX_SYSTEM_TXT,"fixing TBC") + " fixing. Glass: " + if(BLE_FACADE_GLASS_TYPE_TXT&lt;&gt;"",BLE_FACADE_GLASS_TYPE_TXT,"TBC") + ". U: " + if(PER_THERM_U_VALUE_W_M2K_NR&lt;&gt;"",PER_THERM_U_VALUE_W_M2K_NR+"W/m²K","TBC") + "."</t>
        </is>
      </c>
      <c r="F18" s="193" t="inlineStr">
        <is>
          <t>"Panel size: " + if(BLE_FACADE_PANEL_WIDTH_MM&lt;&gt;"",BLE_FACADE_PANEL_WIDTH_MM+"x","?x") + if(BLE_FACADE_PANEL_HEIGHT_MM&lt;&gt;"",BLE_FACADE_PANEL_HEIGHT_MM+"mm","?mm") + ". Insulation: " + if(BLE_FACADE_INSULATION_TXT&lt;&gt;"",BLE_FACADE_INSULATION_TXT,"TBC") + ". Water penetration: " + if(BLE_FACADE_WTR_PENETRATION_TXT&lt;&gt;"",BLE_FACADE_WTR_PENETRATION_TXT,"TBC") + "."</t>
        </is>
      </c>
      <c r="G18" s="193" t="inlineStr">
        <is>
          <t>"Energy rating: " + if(PER_THERM_ENERGY_RATING_TXT&lt;&gt;"",PER_THERM_ENERGY_RATING_TXT,"TBC") + ". KCCA/UNBS approval: " + if(RGL_KCCA_APPROVAL_TXT&lt;&gt;"",RGL_KCCA_APPROVAL_TXT,"pending") + ". EPD: " + if(MAT_EPD_REF_TXT&lt;&gt;"",MAT_EPD_REF_TXT,"N/A") + "."</t>
        </is>
      </c>
      <c r="H18" s="158" t="inlineStr">
        <is>
          <t>BLE_FACADE_CLR_TXT, BLE_FACADE_FINISH_TXT, BLE_FACADE_FIX_SYSTEM_TXT, BLE_FACADE_GLASS_TYPE_TXT, PER_THERM_U_VALUE_W_M2K_NR</t>
        </is>
      </c>
      <c r="I18" s="158" t="inlineStr">
        <is>
          <t>BLE_FACADE_PANEL_WIDTH_MM, BLE_FACADE_PANEL_HEIGHT_MM, BLE_FACADE_INSULATION_TXT, BLE_FACADE_WTR_PENETRATION_TXT</t>
        </is>
      </c>
      <c r="J18" s="158" t="inlineStr">
        <is>
          <t>PER_THERM_ENERGY_RATING_TXT, RGL_KCCA_APPROVAL_TXT, MAT_EPD_REF_TXT</t>
        </is>
      </c>
      <c r="K18" s="194" t="inlineStr">
        <is>
          <t>PER_THERM_U_VALUE &gt; 2.20 → [!U &gt; 2.20 FACADE]</t>
        </is>
      </c>
      <c r="L18" s="195" t="inlineStr">
        <is>
          <t>BOQ-ARCH-CurtainWall (sh.08)
Bill No.3: [CLR] [FINISH] panel [W]x[H]</t>
        </is>
      </c>
      <c r="M18" s="158" t="inlineStr">
        <is>
          <t>BOQ-ARCH-CurtainWall</t>
        </is>
      </c>
      <c r="N18" s="191" t="inlineStr">
        <is>
          <t>HIGH</t>
        </is>
      </c>
    </row>
    <row r="19" ht="79.5" customHeight="1" s="123">
      <c r="A19" s="186" t="inlineStr">
        <is>
          <t>Casework</t>
        </is>
      </c>
      <c r="B19" s="186" t="inlineStr">
        <is>
          <t>ARCH</t>
        </is>
      </c>
      <c r="C19" s="187" t="inlineStr">
        <is>
          <t>ARCH_TAG_7_PARA_CASEWORK_TXT</t>
        </is>
      </c>
      <c r="D19" s="156" t="inlineStr">
        <is>
          <t>ARCH_Case_Para.rfa</t>
        </is>
      </c>
      <c r="E19" s="188" t="inlineStr">
        <is>
          <t>"This " + if(ASS_DESCRIPTION_TXT&lt;&gt;"",ASS_DESCRIPTION_TXT,"casework unit") + ". By " + if(ASS_MANUFACTURER_TXT&lt;&gt;"",ASS_MANUFACTURER_TXT,"TBC") + " model " + if(ASS_MODEL_NR_TXT&lt;&gt;"",ASS_MODEL_NR_TXT,"TBC") + "."</t>
        </is>
      </c>
      <c r="F19" s="188" t="inlineStr">
        <is>
          <t>"Material: " + if(BLE_CASE_MAT_TXT&lt;&gt;"",BLE_CASE_MAT_TXT,"TBC") + ". Finish: " + if(BLE_CASE_FINISH_TXT&lt;&gt;"",BLE_CASE_FINISH_TXT,"TBC") + ". FRR: " + if(FLS_PROT_FLS_RESISTANCE_RATING_MINUTES_MIN&lt;&gt;"",FLS_PROT_FLS_RESISTANCE_RATING_MINUTES_MIN+"min","N/A") + "."</t>
        </is>
      </c>
      <c r="G19" s="188" t="inlineStr">
        <is>
          <t>"Material spec: " + if(BLE_CSWORK_MAT_TXT&lt;&gt;"",BLE_CSWORK_MAT_TXT,"TBC") + ". Finish: " + if(ASS_DESCRIPTION_TXT&lt;&gt;"",ASS_DESCRIPTION_TXT,"TBC") + ". Lead time: " + if(ASS_LEAD_TIME_TXT&lt;&gt;"",ASS_LEAD_TIME_TXT,"TBC") + ". Standard: " + if(RGL_STD_TXT&lt;&gt;"",RGL_STD_TXT,"N/A") + "."</t>
        </is>
      </c>
      <c r="H19" s="156" t="inlineStr">
        <is>
          <t>ASS_DESCRIPTION_TXT, ASS_MANUFACTURER_TXT, ASS_MODEL_NR_TXT</t>
        </is>
      </c>
      <c r="I19" s="156" t="inlineStr">
        <is>
          <t>BLE_CASE_MAT_TXT, BLE_CASE_FINISH_TXT, FLS_PROT_FLS_RESISTANCE_RATING_MINUTES_MIN</t>
        </is>
      </c>
      <c r="J19" s="156" t="inlineStr">
        <is>
          <t>BLE_CSWORK_MAT_TXT, ASS_LEAD_TIME_TXT, RGL_STD_TXT</t>
        </is>
      </c>
      <c r="K19" s="197" t="inlineStr">
        <is>
          <t>ASS_MANUFACTURER_TXT absent → flag for procurement review</t>
        </is>
      </c>
      <c r="L19" s="190" t="inlineStr">
        <is>
          <t>BOQ-ARCH-Casework (sh.08)
Bill No.3: [DESC] casework</t>
        </is>
      </c>
      <c r="M19" s="156" t="inlineStr">
        <is>
          <t>BOQ-ARCH-Casework</t>
        </is>
      </c>
      <c r="N19" s="186" t="inlineStr">
        <is>
          <t>MEDIUM</t>
        </is>
      </c>
    </row>
    <row r="20" ht="79.5" customHeight="1" s="123">
      <c r="A20" s="191" t="inlineStr">
        <is>
          <t>Furniture</t>
        </is>
      </c>
      <c r="B20" s="191" t="inlineStr">
        <is>
          <t>ARCH</t>
        </is>
      </c>
      <c r="C20" s="192" t="inlineStr">
        <is>
          <t>ARCH_TAG_7_PARA_FURNITURE_TXT</t>
        </is>
      </c>
      <c r="D20" s="158" t="inlineStr">
        <is>
          <t>ARCH_Furn_Para.rfa</t>
        </is>
      </c>
      <c r="E20" s="193" t="inlineStr">
        <is>
          <t>"This " + if(ASS_DESCRIPTION_TXT&lt;&gt;"",ASS_DESCRIPTION_TXT,"furniture item") + ". By " + if(ASS_MANUFACTURER_TXT&lt;&gt;"",ASS_MANUFACTURER_TXT,"TBC") + " model " + if(ASS_MODEL_NR_TXT&lt;&gt;"",ASS_MODEL_NR_TXT,"TBC") + ". Status: " + if(ASS_STATUS_TXT&lt;&gt;"",ASS_STATUS_TXT,"TBC") + "."</t>
        </is>
      </c>
      <c r="F20" s="193" t="inlineStr">
        <is>
          <t>"Qty: " + if(ASS_DESCRIPTION_TXT&lt;&gt;"",ASS_DESCRIPTION_TXT,"TBC") + ". Material: " + if(BLE_FURN_MAT_TXT&lt;&gt;"",BLE_FURN_MAT_TXT,"TBC") + ". Finish: " + if(BLE_FURN_FINISH_TXT&lt;&gt;"",BLE_FURN_FINISH_TXT,"TBC") + ". By: " + if(ASS_MANUFACTURER_TXT&lt;&gt;"",ASS_MANUFACTURER_TXT,"TBC") + "."</t>
        </is>
      </c>
      <c r="G20" s="193" t="inlineStr">
        <is>
          <t>"Cost: " + if(ASS_CST_TOTAL_UGX_NR&lt;&gt;"",ASS_CST_TOTAL_UGX_NR+" UGX","TBC") + ". Warranty: " + if(ASS_WARRANTY_TXT&lt;&gt;"",ASS_WARRANTY_TXT,"TBC") + "."</t>
        </is>
      </c>
      <c r="H20" s="158" t="inlineStr">
        <is>
          <t>ASS_DESCRIPTION_TXT, ASS_MANUFACTURER_TXT, ASS_MODEL_NR_TXT, ASS_STATUS_TXT</t>
        </is>
      </c>
      <c r="I20" s="158" t="inlineStr">
        <is>
          <t>BLE_ROOM_NAME_TXT, ASS_QTY_NR</t>
        </is>
      </c>
      <c r="J20" s="158" t="inlineStr">
        <is>
          <t>ASS_CST_TOTAL_UGX_NR, ASS_WARRANTY_TXT</t>
        </is>
      </c>
      <c r="K20" s="198" t="inlineStr">
        <is>
          <t>No automated threshold — furniture is non-performance element</t>
        </is>
      </c>
      <c r="L20" s="195" t="inlineStr">
        <is>
          <t>N/A (FF&amp;E schedule)
Export to FF&amp;E schedule</t>
        </is>
      </c>
      <c r="M20" s="158" t="inlineStr">
        <is>
          <t>FF&amp;E-Schedule</t>
        </is>
      </c>
      <c r="N20" s="191" t="inlineStr">
        <is>
          <t>MEDIUM</t>
        </is>
      </c>
    </row>
    <row r="21" ht="18" customHeight="1" s="123">
      <c r="A21" s="196" t="inlineStr">
        <is>
          <t>MEP — HVAC</t>
        </is>
      </c>
      <c r="B21" s="179" t="n"/>
      <c r="C21" s="179" t="n"/>
      <c r="D21" s="179" t="n"/>
      <c r="E21" s="179" t="n"/>
      <c r="F21" s="179" t="n"/>
      <c r="G21" s="179" t="n"/>
      <c r="H21" s="179" t="n"/>
      <c r="I21" s="179" t="n"/>
      <c r="J21" s="179" t="n"/>
      <c r="K21" s="179" t="n"/>
      <c r="L21" s="179" t="n"/>
      <c r="M21" s="179" t="n"/>
      <c r="N21" s="180" t="n"/>
    </row>
    <row r="22" ht="79.5" customHeight="1" s="123">
      <c r="A22" s="186" t="inlineStr">
        <is>
          <t>Mech. Equipment</t>
        </is>
      </c>
      <c r="B22" s="186" t="inlineStr">
        <is>
          <t>HVAC</t>
        </is>
      </c>
      <c r="C22" s="187" t="inlineStr">
        <is>
          <t>HVC_TAG_7_PARA_SPEC_TXT</t>
        </is>
      </c>
      <c r="D22" s="156" t="inlineStr">
        <is>
          <t>HVAC_Eqp_Para.rfa</t>
        </is>
      </c>
      <c r="E22" s="188" t="inlineStr">
        <is>
          <t>"" + if(ASS_DESCRIPTION_TXT&lt;&gt;"",ASS_DESCRIPTION_TXT,"HVAC equipment") + ". Capacity: " + if(HVC_CAP_KW&lt;&gt;"",HVC_CAP_KW+"kW","TBC") + ". Refrigerant: " + if(HVC_REFRIGERANT_TXT&lt;&gt;"",HVC_REFRIGERANT_TXT,"TBC") + ". Power: " + if(HVC_PWR_KW&lt;&gt;"",HVC_PWR_KW+"kW","TBC") + ". COP/EER: " + if(HVC_EFF_RATIO_NR&lt;&gt;"",HVC_EFF_RATIO_NR,"TBC") + ". " + if(ASS_MANUFACTURER_TXT&lt;&gt;"",ASS_MANUFACTURER_TXT,"") + " " + if(ASS_MODEL_NR_TXT&lt;&gt;"",ASS_MODEL_NR_TXT,"") + "."</t>
        </is>
      </c>
      <c r="F22" s="188" t="inlineStr">
        <is>
          <t>"BMS control: " + if(HVC_BMS_CONTROL_TYPE_TXT&lt;&gt;"",HVC_BMS_CONTROL_TYPE_TXT,"TBC") + ". Mount height: " + if(MNT_HGT_MM&lt;&gt;"",MNT_HGT_MM+"mm","TBC") + ". Voltage: " + if(HVC_VLT_V&lt;&gt;"",HVC_VLT_V+"V","TBC") + ". Phases: " + if(ELC_PNL_PHS_COUNT_NR&lt;&gt;"",ELC_PNL_PHS_COUNT_NR+"Ph","TBC") + "."</t>
        </is>
      </c>
      <c r="G22" s="188" t="inlineStr">
        <is>
          <t>"Install detail: " + if(ASS_INST_DETAIL_NUM_TXT&lt;&gt;"",ASS_INST_DETAIL_NUM_TXT,"TBC") + ". Commissioning: " + if(ASS_COMMISSION_REQ_TXT&lt;&gt;"",ASS_COMMISSION_REQ_TXT,"TBC") + ". QA cert: " + if(ASS_QA_CERT_TXT&lt;&gt;"",ASS_QA_CERT_TXT,"TBC") + ". Inspect freq: " + if(ASS_INSPECT_FREQ_TXT&lt;&gt;"",ASS_INSPECT_FREQ_TXT,"TBC") + "."</t>
        </is>
      </c>
      <c r="H22" s="156" t="inlineStr">
        <is>
          <t>ASS_DESCRIPTION_TXT, HVC_CAP_KW, HVC_REFRIGERANT_TXT, HVC_PWR_KW, HVC_EFF_RATIO_NR, ASS_MANUFACTURER_TXT, ASS_MODEL_NR_TXT</t>
        </is>
      </c>
      <c r="I22" s="156" t="inlineStr">
        <is>
          <t>HVC_BMS_CONTROL_TYPE_TXT, MNT_HGT_MM, HVC_VLT_V, ELC_PNL_PHS_COUNT_NR</t>
        </is>
      </c>
      <c r="J22" s="156" t="inlineStr">
        <is>
          <t>ASS_INST_DETAIL_NUM_TXT, ASS_COMMISSION_REQ_TXT, ASS_QA_CERT_TXT, ASS_INSPECT_FREQ_TXT</t>
        </is>
      </c>
      <c r="K22" s="189" t="inlineStr">
        <is>
          <t>HVC_EFF_RATIO_NR &lt; 3.0 → [!EFF &lt; 3.0 COP]</t>
        </is>
      </c>
      <c r="L22" s="190" t="inlineStr">
        <is>
          <t>BOQ-HVC-Equipment (sh.08) (sh.08)
Bill No.7: [CAP]kW [MODEL] [TYPE] AC</t>
        </is>
      </c>
      <c r="M22" s="156" t="inlineStr">
        <is>
          <t>BOQ-HVAC-Equipment</t>
        </is>
      </c>
      <c r="N22" s="186" t="inlineStr">
        <is>
          <t>IMMEDIATE</t>
        </is>
      </c>
    </row>
    <row r="23" ht="79.5" customHeight="1" s="123">
      <c r="A23" s="191" t="inlineStr">
        <is>
          <t>Ducts</t>
        </is>
      </c>
      <c r="B23" s="191" t="inlineStr">
        <is>
          <t>HVAC</t>
        </is>
      </c>
      <c r="C23" s="192" t="inlineStr">
        <is>
          <t>HVC_TAG_7_PARA_DUCT_TXT</t>
        </is>
      </c>
      <c r="D23" s="158" t="inlineStr">
        <is>
          <t>HVAC_Duct_Para.rfa</t>
        </is>
      </c>
      <c r="E23" s="193" t="inlineStr">
        <is>
          <t>if(HVC_DUCT_CLASS_TXT&lt;&gt;"",HVC_DUCT_CLASS_TXT,"") + "-class " + if(HVC_DCT_MAT_TXT&lt;&gt;"",HVC_DCT_MAT_TXT,"GI") + " duct " + if(HVC_DCT_WIDTH_MM&lt;&gt;"",HVC_DCT_WIDTH_MM+"x","") + if(HVC_DCT_HEIGHT_MM&lt;&gt;"",HVC_DCT_HEIGHT_MM+"mm ","") + if(HVC_DCT_DIA_MM&lt;&gt;"","DN"+HVC_DCT_DIA_MM+" ","") + ". Lining: " + if(HVC_DUCT_LINING_TXT&lt;&gt;"",HVC_DUCT_LINING_TXT,"none") + ". Flow: " + if(HVC_DCT_FLW_CFM&lt;&gt;"",HVC_DCT_FLW_CFM+"CFM","TBC") + "."</t>
        </is>
      </c>
      <c r="F23" s="193" t="inlineStr">
        <is>
          <t>"Velocity: " + if(HVC_VEL_MPS&lt;&gt;"",HVC_VEL_MPS+"m/s","TBC") + ". Insulation: " + if(HVC_DCT_INSULATION_TXT&lt;&gt;"",HVC_DCT_INSULATION_TXT,"TBC") + ". Leakage class: " + if(HVC_DUCT_LEAKAGE_CLASS_TXT&lt;&gt;"",HVC_DUCT_LEAKAGE_CLASS_TXT,"TBC") + "."</t>
        </is>
      </c>
      <c r="G23" s="193" t="inlineStr">
        <is>
          <t>"System: " + if(ASS_SYSTEM_TYPE_TXT&lt;&gt;"",ASS_SYSTEM_TYPE_TXT,"TBC") + ". Zone: " + if(ASS_ZONE_TXT&lt;&gt;"",ASS_ZONE_TXT,"TBC") + ". Hangers at: " + if(HVC_DCT_HANGER_SPACING_MM&lt;&gt;"",HVC_DCT_HANGER_SPACING_MM+"mm","TBC") + "."</t>
        </is>
      </c>
      <c r="H23" s="158" t="inlineStr">
        <is>
          <t>HVC_DUCT_CLASS_TXT, HVC_DCT_MAT_TXT, HVC_DCT_WIDTH_MM, HVC_DCT_HEIGHT_MM, HVC_DCT_DIA_MM, HVC_DUCT_LINING_TXT, HVC_DCT_FLW_CFM</t>
        </is>
      </c>
      <c r="I23" s="158" t="inlineStr">
        <is>
          <t>HVC_VEL_MPS, HVC_DCT_INSULATION_TXT, HVC_DUCT_LEAKAGE_CLASS_TXT</t>
        </is>
      </c>
      <c r="J23" s="158" t="inlineStr">
        <is>
          <t>ASS_SYSTEM_TYPE_TXT, ASS_ZONE_TXT, HVC_DCT_HANGER_SPACING_MM</t>
        </is>
      </c>
      <c r="K23" s="194" t="inlineStr">
        <is>
          <t>HVC_VEL_MPS &gt; 6.0 → [!VEL &gt; 6.0m/s]</t>
        </is>
      </c>
      <c r="L23" s="195" t="inlineStr">
        <is>
          <t>BOQ-HVAC-Ductwork (sh.08)
Bill No.7: [CLASS]-class [MAT] duct [W]x[H]</t>
        </is>
      </c>
      <c r="M23" s="158" t="inlineStr">
        <is>
          <t>BOQ-HVAC-Ductwork</t>
        </is>
      </c>
      <c r="N23" s="191" t="inlineStr">
        <is>
          <t>IMMEDIATE</t>
        </is>
      </c>
    </row>
    <row r="24" ht="79.5" customHeight="1" s="123">
      <c r="A24" s="186" t="inlineStr">
        <is>
          <t>Flex Ducts</t>
        </is>
      </c>
      <c r="B24" s="186" t="inlineStr">
        <is>
          <t>HVAC</t>
        </is>
      </c>
      <c r="C24" s="187" t="inlineStr">
        <is>
          <t>HVC_TAG_7_PARA_FLEXDUCT_TXT</t>
        </is>
      </c>
      <c r="D24" s="156" t="inlineStr">
        <is>
          <t>HVAC_FlxDuct_Para.rfa</t>
        </is>
      </c>
      <c r="E24" s="188" t="inlineStr">
        <is>
          <t>"Flexible " + if(HVC_DCT_MAT_TXT&lt;&gt;"",HVC_DCT_MAT_TXT,"") + " duct " + if(HVC_DCT_DIA_MM&lt;&gt;"","DN"+HVC_DCT_DIA_MM,"size TBC") + ", " + if(HVC_DUCT_LINING_TXT&lt;&gt;"",HVC_DUCT_LINING_TXT,"") + " lining. Velocity: " + if(HVC_VEL_MPS&lt;&gt;"",HVC_VEL_MPS+"m/s","TBC") + "."</t>
        </is>
      </c>
      <c r="F24" s="188" t="inlineStr">
        <is>
          <t>"Flow: " + if(HVC_DCT_FLW_CFM&lt;&gt;"",HVC_DCT_FLW_CFM+"CFM","TBC") + ". Connection: " + if(HVC_DCT_CONNECTION_TXT&lt;&gt;"",HVC_DCT_CONNECTION_TXT,"TBC") + "."</t>
        </is>
      </c>
      <c r="G24" s="188" t="inlineStr">
        <is>
          <t>"Standard: SMACNA max 1500mm. Install leak class: " + if(HVC_DUCT_CLASS_TXT&lt;&gt;"",HVC_DUCT_CLASS_TXT,"Class B") + ". Commissioning test date: " + if(ASS_QA_CERT_TXT&lt;&gt;"",ASS_QA_CERT_TXT,"TBC") + ". Lining: " + if(HVC_DCT_LINING_TXT&lt;&gt;"",HVC_DCT_LINING_TXT,"acoustic") + "."</t>
        </is>
      </c>
      <c r="H24" s="156" t="inlineStr">
        <is>
          <t>HVC_DCT_MAT_TXT, HVC_DCT_DIA_MM, HVC_DUCT_LINING_TXT, HVC_VEL_MPS</t>
        </is>
      </c>
      <c r="I24" s="156" t="inlineStr">
        <is>
          <t>HVC_DCT_FLW_CFM, HVC_DCT_CONNECTION_TXT</t>
        </is>
      </c>
      <c r="J24" s="156" t="inlineStr">
        <is>
          <t>HVC_DUCT_CLASS_TXT, ASS_QA_CERT_TXT, HVC_DCT_LINING_TXT</t>
        </is>
      </c>
      <c r="K24" s="189" t="inlineStr">
        <is>
          <t>HVC_VEL_MPS &gt; 4.0 → [!FLEX VEL &gt; 4.0m/s]
(stricter than rigid)</t>
        </is>
      </c>
      <c r="L24" s="190" t="inlineStr">
        <is>
          <t>BOQ-HVC-FlexDucts (sh.08) (sh.08)
Bill No.7: [DIA]mm flexible duct</t>
        </is>
      </c>
      <c r="M24" s="156" t="inlineStr">
        <is>
          <t>BOQ-HVAC-FlexDucts</t>
        </is>
      </c>
      <c r="N24" s="186" t="inlineStr">
        <is>
          <t>HIGH</t>
        </is>
      </c>
    </row>
    <row r="25" ht="79.5" customHeight="1" s="123">
      <c r="A25" s="191" t="inlineStr">
        <is>
          <t>Air Terminals</t>
        </is>
      </c>
      <c r="B25" s="191" t="inlineStr">
        <is>
          <t>HVAC</t>
        </is>
      </c>
      <c r="C25" s="192" t="inlineStr">
        <is>
          <t>HVC_TAG_7_PARA_AT_TXT</t>
        </is>
      </c>
      <c r="D25" s="158" t="inlineStr">
        <is>
          <t>HVAC_AT_Para.rfa</t>
        </is>
      </c>
      <c r="E25" s="193" t="inlineStr">
        <is>
          <t>if(HVC_TERMINAL_TYPE_TXT&lt;&gt;"",HVC_TERMINAL_TYPE_TXT,"Air terminal") + " " + if(HVC_DCT_TERMINAL_SZ_TXT&lt;&gt;"",HVC_DCT_TERMINAL_SZ_TXT,"(size TBC)") + ". Flow: " + if(HVC_DCT_FLW_CFM&lt;&gt;"",HVC_DCT_FLW_CFM+"CFM","TBC") + ". Sound: " + if(HVC_DCT_TERMINAL_SOUND_DB_NR&lt;&gt;"",HVC_DCT_TERMINAL_SOUND_DB_NR+"dB","TBC") + "."</t>
        </is>
      </c>
      <c r="F25" s="193" t="inlineStr">
        <is>
          <t>"Neck: " + if(HVC_DCT_NECK_SZ_TXT&lt;&gt;"",HVC_DCT_NECK_SZ_TXT,"TBC") + ". Pressure drop: " + if(HVC_TERMINAL_PD_PA&lt;&gt;"",HVC_TERMINAL_PD_PA+"Pa","TBC") + ". Damper: " + if(HVC_TERMINAL_DAMPER_BOOL&lt;&gt;"",HVC_TERMINAL_DAMPER_BOOL,"TBC") + "."</t>
        </is>
      </c>
      <c r="G25" s="193" t="inlineStr">
        <is>
          <t>"By " + if(ASS_MANUFACTURER_TXT&lt;&gt;"",ASS_MANUFACTURER_TXT,"TBC") + ". System: " + if(ASS_SYSTEM_TYPE_TXT&lt;&gt;"",ASS_SYSTEM_TYPE_TXT,"TBC") + "."</t>
        </is>
      </c>
      <c r="H25" s="158" t="inlineStr">
        <is>
          <t>HVC_TERMINAL_TYPE_TXT, HVC_DCT_TERMINAL_SZ_TXT, HVC_DCT_FLW_CFM, HVC_DCT_TERMINAL_SOUND_DB_NR</t>
        </is>
      </c>
      <c r="I25" s="158" t="inlineStr">
        <is>
          <t>HVC_DCT_NECK_SZ_TXT, HVC_TERMINAL_PD_PA, HVC_TERMINAL_DAMPER_BOOL</t>
        </is>
      </c>
      <c r="J25" s="158" t="inlineStr">
        <is>
          <t>ASS_MANUFACTURER_TXT, ASS_SYSTEM_TYPE_TXT</t>
        </is>
      </c>
      <c r="K25" s="194" t="inlineStr">
        <is>
          <t>HVC_DCT_TERMINAL_SOUND_DB_NR &gt; 35 → [!NOISE &gt; 35dB]</t>
        </is>
      </c>
      <c r="L25" s="195" t="inlineStr">
        <is>
          <t>BOQ-HVAC-AirTerminals (sh.08)
Bill No.7: [TYPE] terminal [SZ] [FLOW]m³/h</t>
        </is>
      </c>
      <c r="M25" s="158" t="inlineStr">
        <is>
          <t>BOQ-HVAC-AirTerminals</t>
        </is>
      </c>
      <c r="N25" s="191" t="inlineStr">
        <is>
          <t>IMMEDIATE</t>
        </is>
      </c>
    </row>
    <row r="26" ht="79.5" customHeight="1" s="123">
      <c r="A26" s="186" t="inlineStr">
        <is>
          <t>Duct Accessories</t>
        </is>
      </c>
      <c r="B26" s="186" t="inlineStr">
        <is>
          <t>HVAC</t>
        </is>
      </c>
      <c r="C26" s="187" t="inlineStr">
        <is>
          <t>HVC_TAG_7_PARA_DCTACC_TXT</t>
        </is>
      </c>
      <c r="D26" s="156" t="inlineStr">
        <is>
          <t>HVAC_DctAcc_Para.rfa</t>
        </is>
      </c>
      <c r="E26" s="188" t="inlineStr">
        <is>
          <t>"This " + if(ASS_DESCRIPTION_TXT&lt;&gt;"",ASS_DESCRIPTION_TXT,"duct accessory") + ", " + if(HVC_DCT_MAT_TXT&lt;&gt;"",HVC_DCT_MAT_TXT,"TBC") + " body. Control: " + if(HVC_CONTROL_TYPE_TXT&lt;&gt;"",HVC_CONTROL_TYPE_TXT,"none") + ". By " + if(ASS_MANUFACTURER_TXT&lt;&gt;"",ASS_MANUFACTURER_TXT,"TBC") + "."</t>
        </is>
      </c>
      <c r="F26" s="188" t="inlineStr">
        <is>
          <t>"Actuator: " + if(HVC_ACTUATOR_TXT&lt;&gt;"",HVC_ACTUATOR_TXT,"TBC") + ". FRR: " + if(FLS_PROT_FLS_RESISTANCE_RATING_MINUTES_MIN&lt;&gt;"",FLS_PROT_FLS_RESISTANCE_RATING_MINUTES_MIN+"min","N/A") + "."</t>
        </is>
      </c>
      <c r="G26" s="188" t="inlineStr">
        <is>
          <t>"Test cert: " + if(ASS_QA_CERT_TXT&lt;&gt;"",ASS_QA_CERT_TXT,"pending") + ". Standard: " + if(RGL_STD_TXT&lt;&gt;"",RGL_STD_TXT,"SMACNA/CIBSE") + ". Inspection interval: " + if(ASS_INSPECT_FREQ_TXT&lt;&gt;"",ASS_INSPECT_FREQ_TXT,"annual") + "."</t>
        </is>
      </c>
      <c r="H26" s="156" t="inlineStr">
        <is>
          <t>ASS_DESCRIPTION_TXT, HVC_DCT_MAT_TXT, HVC_CONTROL_TYPE_TXT, ASS_MANUFACTURER_TXT</t>
        </is>
      </c>
      <c r="I26" s="156" t="inlineStr">
        <is>
          <t>HVC_ACTUATOR_TXT, FLS_PROT_FLS_RESISTANCE_RATING_MINUTES_MIN</t>
        </is>
      </c>
      <c r="J26" s="156" t="inlineStr">
        <is>
          <t>ASS_QA_CERT_TXT, RGL_STD_TXT, ASS_INSPECT_FREQ_TXT</t>
        </is>
      </c>
      <c r="K26" s="189" t="inlineStr">
        <is>
          <t>FRR &lt; 30 on fire dampers → [!FRR &lt; 30]</t>
        </is>
      </c>
      <c r="L26" s="190" t="inlineStr">
        <is>
          <t>BOQ-HVC-DuctAcc (sh.08) (sh.08)
Bill No.7: [DESC] accessory</t>
        </is>
      </c>
      <c r="M26" s="156" t="inlineStr">
        <is>
          <t>BOQ-HVAC-DuctAcc</t>
        </is>
      </c>
      <c r="N26" s="186" t="inlineStr">
        <is>
          <t>HIGH</t>
        </is>
      </c>
    </row>
    <row r="27" ht="18" customHeight="1" s="123">
      <c r="A27" s="199" t="inlineStr">
        <is>
          <t>MEP — ELECTRICAL</t>
        </is>
      </c>
      <c r="B27" s="179" t="n"/>
      <c r="C27" s="179" t="n"/>
      <c r="D27" s="179" t="n"/>
      <c r="E27" s="179" t="n"/>
      <c r="F27" s="179" t="n"/>
      <c r="G27" s="179" t="n"/>
      <c r="H27" s="179" t="n"/>
      <c r="I27" s="179" t="n"/>
      <c r="J27" s="179" t="n"/>
      <c r="K27" s="179" t="n"/>
      <c r="L27" s="179" t="n"/>
      <c r="M27" s="179" t="n"/>
      <c r="N27" s="180" t="n"/>
    </row>
    <row r="28" ht="79.5" customHeight="1" s="123">
      <c r="A28" s="200" t="inlineStr">
        <is>
          <t>Elec. Equipment
(DB Panels)</t>
        </is>
      </c>
      <c r="B28" s="200" t="inlineStr">
        <is>
          <t>ELEC</t>
        </is>
      </c>
      <c r="C28" s="201" t="inlineStr">
        <is>
          <t>ELC_TAG_7_PARA_PANEL_TXT</t>
        </is>
      </c>
      <c r="D28" s="202" t="inlineStr">
        <is>
          <t>ELC_Panel_Para.rfa</t>
        </is>
      </c>
      <c r="E28" s="203" t="inlineStr">
        <is>
          <t>if(ELC_PNL_DESIGNATION_NAME_TXT&lt;&gt;"",ELC_PNL_DESIGNATION_NAME_TXT,"DB") + " distribution board. " + if(ELC_PNL_VLT_V&lt;&gt;"",ELC_PNL_VLT_V+"V","") + " " + if(ELC_PNL_PHS_COUNT_NR&lt;&gt;"",ELC_PNL_PHS_COUNT_NR+"-phase","") + ", " + if(ELC_PNL_NUM_OF_WAYS_NR&lt;&gt;"",ELC_PNL_NUM_OF_WAYS_NR+" ways","?W") + ". Main: " + if(ELC_PNL_MAIN_BRK_A&lt;&gt;"",ELC_PNL_MAIN_BRK_A+"A","TBC") + ". Fault: " + if(ELC_PNL_SHORT_CIRCUIT_KA&lt;&gt;"",ELC_PNL_SHORT_CIRCUIT_KA+"kA","TBC") + "."</t>
        </is>
      </c>
      <c r="F28" s="203" t="inlineStr">
        <is>
          <t>"Load: " + if(ELC_PNL_CONNECTED_LOAD_KW&lt;&gt;"",ELC_PNL_CONNECTED_LOAD_KW+"kW","TBC") + "/" + if(ELC_PNL_RATED_KW&lt;&gt;"",ELC_PNL_RATED_KW+"kW rated","TBC") + ". Spare ways: " + if(ELC_PNL_SPARE_WAYS_NR&lt;&gt;"",ELC_PNL_SPARE_WAYS_NR,"TBC") + ". IP rating: " + if(ELC_PNL_IP_RATING_TXT&lt;&gt;"",ELC_PNL_IP_RATING_TXT,"TBC") + ". Feeder cable: " + if(ELC_CBL_FEEDER_SZ_MM2&lt;&gt;"",ELC_CBL_FEEDER_SZ_MM2+"mm²","TBC") + "."</t>
        </is>
      </c>
      <c r="G28" s="203" t="inlineStr">
        <is>
          <t>"UMEME approval: " + if(RGL_UMEME_APPROVAL_TXT&lt;&gt;"",RGL_UMEME_APPROVAL_TXT,"pending") + ". KCCA: " + if(RGL_KCCA_APPROVAL_TXT&lt;&gt;"",RGL_KCCA_APPROVAL_TXT,"pending") + ". NEMA: " + if(RGL_NEMA_APPROVAL_TXT&lt;&gt;"",RGL_NEMA_APPROVAL_TXT,"N/A") + ". Test report: " + if(ASS_QA_TEST_REPORT_TXT&lt;&gt;"",ASS_QA_TEST_REPORT_TXT,"TBC") + "."</t>
        </is>
      </c>
      <c r="H28" s="202" t="inlineStr">
        <is>
          <t>ELC_PNL_DESIGNATION_NAME_TXT, ELC_PNL_VLT_V, ELC_PNL_PHS_COUNT_NR, ELC_PNL_NUM_OF_WAYS_NR, ELC_PNL_MAIN_BRK_A, ELC_PNL_SHORT_CIRCUIT_KA</t>
        </is>
      </c>
      <c r="I28" s="202" t="inlineStr">
        <is>
          <t>ELC_PNL_CONNECTED_LOAD_KW, ELC_PNL_RATED_KW, ELC_PNL_SPARE_WAYS_NR, ELC_PNL_IP_RATING_TXT, ELC_CBL_FEEDER_SZ_MM2</t>
        </is>
      </c>
      <c r="J28" s="202" t="inlineStr">
        <is>
          <t>RGL_UMEME_APPROVAL_TXT, RGL_KCCA_APPROVAL_TXT, RGL_NEMA_APPROVAL_TXT, ASS_QA_TEST_REPORT_TXT</t>
        </is>
      </c>
      <c r="K28" s="204" t="inlineStr">
        <is>
          <t>ELC_VLT_DROP_PCT &gt; 4.0 → [!VD &gt; 4%]
ELC_PNL_CONNECTED_LOAD &gt; 80% rated → [!OVERLOADED]
ELC_PNL_SC &lt; 6kA → [!SC &lt; 6kA]</t>
        </is>
      </c>
      <c r="L28" s="205" t="inlineStr">
        <is>
          <t>BOQ-ELC-DBPanels (sh.08)
Bill No.4: [DESIGN] DB [V][PH] [WAYS]W</t>
        </is>
      </c>
      <c r="M28" s="202" t="inlineStr">
        <is>
          <t>BOQ-ELC-DBPanels</t>
        </is>
      </c>
      <c r="N28" s="200" t="inlineStr">
        <is>
          <t>IMMEDIATE</t>
        </is>
      </c>
    </row>
    <row r="29" ht="79.5" customHeight="1" s="123">
      <c r="A29" s="186" t="inlineStr">
        <is>
          <t>Lighting Fixtures</t>
        </is>
      </c>
      <c r="B29" s="186" t="inlineStr">
        <is>
          <t>ELEC</t>
        </is>
      </c>
      <c r="C29" s="187" t="inlineStr">
        <is>
          <t>LTG_TAG_7_PARA_SPEC_TXT</t>
        </is>
      </c>
      <c r="D29" s="156" t="inlineStr">
        <is>
          <t>LTG_Fix_Para.rfa</t>
        </is>
      </c>
      <c r="E29" s="188" t="inlineStr">
        <is>
          <t>if(LTG_FIX_TYPE_CLASSIFICATION_TXT&lt;&gt;"",LTG_FIX_TYPE_CLASSIFICATION_TXT,"Luminaire") + " " + if(LTG_FIX_LMP_WATTAGE_W&lt;&gt;"",LTG_FIX_LMP_WATTAGE_W+"W","?W") + " LED, " + if(ASS_DESCRIPTION_TXT&lt;&gt;"",ASS_DESCRIPTION_TXT,"") + ". Mounting: " + if(LTG_FIX_MOUNTING_TXT&lt;&gt;"",LTG_FIX_MOUNTING_TXT,"TBC") + ". By " + if(ASS_MANUFACTURER_TXT&lt;&gt;"",ASS_MANUFACTURER_TXT,"TBC") + " (Type " + if(ASS_EQUIPMENT_TAG_TXT&lt;&gt;"",ASS_EQUIPMENT_TAG_TXT,"?") + ")."</t>
        </is>
      </c>
      <c r="F29" s="188" t="inlineStr">
        <is>
          <t>"Efficacy: " + if(LTG_EFFICACY_LM_W&lt;&gt;"",LTG_EFFICACY_LM_W+"lm/W","TBC") + ". CRI: " + if(LTG_CLR_CRI_NR&lt;&gt;"",LTG_CLR_CRI_NR,"TBC") + ". CCT: " + if(LTG_CLR_CCT_K_NR&lt;&gt;"",LTG_CLR_CCT_K_NR+"K","TBC") + ". IP: " + if(LTG_FIX_IP_RATING_TXT&lt;&gt;"",LTG_FIX_IP_RATING_TXT,"TBC") + ". Control: " + if(LTG_FIX_CTRL_INTERFACE_TXT&lt;&gt;"",LTG_FIX_CTRL_INTERFACE_TXT,"TBC") + "."</t>
        </is>
      </c>
      <c r="G29" s="188" t="inlineStr">
        <is>
          <t>"Emergency: " + if(LTG_FIX_EMERGENCY_BOOL&lt;&gt;"",LTG_FIX_EMERGENCY_BOOL,"N/A") + ". DALI: " + if(LTG_FIX_DALI_BOOL&lt;&gt;"",LTG_FIX_DALI_BOOL,"N/A") + ". Luminaire schedule ref: " + if(ASS_EQUIPMENT_TAG_TXT&lt;&gt;"",ASS_EQUIPMENT_TAG_TXT,"TBC") + ". ELC approved: " + if(RGL_UMEME_APPROVAL_TXT&lt;&gt;"",RGL_UMEME_APPROVAL_TXT,"pending") + "."</t>
        </is>
      </c>
      <c r="H29" s="156" t="inlineStr">
        <is>
          <t>LTG_FIX_TYPE_CLASSIFICATION_TXT, LTG_FIX_LMP_WATTAGE_W, ASS_DESCRIPTION_TXT, LTG_FIX_MOUNTING_TXT, ASS_MANUFACTURER_TXT, ASS_EQUIPMENT_TAG_TXT</t>
        </is>
      </c>
      <c r="I29" s="156" t="inlineStr">
        <is>
          <t>LTG_EFFICACY_LM_W, LTG_CLR_CRI_NR, LTG_CLR_CCT_K_NR, LTG_FIX_IP_RATING_TXT, LTG_FIX_CTRL_INTERFACE_TXT</t>
        </is>
      </c>
      <c r="J29" s="156" t="inlineStr">
        <is>
          <t>LTG_FIX_EMERGENCY_BOOL, LTG_FIX_DALI_BOOL, RGL_UMEME_APPROVAL_TXT</t>
        </is>
      </c>
      <c r="K29" s="189" t="inlineStr">
        <is>
          <t>ASS_DESIGN_LTG_LVL_LUX_NR &lt; 300 (room) → [!LUX &lt; 300]</t>
        </is>
      </c>
      <c r="L29" s="190" t="inlineStr">
        <is>
          <t>BOQ-ELC-Luminaires (sh.08)
Bill No.4: [TYPE] [W]W LED luminaire</t>
        </is>
      </c>
      <c r="M29" s="156" t="inlineStr">
        <is>
          <t>BOQ-ELC-Luminaires</t>
        </is>
      </c>
      <c r="N29" s="186" t="inlineStr">
        <is>
          <t>IMMEDIATE</t>
        </is>
      </c>
    </row>
    <row r="30" ht="79.5" customHeight="1" s="123">
      <c r="A30" s="191" t="inlineStr">
        <is>
          <t>Elec. Fixtures
(Points &amp; Sockets)</t>
        </is>
      </c>
      <c r="B30" s="191" t="inlineStr">
        <is>
          <t>ELEC</t>
        </is>
      </c>
      <c r="C30" s="192" t="inlineStr">
        <is>
          <t>ELC_TAG_7_PARA_CIRCUIT_TXT</t>
        </is>
      </c>
      <c r="D30" s="158" t="inlineStr">
        <is>
          <t>ELC_Fix_Para.rfa</t>
        </is>
      </c>
      <c r="E30" s="193" t="inlineStr">
        <is>
          <t>if(ASS_DESCRIPTION_TXT&lt;&gt;"",ASS_DESCRIPTION_TXT,"Electrical fixture") + ". Circuit: " + if(ELC_CKT_CBL_TYPE_TXT&lt;&gt;"",ELC_CKT_CBL_TYPE_TXT,"TBC") + " cable, " + if(ELC_CDT_SZ_MM&lt;&gt;"",ELC_CDT_SZ_MM+"mm","?mm") + " PVC conduit " + if(ELC_CDT_INSTALL_METHOD_TXT&lt;&gt;"",ELC_CDT_INSTALL_METHOD_TXT,"") + "."</t>
        </is>
      </c>
      <c r="F30" s="193" t="inlineStr">
        <is>
          <t>"VD: " + if(ELC_VLT_DROP_PCT&lt;&gt;"",ELC_VLT_DROP_PCT+"%","TBC") + ". Rating: " + if(ELC_CKT_BRK_RATING_A&lt;&gt;"",ELC_CKT_BRK_RATING_A+"A","TBC") + ". DB: " + if(ELC_PNL_DESIGNATION_NAME_TXT&lt;&gt;"",ELC_PNL_DESIGNATION_NAME_TXT,"TBC") + ". By " + if(ASS_MANUFACTURER_TXT&lt;&gt;"",ASS_MANUFACTURER_TXT,"TBC") + "."</t>
        </is>
      </c>
      <c r="G30" s="193" t="inlineStr">
        <is>
          <t>"Test cert: " + if(ASS_QA_CERT_TXT&lt;&gt;"",ASS_QA_CERT_TXT,"TBC") + ". UMEME: " + if(RGL_UMEME_APPROVAL_TXT&lt;&gt;"",RGL_UMEME_APPROVAL_TXT,"pending") + "."</t>
        </is>
      </c>
      <c r="H30" s="158" t="inlineStr">
        <is>
          <t>ASS_DESCRIPTION_TXT, ELC_CKT_CBL_TYPE_TXT, ELC_CDT_SZ_MM, ELC_CDT_INSTALL_METHOD_TXT</t>
        </is>
      </c>
      <c r="I30" s="158" t="inlineStr">
        <is>
          <t>ELC_VLT_DROP_PCT, ELC_CKT_BRK_RATING_A, ELC_PNL_DESIGNATION_NAME_TXT, ASS_MANUFACTURER_TXT</t>
        </is>
      </c>
      <c r="J30" s="158" t="inlineStr">
        <is>
          <t>ASS_QA_CERT_TXT, RGL_UMEME_APPROVAL_TXT</t>
        </is>
      </c>
      <c r="K30" s="194" t="inlineStr">
        <is>
          <t>ELC_VLT_DROP_PCT &gt; 4.0 → [!VD &gt; 4%]</t>
        </is>
      </c>
      <c r="L30" s="195" t="inlineStr">
        <is>
          <t>BOQ-ELC-Lighting-Points / BOQ-ELC-Socket-Points (sh.08) (sh.08)
Bill No.4: Lighting/socket/TV/FA/CCTV points</t>
        </is>
      </c>
      <c r="M30" s="158" t="inlineStr">
        <is>
          <t>BOQ-ELC-Points</t>
        </is>
      </c>
      <c r="N30" s="191" t="inlineStr">
        <is>
          <t>IMMEDIATE</t>
        </is>
      </c>
    </row>
    <row r="31" ht="79.5" customHeight="1" s="123">
      <c r="A31" s="200" t="inlineStr">
        <is>
          <t>Conduits</t>
        </is>
      </c>
      <c r="B31" s="200" t="inlineStr">
        <is>
          <t>ELEC</t>
        </is>
      </c>
      <c r="C31" s="201" t="inlineStr">
        <is>
          <t>ELC_TAG_7_PARA_CONDUIT_TXT</t>
        </is>
      </c>
      <c r="D31" s="202" t="inlineStr">
        <is>
          <t>ELC_Cdt_Para.rfa</t>
        </is>
      </c>
      <c r="E31" s="203" t="inlineStr">
        <is>
          <t>if(ELC_CDT_SZ_MM&lt;&gt;"",ELC_CDT_SZ_MM+"mm","?mm") + " " + if(ELC_CDT_MAT_TXT&lt;&gt;"",ELC_CDT_MAT_TXT,"PVC") + " conduit, " + if(ELC_CDT_INSTALL_METHOD_TXT&lt;&gt;"",ELC_CDT_INSTALL_METHOD_TXT,"") + " installation. Fill: " + if(ELC_CDT_CBL_FILL_PCT&lt;&gt;"",ELC_CDT_CBL_FILL_PCT+"%","TBC") + "."</t>
        </is>
      </c>
      <c r="F31" s="203" t="inlineStr">
        <is>
          <t>"Cable: " + if(ELC_CBL_TYPE_TXT&lt;&gt;"",ELC_CBL_TYPE_TXT,"TBC") + " " + if(ELC_CBL_CORES_NR&lt;&gt;"",ELC_CBL_CORES_NR+"c×","") + if(ELC_CBL_SZ_MM2&lt;&gt;"",ELC_CBL_SZ_MM2+"mm²","TBC") + ". Load current: " + if(ELC_CBL_LOAD_A&lt;&gt;"",ELC_CBL_LOAD_A+"A","TBC") + ". From: " + if(ELC_CBL_SOURCE_TXT&lt;&gt;"",ELC_CBL_SOURCE_TXT,"TBC") + " → " + if(ELC_CBL_DEST_TXT&lt;&gt;"",ELC_CBL_DEST_TXT,"TBC") + "."</t>
        </is>
      </c>
      <c r="G31" s="203" t="inlineStr">
        <is>
          <t>"As-installed cert: " + if(ASS_QA_CERT_TXT&lt;&gt;"",ASS_QA_CERT_TXT,"TBC") + ". RGL: " + if(RGL_STD_TXT&lt;&gt;"",RGL_STD_TXT,"IEC 60364") + "."</t>
        </is>
      </c>
      <c r="H31" s="202" t="inlineStr">
        <is>
          <t>ELC_CDT_SZ_MM, ELC_CDT_MAT_TXT, ELC_CDT_INSTALL_METHOD_TXT, ELC_CDT_CBL_FILL_PCT</t>
        </is>
      </c>
      <c r="I31" s="202" t="inlineStr">
        <is>
          <t>ELC_CBL_TYPE_TXT, ELC_CBL_CORES_NR, ELC_CBL_SZ_MM2, ELC_CBL_LOAD_A, ELC_CBL_SOURCE_TXT, ELC_CBL_DEST_TXT</t>
        </is>
      </c>
      <c r="J31" s="202" t="inlineStr">
        <is>
          <t>ASS_QA_CERT_TXT, RGL_STD_TXT</t>
        </is>
      </c>
      <c r="K31" s="204" t="inlineStr">
        <is>
          <t>ELC_CDT_CBL_FILL_PCT &gt; 40 → [!CONDUIT FILL &gt; 40%]</t>
        </is>
      </c>
      <c r="L31" s="205" t="inlineStr">
        <is>
          <t>BOQ-ELC-Conduits (sh.08)
Bill No.4: [SZ]mm [MAT] conduit</t>
        </is>
      </c>
      <c r="M31" s="202" t="inlineStr">
        <is>
          <t>BOQ-ELC-Conduits</t>
        </is>
      </c>
      <c r="N31" s="200" t="inlineStr">
        <is>
          <t>HIGH</t>
        </is>
      </c>
    </row>
    <row r="32" ht="79.5" customHeight="1" s="123">
      <c r="A32" s="186" t="inlineStr">
        <is>
          <t>Cable Trays</t>
        </is>
      </c>
      <c r="B32" s="186" t="inlineStr">
        <is>
          <t>ELEC</t>
        </is>
      </c>
      <c r="C32" s="187" t="inlineStr">
        <is>
          <t>ELC_TAG_7_PARA_TRAY_TXT</t>
        </is>
      </c>
      <c r="D32" s="156" t="inlineStr">
        <is>
          <t>ELC_CT_Para.rfa</t>
        </is>
      </c>
      <c r="E32" s="188" t="inlineStr">
        <is>
          <t>if(ELC_CTR_WIDTH_MM&lt;&gt;"",ELC_CTR_WIDTH_MM+"x","?x") + if(ELC_CTR_DEPTH_MM&lt;&gt;"",ELC_CTR_DEPTH_MM+"mm","?mm") + " " + if(ELC_CTR_MAT_TXT&lt;&gt;"",ELC_CTR_MAT_TXT,"steel") + " cable tray. Fill: " + if(ELC_CTR_FILL_PCT&lt;&gt;"",ELC_CTR_FILL_PCT+"%","TBC") + "."</t>
        </is>
      </c>
      <c r="F32" s="188" t="inlineStr">
        <is>
          <t>"Cable: " + if(ELC_CBL_TYPE_TXT&lt;&gt;"",ELC_CBL_TYPE_TXT,"TBC") + ". Load: " + if(ELC_CBL_LOAD_A&lt;&gt;"",ELC_CBL_LOAD_A+"A","TBC") + ". Support spacing: " + if(ELC_CTR_SUPPORT_SPACING_MM&lt;&gt;"",ELC_CTR_SUPPORT_SPACING_MM+"mm","TBC") + "."</t>
        </is>
      </c>
      <c r="G32" s="188" t="inlineStr">
        <is>
          <t>"Standard: IEC 61537. Cert: " + if(ASS_QA_CERT_TXT&lt;&gt;"",ASS_QA_CERT_TXT,"pending") + ". Earthing: " + if(ELC_EARTH_TXT&lt;&gt;"",ELC_EARTH_TXT,"continuous earth bond required") + ". Inspection: " + if(ASS_INSPECT_FREQ_TXT&lt;&gt;"",ASS_INSPECT_FREQ_TXT,"annual") + "."</t>
        </is>
      </c>
      <c r="H32" s="156" t="inlineStr">
        <is>
          <t>ELC_CTR_WIDTH_MM, ELC_CTR_DEPTH_MM, ELC_CTR_MAT_TXT, ELC_CTR_FILL_PCT</t>
        </is>
      </c>
      <c r="I32" s="156" t="inlineStr">
        <is>
          <t>ELC_CBL_TYPE_TXT, ELC_CBL_LOAD_A, ELC_CTR_SUPPORT_SPACING_MM</t>
        </is>
      </c>
      <c r="J32" s="156" t="inlineStr">
        <is>
          <t>ASS_QA_CERT_TXT, ELC_EARTH_TXT, ASS_INSPECT_FREQ_TXT</t>
        </is>
      </c>
      <c r="K32" s="189" t="inlineStr">
        <is>
          <t>ELC_CTR_FILL_PCT &gt; 45 → [!TRAY FILL &gt; 45%]</t>
        </is>
      </c>
      <c r="L32" s="190" t="inlineStr">
        <is>
          <t>BOQ-ELC-CableTrays (sh.08)
Bill No.4: Steel cable tray [W]x[D]mm</t>
        </is>
      </c>
      <c r="M32" s="156" t="inlineStr">
        <is>
          <t>BOQ-ELC-CableTrays</t>
        </is>
      </c>
      <c r="N32" s="186" t="inlineStr">
        <is>
          <t>HIGH</t>
        </is>
      </c>
    </row>
    <row r="33" ht="18" customHeight="1" s="123">
      <c r="A33" s="206" t="inlineStr">
        <is>
          <t>MEP — PLUMBING &amp; DRAINAGE</t>
        </is>
      </c>
      <c r="B33" s="179" t="n"/>
      <c r="C33" s="179" t="n"/>
      <c r="D33" s="179" t="n"/>
      <c r="E33" s="179" t="n"/>
      <c r="F33" s="179" t="n"/>
      <c r="G33" s="179" t="n"/>
      <c r="H33" s="179" t="n"/>
      <c r="I33" s="179" t="n"/>
      <c r="J33" s="179" t="n"/>
      <c r="K33" s="179" t="n"/>
      <c r="L33" s="179" t="n"/>
      <c r="M33" s="179" t="n"/>
      <c r="N33" s="180" t="n"/>
    </row>
    <row r="34" ht="79.5" customHeight="1" s="123">
      <c r="A34" s="207" t="inlineStr">
        <is>
          <t>Pipes</t>
        </is>
      </c>
      <c r="B34" s="207" t="inlineStr">
        <is>
          <t>PLM</t>
        </is>
      </c>
      <c r="C34" s="208" t="inlineStr">
        <is>
          <t>PLM_TAG_7_PARA_PIPE_TXT</t>
        </is>
      </c>
      <c r="D34" s="209" t="inlineStr">
        <is>
          <t>PLM_Pipe_Para.rfa</t>
        </is>
      </c>
      <c r="E34" s="210" t="inlineStr">
        <is>
          <t>if(PLM_PPE_SZ_MM&lt;&gt;"",PLM_PPE_SZ_MM+"mm","?mm") + " " + if(PLM_PPE_MAT_TXT&lt;&gt;"",PLM_PPE_MAT_TXT,"pipe") + " pipe " + if(PLM_PPE_PSR_RATING_BAR&lt;&gt;"","PN"+PLM_PPE_PSR_RATING_BAR,"") + " complete with fittings. System: " + if(ASS_SYSTEM_TYPE_TXT&lt;&gt;"",ASS_SYSTEM_TYPE_TXT,"TBC") + "."</t>
        </is>
      </c>
      <c r="F34" s="210" t="inlineStr">
        <is>
          <t>"Flow: " + if(PLM_PPE_FLW_LPS&lt;&gt;"",PLM_PPE_FLW_LPS+"L/s","TBC") + ". Velocity: " + if(PLM_VEL_MPS&lt;&gt;"",PLM_VEL_MPS+"m/s","TBC") + ". Pressure: " + if(PLM_PSR_KPA&lt;&gt;"",PLM_PSR_KPA+"kPa","TBC") + ". Insulation: " + if(PLM_PPE_INSULATION_TXT&lt;&gt;"",PLM_PPE_INSULATION_TXT,"none") + "."</t>
        </is>
      </c>
      <c r="G34" s="210" t="inlineStr">
        <is>
          <t>"NWSC approval: " + if(RGL_NWSC_APPROVAL_TXT&lt;&gt;"",RGL_NWSC_APPROVAL_TXT,"pending") + ". Test pressure: " + if(PLM_PPE_TEST_PSR_BAR&lt;&gt;"",PLM_PPE_TEST_PSR_BAR+"bar","TBC") + ". Tracer wire: " + if(PLM_PPE_TRACER_WIRE_BOOL&lt;&gt;"",PLM_PPE_TRACER_WIRE_BOOL,"N/A") + "."</t>
        </is>
      </c>
      <c r="H34" s="209" t="inlineStr">
        <is>
          <t>PLM_PPE_SZ_MM, PLM_PPE_MAT_TXT, PLM_PPE_PSR_RATING_BAR, ASS_SYSTEM_TYPE_TXT</t>
        </is>
      </c>
      <c r="I34" s="209" t="inlineStr">
        <is>
          <t>PLM_PPE_FLW_LPS, PLM_VEL_MPS, PLM_PSR_KPA, PLM_PPE_INSULATION_TXT</t>
        </is>
      </c>
      <c r="J34" s="209" t="inlineStr">
        <is>
          <t>RGL_NWSC_APPROVAL_TXT, PLM_PPE_TEST_PSR_BAR, PLM_PPE_TRACER_WIRE_BOOL</t>
        </is>
      </c>
      <c r="K34" s="211" t="inlineStr">
        <is>
          <t>PLM_PPE_FLW_LPS &gt; 2.0 → [!FLOW &gt; 2.0]
PLM_VEL_MPS &gt; 2.0 → [!VEL &gt; 2.0]
PLM_PSR_KPA &lt; 150 or &gt; 600 → [!PSR]</t>
        </is>
      </c>
      <c r="L34" s="212" t="inlineStr">
        <is>
          <t>BOQ-PLM-Pipework (sh.08)
Bill No.5: [SZ]mm [MAT] pipework</t>
        </is>
      </c>
      <c r="M34" s="209" t="inlineStr">
        <is>
          <t>BOQ-PLM-Pipework</t>
        </is>
      </c>
      <c r="N34" s="207" t="inlineStr">
        <is>
          <t>IMMEDIATE</t>
        </is>
      </c>
    </row>
    <row r="35" ht="79.5" customHeight="1" s="123">
      <c r="A35" s="186" t="inlineStr">
        <is>
          <t>Plumbing Fixtures</t>
        </is>
      </c>
      <c r="B35" s="186" t="inlineStr">
        <is>
          <t>PLM</t>
        </is>
      </c>
      <c r="C35" s="187" t="inlineStr">
        <is>
          <t>PLM_TAG_7_PARA_FIXTURE_TXT</t>
        </is>
      </c>
      <c r="D35" s="156" t="inlineStr">
        <is>
          <t>PLM_Fix_Para.rfa</t>
        </is>
      </c>
      <c r="E35" s="188" t="inlineStr">
        <is>
          <t>"This " + if(ASS_DESCRIPTION_TXT&lt;&gt;"",ASS_DESCRIPTION_TXT,"sanitary fixture") + ". " + if(PLM_PPE_MAT_TXT&lt;&gt;"",PLM_PPE_MAT_TXT,"") + " body, DN" + if(PLM_PPE_SZ_MM&lt;&gt;"",PLM_PPE_SZ_MM,"?") + ". Drain: " + if(PLM_DRN_BODY_MAT_TXT&lt;&gt;"",PLM_DRN_BODY_MAT_TXT,"TBC") + " with " + if(PLM_DRN_TRAP_TYPE_TXT&lt;&gt;"",PLM_DRN_TRAP_TYPE_TXT,"trap TBC") + ". By " + if(ASS_MANUFACTURER_TXT&lt;&gt;"",ASS_MANUFACTURER_TXT,"TBC") + " model " + if(ASS_MODEL_NR_TXT&lt;&gt;"",ASS_MODEL_NR_TXT,"TBC") + "."</t>
        </is>
      </c>
      <c r="F35" s="188" t="inlineStr">
        <is>
          <t>"Hot water: " + if(PLM_HOTWTR_TEMP_C&lt;&gt;"",PLM_HOTWTR_TEMP_C+"°C","TBC") + ". Recovery: " + if(PLM_HOTWTR_RECOVERY_L_H&lt;&gt;"",PLM_HOTWTR_RECOVERY_L_H+"L/h","TBC") + ". Flow: " + if(PLM_PPE_FLW_LPS&lt;&gt;"",PLM_PPE_FLW_LPS+"L/s","TBC") + ". Pressure: " + if(PLM_PSR_KPA&lt;&gt;"",PLM_PSR_KPA+"kPa","TBC") + "."</t>
        </is>
      </c>
      <c r="G35" s="188" t="inlineStr">
        <is>
          <t>"NWSC approval: " + if(RGL_NWSC_APPROVAL_TXT&lt;&gt;"",RGL_NWSC_APPROVAL_TXT,"pending") + ". Accessibility: " + if(RGL_ACCESS_CLEAR_WIDTH_MM&lt;&gt;"",RGL_ACCESS_CLEAR_WIDTH_MM+"mm clear","N/A") + ". Inspect interval: " + if(ASS_INSPECT_FREQ_TXT&lt;&gt;"",ASS_INSPECT_FREQ_TXT,"TBC") + ". Warranty: " + if(ASS_WARRANTY_TXT&lt;&gt;"",ASS_WARRANTY_TXT,"TBC") + "."</t>
        </is>
      </c>
      <c r="H35" s="156" t="inlineStr">
        <is>
          <t>ASS_DESCRIPTION_TXT, PLM_PPE_MAT_TXT, PLM_PPE_SZ_MM, PLM_DRN_BODY_MAT_TXT, PLM_DRN_TRAP_TYPE_TXT, ASS_MANUFACTURER_TXT, ASS_MODEL_NR_TXT</t>
        </is>
      </c>
      <c r="I35" s="156" t="inlineStr">
        <is>
          <t>PLM_HOTWTR_TEMP_C, PLM_HOTWTR_RECOVERY_L_H, PLM_PPE_FLW_LPS, PLM_PSR_KPA</t>
        </is>
      </c>
      <c r="J35" s="156" t="inlineStr">
        <is>
          <t>RGL_NWSC_APPROVAL_TXT, RGL_ACCESS_CLEAR_WIDTH_MM, ASS_INSPECT_FREQ_TXT, ASS_WARRANTY_TXT</t>
        </is>
      </c>
      <c r="K35" s="189" t="inlineStr">
        <is>
          <t>PLM_PPE_FLW_LPS &gt; 0.15 (fixture) → [!FLOW]
PLM_PSR_KPA out of range → [!PSR]</t>
        </is>
      </c>
      <c r="L35" s="190" t="inlineStr">
        <is>
          <t>BOQ-PLM-SanitaryWC / BOQ-PLM-SanitaryWHB (sh.08) (sh.08)
Bill No.5: WC/WHB/Urinal/Sink/Cleaner</t>
        </is>
      </c>
      <c r="M35" s="156" t="inlineStr">
        <is>
          <t>BOQ-PLM-Sanitary</t>
        </is>
      </c>
      <c r="N35" s="186" t="inlineStr">
        <is>
          <t>IMMEDIATE</t>
        </is>
      </c>
    </row>
    <row r="36" ht="79.5" customHeight="1" s="123">
      <c r="A36" s="207" t="inlineStr">
        <is>
          <t>Plumbing Equipment</t>
        </is>
      </c>
      <c r="B36" s="207" t="inlineStr">
        <is>
          <t>PLM</t>
        </is>
      </c>
      <c r="C36" s="208" t="inlineStr">
        <is>
          <t>PLM_TAG_7_PARA_EQUIPMENT_TXT</t>
        </is>
      </c>
      <c r="D36" s="209" t="inlineStr">
        <is>
          <t>PLM_Eqp_Para.rfa</t>
        </is>
      </c>
      <c r="E36" s="210" t="inlineStr">
        <is>
          <t>"This " + if(ASS_DESCRIPTION_TXT&lt;&gt;"",ASS_DESCRIPTION_TXT,"plumbing equipment") + ", " + if(PLM_CAP_CU_M&lt;&gt;"",PLM_CAP_CU_M+"m³","?m³") + " capacity, " + if(PLM_PWR_KW&lt;&gt;"",PLM_PWR_KW+"kW","?kW") + ", " + if(PLM_HED_M&lt;&gt;"",PLM_HED_M+"m head","?m head") + ". By " + if(ASS_MANUFACTURER_TXT&lt;&gt;"",ASS_MANUFACTURER_TXT,"TBC") + " model " + if(ASS_MODEL_NR_TXT&lt;&gt;"",ASS_MODEL_NR_TXT,"TBC") + "."</t>
        </is>
      </c>
      <c r="F36" s="210" t="inlineStr">
        <is>
          <t>"Fuel: " + if(PLM_HOTWTR_FUEL_TXT&lt;&gt;"",PLM_HOTWTR_FUEL_TXT,"TBC") + ". Control: " + if(HVC_CONTROL_TYPE_TXT&lt;&gt;"",HVC_CONTROL_TYPE_TXT,"TBC") + ". Power: " + if(ELC_PNL_VLT_V&lt;&gt;"",ELC_PNL_VLT_V+"V","TBC") + "."</t>
        </is>
      </c>
      <c r="G36" s="210" t="inlineStr">
        <is>
          <t>"NWSC approval: " + if(RGL_NWSC_APPROVAL_TXT&lt;&gt;"",RGL_NWSC_APPROVAL_TXT,"pending") + ". Inspect freq: " + if(ASS_INSPECT_FREQ_TXT&lt;&gt;"",ASS_INSPECT_FREQ_TXT,"TBC") + ". Warranty: " + if(ASS_WARRANTY_TXT&lt;&gt;"",ASS_WARRANTY_TXT,"TBC") + "."</t>
        </is>
      </c>
      <c r="H36" s="209" t="inlineStr">
        <is>
          <t>ASS_DESCRIPTION_TXT, PLM_CAP_CU_M, PLM_PWR_KW, PLM_HED_M, ASS_MANUFACTURER_TXT, ASS_MODEL_NR_TXT</t>
        </is>
      </c>
      <c r="I36" s="209" t="inlineStr">
        <is>
          <t>PLM_HOTWTR_FUEL_TXT, HVC_CONTROL_TYPE_TXT, ELC_PNL_VLT_V</t>
        </is>
      </c>
      <c r="J36" s="209" t="inlineStr">
        <is>
          <t>RGL_NWSC_APPROVAL_TXT, ASS_INSPECT_FREQ_TXT, ASS_WARRANTY_TXT</t>
        </is>
      </c>
      <c r="K36" s="211" t="inlineStr">
        <is>
          <t>PLM_PWR_KW, PLM_HED_M — no threshold</t>
        </is>
      </c>
      <c r="L36" s="212" t="inlineStr">
        <is>
          <t>BOQ-PLM-WaterHeater (sh.08) (sh.08)
Bill No.5: [DESC] [CAP]m³ pump/tank/heater</t>
        </is>
      </c>
      <c r="M36" s="209" t="inlineStr">
        <is>
          <t>BOQ-PLM-Equipment</t>
        </is>
      </c>
      <c r="N36" s="207" t="inlineStr">
        <is>
          <t>IMMEDIATE</t>
        </is>
      </c>
    </row>
    <row r="37" ht="79.5" customHeight="1" s="123">
      <c r="A37" s="186" t="inlineStr">
        <is>
          <t>Pipe Accessories</t>
        </is>
      </c>
      <c r="B37" s="186" t="inlineStr">
        <is>
          <t>PLM</t>
        </is>
      </c>
      <c r="C37" s="187" t="inlineStr">
        <is>
          <t>PLM_TAG_7_PARA_PIPEACC_TXT</t>
        </is>
      </c>
      <c r="D37" s="156" t="inlineStr">
        <is>
          <t>PLM_Acc_Para.rfa</t>
        </is>
      </c>
      <c r="E37" s="188" t="inlineStr">
        <is>
          <t>"This " + if(ASS_DESCRIPTION_TXT&lt;&gt;"",ASS_DESCRIPTION_TXT,"pipe accessory") + ", " + if(PLM_VLV_BODY_MAT_TXT&lt;&gt;"",PLM_VLV_BODY_MAT_TXT,"") + " body, DN" + if(PLM_VLV_SZ_NR&lt;&gt;"",PLM_VLV_SZ_NR,"?") + ", Cv " + if(PLM_VLV_CV_NR&lt;&gt;"",PLM_VLV_CV_NR,"TBC") + ", PN" + if(PLM_PSR_KPA&lt;&gt;"",PLM_PSR_KPA,"?") + "bar."</t>
        </is>
      </c>
      <c r="F37" s="188" t="inlineStr">
        <is>
          <t>"Type: " + if(PLM_VLV_TYPE_TXT&lt;&gt;"",PLM_VLV_TYPE_TXT,"TBC") + ". Actuator: " + if(PLM_VLV_ACTUATOR_TXT&lt;&gt;"",PLM_VLV_ACTUATOR_TXT,"manual") + ". End connection: " + if(PLM_VLV_END_CONN_TXT&lt;&gt;"",PLM_VLV_END_CONN_TXT,"TBC") + "."</t>
        </is>
      </c>
      <c r="G37" s="188" t="inlineStr">
        <is>
          <t>"Standard: " + if(RGL_STD_TXT&lt;&gt;"",RGL_STD_TXT,"BS EN 806") + ". Cert: " + if(ASS_QA_CERT_TXT&lt;&gt;"",ASS_QA_CERT_TXT,"WRAS approved") + ". Service life: " + if(ASS_WARRANTY_TXT&lt;&gt;"",ASS_WARRANTY_TXT,"TBC") + ". Inspect interval: " + if(ASS_INSPECT_FREQ_TXT&lt;&gt;"",ASS_INSPECT_FREQ_TXT,"annual") + "."</t>
        </is>
      </c>
      <c r="H37" s="156" t="inlineStr">
        <is>
          <t>ASS_DESCRIPTION_TXT, PLM_VLV_BODY_MAT_TXT, PLM_VLV_SZ_NR, PLM_VLV_CV_NR, PLM_PSR_KPA</t>
        </is>
      </c>
      <c r="I37" s="156" t="inlineStr">
        <is>
          <t>PLM_VLV_TYPE_TXT, PLM_VLV_ACTUATOR_TXT, PLM_VLV_END_CONN_TXT</t>
        </is>
      </c>
      <c r="J37" s="156" t="inlineStr">
        <is>
          <t>RGL_STD_TXT, ASS_QA_CERT_TXT, ASS_WARRANTY_TXT, ASS_INSPECT_FREQ_TXT</t>
        </is>
      </c>
      <c r="K37" s="189" t="inlineStr">
        <is>
          <t>PLM_PSR_KPA out of range → [!PSR]</t>
        </is>
      </c>
      <c r="L37" s="190" t="inlineStr">
        <is>
          <t>BOQ-PLM-Valves (sh.08)
Bill No.5: [SZ]mm [TYPE] valve</t>
        </is>
      </c>
      <c r="M37" s="156" t="inlineStr">
        <is>
          <t>BOQ-PLM-Valves</t>
        </is>
      </c>
      <c r="N37" s="186" t="inlineStr">
        <is>
          <t>HIGH</t>
        </is>
      </c>
    </row>
    <row r="38" ht="18" customHeight="1" s="123">
      <c r="A38" s="213" t="inlineStr">
        <is>
          <t>MEP — FIRE LIFE SAFETY</t>
        </is>
      </c>
      <c r="B38" s="179" t="n"/>
      <c r="C38" s="179" t="n"/>
      <c r="D38" s="179" t="n"/>
      <c r="E38" s="179" t="n"/>
      <c r="F38" s="179" t="n"/>
      <c r="G38" s="179" t="n"/>
      <c r="H38" s="179" t="n"/>
      <c r="I38" s="179" t="n"/>
      <c r="J38" s="179" t="n"/>
      <c r="K38" s="179" t="n"/>
      <c r="L38" s="179" t="n"/>
      <c r="M38" s="179" t="n"/>
      <c r="N38" s="180" t="n"/>
    </row>
    <row r="39" ht="79.5" customHeight="1" s="123">
      <c r="A39" s="214" t="inlineStr">
        <is>
          <t>Fire Alarm Devices</t>
        </is>
      </c>
      <c r="B39" s="214" t="inlineStr">
        <is>
          <t>FLS</t>
        </is>
      </c>
      <c r="C39" s="215" t="inlineStr">
        <is>
          <t>FLS_TAG_7_PARA_FA_TXT</t>
        </is>
      </c>
      <c r="D39" s="216" t="inlineStr">
        <is>
          <t>FLS_FA_Para.rfa</t>
        </is>
      </c>
      <c r="E39" s="217" t="inlineStr">
        <is>
          <t>if(FLS_SFTY_DEV_TYPE_TXT&lt;&gt;"",FLS_SFTY_DEV_TYPE_TXT,"Fire alarm device") + " point, " + if(ELC_CDT_SZ_MM&lt;&gt;"",ELC_CDT_SZ_MM+"mm","?mm") + " heavy gauge PVC " + if(ELC_CDT_INSTALL_METHOD_TXT&lt;&gt;"",ELC_CDT_INSTALL_METHOD_TXT,"") + " conduit complete with all accessories."</t>
        </is>
      </c>
      <c r="F39" s="217" t="inlineStr">
        <is>
          <t>"Coverage: " + if(FLS_SFTY_COVERAGE_AREA_SQ_M&lt;&gt;"",FLS_SFTY_COVERAGE_AREA_SQ_M+"m²","TBC") + ". Zone: " + if(FLS_SFTY_ZONE_NR&lt;&gt;"",FLS_SFTY_ZONE_NR,"TBC") + ". Loop: " + if(FLS_SFTY_LOOP_NR&lt;&gt;"",FLS_SFTY_LOOP_NR,"TBC") + ". Panel: " + if(ELC_PNL_DESIGNATION_NAME_TXT&lt;&gt;"",ELC_PNL_DESIGNATION_NAME_TXT,"TBC") + "."</t>
        </is>
      </c>
      <c r="G39" s="217" t="inlineStr">
        <is>
          <t>"Standard: BS 5839. Approval: " + if(RGL_KCCA_APPROVAL_TXT&lt;&gt;"",RGL_KCCA_APPROVAL_TXT,"pending") + ". Commissioning cert: " + if(ASS_QA_CERT_TXT&lt;&gt;"",ASS_QA_CERT_TXT,"TBC") + "."</t>
        </is>
      </c>
      <c r="H39" s="216" t="inlineStr">
        <is>
          <t>FLS_SFTY_DEV_TYPE_TXT, ELC_CDT_SZ_MM, ELC_CDT_INSTALL_METHOD_TXT</t>
        </is>
      </c>
      <c r="I39" s="216" t="inlineStr">
        <is>
          <t>FLS_SFTY_COVERAGE_AREA_SQ_M, FLS_SFTY_ZONE_NR, FLS_SFTY_LOOP_NR, ELC_PNL_DESIGNATION_NAME_TXT</t>
        </is>
      </c>
      <c r="J39" s="216" t="inlineStr">
        <is>
          <t>RGL_KCCA_APPROVAL_TXT, ASS_QA_CERT_TXT</t>
        </is>
      </c>
      <c r="K39" s="218" t="inlineStr">
        <is>
          <t>FLS_SFTY_COVERAGE_AREA_SQ_M &gt; 21 → [!COVERAGE &gt; 21m²]</t>
        </is>
      </c>
      <c r="L39" s="219" t="inlineStr">
        <is>
          <t>BOQ-ELC-FireAlarm (sh.08)
Bill No.4: FA points (detectors/MCP/sounders)</t>
        </is>
      </c>
      <c r="M39" s="216" t="inlineStr">
        <is>
          <t>BOQ-ELC-FireAlarm</t>
        </is>
      </c>
      <c r="N39" s="214" t="inlineStr">
        <is>
          <t>IMMEDIATE</t>
        </is>
      </c>
    </row>
    <row r="40" ht="79.5" customHeight="1" s="123">
      <c r="A40" s="214" t="inlineStr">
        <is>
          <t>Sprinklers</t>
        </is>
      </c>
      <c r="B40" s="214" t="inlineStr">
        <is>
          <t>FLS</t>
        </is>
      </c>
      <c r="C40" s="215" t="inlineStr">
        <is>
          <t>FLS_TAG_7_PARA_SPR_TXT</t>
        </is>
      </c>
      <c r="D40" s="216" t="inlineStr">
        <is>
          <t>FLS_Spr_Para.rfa</t>
        </is>
      </c>
      <c r="E40" s="217" t="inlineStr">
        <is>
          <t>"Sprinkler head " + if(FLS_SFTY_TEMP_RATING_C&lt;&gt;"",FLS_SFTY_TEMP_RATING_C+"°C","?°C") + " resistant. Flow: " + if(FLS_SFTY_FLW_RATE_LPM_NR&lt;&gt;"",FLS_SFTY_FLW_RATE_LPM_NR+"L/min","TBC") + ". Coverage: " + if(FLS_SFTY_COVERAGE_AREA_SQ_M&lt;&gt;"",FLS_SFTY_COVERAGE_AREA_SQ_M+"m²","TBC") + "."</t>
        </is>
      </c>
      <c r="F40" s="217" t="inlineStr">
        <is>
          <t>"Type: " + if(FLS_SFTY_DEV_TYPE_TXT&lt;&gt;"",FLS_SFTY_DEV_TYPE_TXT,"TBC") + ". K-factor: " + if(FLS_SFTY_K_FACTOR_NR&lt;&gt;"",FLS_SFTY_K_FACTOR_NR,"TBC") + ". RTI: " + if(FLS_SFTY_RTI_TXT&lt;&gt;"",FLS_SFTY_RTI_TXT,"TBC") + ". Zone: " + if(FLS_SFTY_ZONE_NR&lt;&gt;"",FLS_SFTY_ZONE_NR,"TBC") + "."</t>
        </is>
      </c>
      <c r="G40" s="217" t="inlineStr">
        <is>
          <t>"Standard: BS EN 12845 / NFPA 13. Hazard class: " + if(FLS_SFTY_HAZARD_CLASS_TXT&lt;&gt;"",FLS_SFTY_HAZARD_CLASS_TXT,"TBC") + ". Commissioning: " + if(ASS_QA_CERT_TXT&lt;&gt;"",ASS_QA_CERT_TXT,"TBC") + "."</t>
        </is>
      </c>
      <c r="H40" s="216" t="inlineStr">
        <is>
          <t>FLS_SFTY_TEMP_RATING_C, FLS_SFTY_FLW_RATE_LPM_NR, FLS_SFTY_COVERAGE_AREA_SQ_M</t>
        </is>
      </c>
      <c r="I40" s="216" t="inlineStr">
        <is>
          <t>FLS_SFTY_DEV_TYPE_TXT, FLS_SFTY_K_FACTOR_NR, FLS_SFTY_RTI_TXT, FLS_SFTY_ZONE_NR</t>
        </is>
      </c>
      <c r="J40" s="216" t="inlineStr">
        <is>
          <t>FLS_SFTY_HAZARD_CLASS_TXT, ASS_QA_CERT_TXT</t>
        </is>
      </c>
      <c r="K40" s="218" t="inlineStr">
        <is>
          <t>TEMP &lt; 57 or &gt; 79 → [!TEMP OUT OF RANGE]
COVERAGE &gt; 21 → [!COVERAGE &gt; 21m²]</t>
        </is>
      </c>
      <c r="L40" s="219" t="inlineStr">
        <is>
          <t>BOQ-FLS-Sprinklers (sh.08) (sh.08)
Bill No.6: Sprinkler heads [TEMP]°C</t>
        </is>
      </c>
      <c r="M40" s="216" t="inlineStr">
        <is>
          <t>BOQ-FLS-Sprinklers</t>
        </is>
      </c>
      <c r="N40" s="214" t="inlineStr">
        <is>
          <t>IMMEDIATE</t>
        </is>
      </c>
    </row>
    <row r="41" ht="18" customHeight="1" s="123">
      <c r="A41" s="196" t="inlineStr">
        <is>
          <t>ICT, SECURITY &amp; SPECIALTY</t>
        </is>
      </c>
      <c r="B41" s="179" t="n"/>
      <c r="C41" s="179" t="n"/>
      <c r="D41" s="179" t="n"/>
      <c r="E41" s="179" t="n"/>
      <c r="F41" s="179" t="n"/>
      <c r="G41" s="179" t="n"/>
      <c r="H41" s="179" t="n"/>
      <c r="I41" s="179" t="n"/>
      <c r="J41" s="179" t="n"/>
      <c r="K41" s="179" t="n"/>
      <c r="L41" s="179" t="n"/>
      <c r="M41" s="179" t="n"/>
      <c r="N41" s="180" t="n"/>
    </row>
    <row r="42" ht="79.5" customHeight="1" s="123">
      <c r="A42" s="200" t="inlineStr">
        <is>
          <t>Communication Devices
(BMS)</t>
        </is>
      </c>
      <c r="B42" s="200" t="inlineStr">
        <is>
          <t>ELEC/ICT</t>
        </is>
      </c>
      <c r="C42" s="201" t="inlineStr">
        <is>
          <t>COM_TAG_7_PARA_BMS_TXT</t>
        </is>
      </c>
      <c r="D42" s="202" t="inlineStr">
        <is>
          <t>COM_Para.rfa</t>
        </is>
      </c>
      <c r="E42" s="203" t="inlineStr">
        <is>
          <t>"This " + if(COM_C_DEV_TYPE_TXT&lt;&gt;"",COM_C_DEV_TYPE_TXT,"BMS device") + ", network " + if(COM_C_NETWORK_ADDRESS_TXT&lt;&gt;"",COM_C_NETWORK_ADDRESS_TXT,"TBC") + ", BACnet instance " + if(COM_C_DEV_BACNET_INSTANCE_INT&lt;&gt;"",COM_C_DEV_BACNET_INSTANCE_INT,"?") + ". Controller: " + if(COM_C_DEV_CONTROLLER_NAME_TXT&lt;&gt;"",COM_C_DEV_CONTROLLER_NAME_TXT,"TBC") + "."</t>
        </is>
      </c>
      <c r="F42" s="203" t="inlineStr">
        <is>
          <t>"Protocol: " + if(COM_C_PROTOCOL_TXT&lt;&gt;"",COM_C_PROTOCOL_TXT,"BACnet/IP") + ". Range: " + if(COM_C_MEAS_RANGE_TXT&lt;&gt;"",COM_C_MEAS_RANGE_TXT,"TBC") + ". Power: " + if(ELC_PNL_VLT_V&lt;&gt;"",ELC_PNL_VLT_V+"V","TBC") + ". Cable: " + if(ELC_CBL_TYPE_TXT&lt;&gt;"",ELC_CBL_TYPE_TXT,"TBC") + "."</t>
        </is>
      </c>
      <c r="G42" s="203" t="inlineStr">
        <is>
          <t>"BACnet cert: " + if(ASS_QA_CERT_TXT&lt;&gt;"",ASS_QA_CERT_TXT,"pending") + ". Controller map: " + if(ASS_INST_DETAIL_NUM_TXT&lt;&gt;"",ASS_INST_DETAIL_NUM_TXT,"TBC") + ". Inspect freq: " + if(ASS_INSPECT_FREQ_TXT&lt;&gt;"",ASS_INSPECT_FREQ_TXT,"TBC") + "."</t>
        </is>
      </c>
      <c r="H42" s="202" t="inlineStr">
        <is>
          <t>COM_C_DEV_TYPE_TXT, COM_C_NETWORK_ADDRESS_TXT, COM_C_DEV_BACNET_INSTANCE_INT, COM_C_DEV_CONTROLLER_NAME_TXT</t>
        </is>
      </c>
      <c r="I42" s="202" t="inlineStr">
        <is>
          <t>COM_C_PROTOCOL_TXT, COM_C_MEAS_RANGE_TXT, ELC_PNL_VLT_V, ELC_CBL_TYPE_TXT</t>
        </is>
      </c>
      <c r="J42" s="202" t="inlineStr">
        <is>
          <t>ASS_QA_CERT_TXT, ASS_INST_DETAIL_NUM_TXT, ASS_INSPECT_FREQ_TXT</t>
        </is>
      </c>
      <c r="K42" s="220" t="inlineStr">
        <is>
          <t>COM_C_DEV_BACNET_INSTANCE_INT duplicate → [!BACNET_ID CONFLICT]
if(COM_C_MEAS_RANGE_TXT="","[!RANGE NOT SET]","")</t>
        </is>
      </c>
      <c r="L42" s="205" t="inlineStr">
        <is>
          <t>BOQ-ICT-BMS (sh.08)
Bill No.9: [TYPE] BMS controller</t>
        </is>
      </c>
      <c r="M42" s="202" t="inlineStr">
        <is>
          <t>BOQ-ICT-BMS</t>
        </is>
      </c>
      <c r="N42" s="200" t="inlineStr">
        <is>
          <t>HIGH</t>
        </is>
      </c>
    </row>
    <row r="43" ht="79.5" customHeight="1" s="123">
      <c r="A43" s="186" t="inlineStr">
        <is>
          <t>Data / Telephone Devices</t>
        </is>
      </c>
      <c r="B43" s="186" t="inlineStr">
        <is>
          <t>ELEC/ICT</t>
        </is>
      </c>
      <c r="C43" s="187" t="inlineStr">
        <is>
          <t>ICT_TAG_7_PARA_DATA_TXT</t>
        </is>
      </c>
      <c r="D43" s="156" t="inlineStr">
        <is>
          <t>ICT_Para.rfa</t>
        </is>
      </c>
      <c r="E43" s="188" t="inlineStr">
        <is>
          <t>if(ICT_OUTLET_TYPE_TXT&lt;&gt;"",ICT_OUTLET_TYPE_TXT,"Data") + " outlet, port " + if(ICT_PORT_NR&lt;&gt;"",ICT_PORT_NR,"?") + ", patch panel " + if(ICT_PATCH_PANEL_TXT&lt;&gt;"",ICT_PATCH_PANEL_TXT,"TBC") + ". Type: " + if(COM_C_DEV_TYPE_TXT&lt;&gt;"",COM_C_DEV_TYPE_TXT,"TBC") + "."</t>
        </is>
      </c>
      <c r="F43" s="188" t="inlineStr">
        <is>
          <t>"Cable: " + if(ELC_CBL_SZ_MM2&lt;&gt;"",ELC_CBL_SZ_MM2+"mm² Cat","TBC Cat") + if(ICT_CAT_RATING_TXT&lt;&gt;"",ICT_CAT_RATING_TXT,"?") + ". Conduit: " + if(ELC_CDT_SZ_MM&lt;&gt;"",ELC_CDT_SZ_MM+"mm PVC","TBC") + "."</t>
        </is>
      </c>
      <c r="G43" s="188" t="inlineStr">
        <is>
          <t>"Tested to: TIA-568-C.2 Cat " + if(ICT_CAT_RATING_TXT&lt;&gt;"",ICT_CAT_RATING_TXT,"6") + ". Test cert: " + if(ASS_QA_CERT_TXT&lt;&gt;"",ASS_QA_CERT_TXT,"pending") + ". Standard: TIA/EIA-568."</t>
        </is>
      </c>
      <c r="H43" s="156" t="inlineStr">
        <is>
          <t>ICT_OUTLET_TYPE_TXT, ICT_PORT_NR, ICT_PATCH_PANEL_TXT, COM_C_DEV_TYPE_TXT</t>
        </is>
      </c>
      <c r="I43" s="156" t="inlineStr">
        <is>
          <t>ELC_CBL_SZ_MM2, ICT_CAT_RATING_TXT, ELC_CDT_SZ_MM</t>
        </is>
      </c>
      <c r="J43" s="156" t="inlineStr">
        <is>
          <t>ICT_CAT_RATING_TXT, ASS_QA_CERT_TXT</t>
        </is>
      </c>
      <c r="K43" s="197" t="inlineStr">
        <is>
          <t>ICT_CAT_RATING_TXT &lt; 6 → [!CAT &lt; 6]
ELC_CDT_CBL_FILL_PCT &gt; 40 → [!FILL &gt; 40%]</t>
        </is>
      </c>
      <c r="L43" s="190" t="inlineStr">
        <is>
          <t>BOQ-ICT-DataOutlets (sh.08)
Bill No.9: Cat[X] data/telephone outlet</t>
        </is>
      </c>
      <c r="M43" s="156" t="inlineStr">
        <is>
          <t>BOQ-ICT-DataOutlets</t>
        </is>
      </c>
      <c r="N43" s="186" t="inlineStr">
        <is>
          <t>MEDIUM</t>
        </is>
      </c>
    </row>
    <row r="44" ht="79.5" customHeight="1" s="123">
      <c r="A44" s="186" t="inlineStr">
        <is>
          <t>Security Devices</t>
        </is>
      </c>
      <c r="B44" s="186" t="inlineStr">
        <is>
          <t>ELEC/ICT</t>
        </is>
      </c>
      <c r="C44" s="187" t="inlineStr">
        <is>
          <t>SEC_TAG_7_PARA_SECURITY_TXT</t>
        </is>
      </c>
      <c r="D44" s="156" t="inlineStr">
        <is>
          <t>SEC_Para.rfa</t>
        </is>
      </c>
      <c r="E44" s="188" t="inlineStr">
        <is>
          <t>if(ASS_DESCRIPTION_TXT&lt;&gt;"",ASS_DESCRIPTION_TXT,"Security device") + " zone " + if(SEC_DEV_ZONE_TXT&lt;&gt;"",SEC_DEV_ZONE_TXT,"?") + ". Cable: " + if(SEC_CBL_NR&lt;&gt;"",SEC_CBL_NR,"TBC") + ". Type: " + if(COM_C_DEV_TYPE_TXT&lt;&gt;"",COM_C_DEV_TYPE_TXT,"TBC") + "."</t>
        </is>
      </c>
      <c r="F44" s="188" t="inlineStr">
        <is>
          <t>"Connection: " + if(ELC_CDT_SZ_MM&lt;&gt;"",ELC_CDT_SZ_MM+"mm PVC conduit","TBC") + ". Power: " + if(ELC_PNL_VLT_V&lt;&gt;"",ELC_PNL_VLT_V+"V","TBC") + "."</t>
        </is>
      </c>
      <c r="G44" s="188" t="inlineStr">
        <is>
          <t>"Access policy: " + if(ASS_DESCRIPTION_TXT&lt;&gt;"",ASS_DESCRIPTION_TXT,"TBC") + ". Cert: " + if(ASS_QA_CERT_TXT&lt;&gt;"",ASS_QA_CERT_TXT,"TBC") + "."</t>
        </is>
      </c>
      <c r="H44" s="156" t="inlineStr">
        <is>
          <t>ASS_DESCRIPTION_TXT, SEC_DEV_ZONE_TXT, SEC_CBL_NR, COM_C_DEV_TYPE_TXT</t>
        </is>
      </c>
      <c r="I44" s="156" t="inlineStr">
        <is>
          <t>ELC_CDT_SZ_MM, ELC_PNL_VLT_V</t>
        </is>
      </c>
      <c r="J44" s="156" t="inlineStr">
        <is>
          <t>ASS_QA_CERT_TXT</t>
        </is>
      </c>
      <c r="K44" s="197" t="inlineStr">
        <is>
          <t>ELC_VLT_DROP_PCT &gt; 4.0 → [!VD &gt; 4%]
if(SEC_DEV_ZONE_TXT="","[!NO ZONE ASSIGNED]","")</t>
        </is>
      </c>
      <c r="L44" s="190" t="inlineStr">
        <is>
          <t>BOQ-ELC-Security (sh.08)
Bill No.4: CCTV/access control points</t>
        </is>
      </c>
      <c r="M44" s="156" t="inlineStr">
        <is>
          <t>BOQ-ELC-Security</t>
        </is>
      </c>
      <c r="N44" s="186" t="inlineStr">
        <is>
          <t>MEDIUM</t>
        </is>
      </c>
    </row>
    <row r="45" ht="79.5" customHeight="1" s="123">
      <c r="A45" s="200" t="inlineStr">
        <is>
          <t>Specialty Equipment
(Lifts/Gen/ATS)</t>
        </is>
      </c>
      <c r="B45" s="200" t="inlineStr">
        <is>
          <t>MULTI</t>
        </is>
      </c>
      <c r="C45" s="201" t="inlineStr">
        <is>
          <t>ASS_TAG_7_PARA_EQUIPMENT_TXT</t>
        </is>
      </c>
      <c r="D45" s="202" t="inlineStr">
        <is>
          <t>ASS_Eqp_Para.rfa</t>
        </is>
      </c>
      <c r="E45" s="203" t="inlineStr">
        <is>
          <t>"This " + if(ASS_DESCRIPTION_TXT&lt;&gt;"",ASS_DESCRIPTION_TXT,"specialty equipment") + " (" + if(ASS_SYSTEM_TYPE_TXT&lt;&gt;"",ASS_SYSTEM_TYPE_TXT,"system TBC") + "). By " + if(ASS_MANUFACTURER_TXT&lt;&gt;"",ASS_MANUFACTURER_TXT,"TBC") + " model " + if(ASS_MODEL_NR_TXT&lt;&gt;"",ASS_MODEL_NR_TXT,"TBC") + ". Tag: " + if(ASS_EQUIPMENT_TAG_TXT&lt;&gt;"",ASS_EQUIPMENT_TAG_TXT,"TBC") + "."</t>
        </is>
      </c>
      <c r="F45" s="203" t="inlineStr">
        <is>
          <t>"Capacity: " + if(ASS_CAPACITY_TXT&lt;&gt;"",ASS_CAPACITY_TXT,"TBC") + ". Power: " + if(HVC_PWR_KW&lt;&gt;"",HVC_PWR_KW+"kW","TBC") + ". Drive: " + if(ASS_DRIVE_TXT&lt;&gt;"",ASS_DRIVE_TXT,"TBC") + "."</t>
        </is>
      </c>
      <c r="G45" s="203" t="inlineStr">
        <is>
          <t>"Commissioning cert: " + if(ASS_QA_CERT_TXT&lt;&gt;"",ASS_QA_CERT_TXT,"TBC") + ". Govt lift inspector cert (lifts): " + if(RGL_KCCA_APPROVAL_TXT&lt;&gt;"",RGL_KCCA_APPROVAL_TXT,"pending") + ". Warranty: " + if(ASS_WARRANTY_TXT&lt;&gt;"",ASS_WARRANTY_TXT,"TBC") + "."</t>
        </is>
      </c>
      <c r="H45" s="202" t="inlineStr">
        <is>
          <t>ASS_DESCRIPTION_TXT, ASS_SYSTEM_TYPE_TXT, ASS_MANUFACTURER_TXT, ASS_MODEL_NR_TXT, ASS_EQUIPMENT_TAG_TXT</t>
        </is>
      </c>
      <c r="I45" s="202" t="inlineStr">
        <is>
          <t>ASS_CAPACITY_TXT, HVC_PWR_KW, ASS_DRIVE_TXT</t>
        </is>
      </c>
      <c r="J45" s="202" t="inlineStr">
        <is>
          <t>ASS_QA_CERT_TXT, RGL_KCCA_APPROVAL_TXT, ASS_WARRANTY_TXT</t>
        </is>
      </c>
      <c r="K45" s="220" t="inlineStr">
        <is>
          <t>HVC_PWR_KW &gt; rated_KW*1.05 → [!OVERPOWER]
RGL_KCCA_APPROVAL_TXT absent (lifts) → [!NO KCCA APPROVAL]</t>
        </is>
      </c>
      <c r="L45" s="205" t="inlineStr">
        <is>
          <t>BOQ-LIFT-Equipment (sh.08) (sh.08)
Bill No.8: [DESC] lift [CAP]kg [STOPS]stops</t>
        </is>
      </c>
      <c r="M45" s="202" t="inlineStr">
        <is>
          <t>BOQ-LIFT-Equipment</t>
        </is>
      </c>
      <c r="N45" s="200" t="inlineStr">
        <is>
          <t>MEDIUM</t>
        </is>
      </c>
    </row>
    <row r="46" ht="79.5" customHeight="1" s="123">
      <c r="A46" s="186" t="inlineStr">
        <is>
          <t>Nurse Call Devices</t>
        </is>
      </c>
      <c r="B46" s="186" t="inlineStr">
        <is>
          <t>ELEC/ICT</t>
        </is>
      </c>
      <c r="C46" s="187" t="inlineStr">
        <is>
          <t>NCL_TAG_7_PARA_NURSECALL_TXT</t>
        </is>
      </c>
      <c r="D46" s="156" t="inlineStr">
        <is>
          <t>NCL_Para.rfa</t>
        </is>
      </c>
      <c r="E46" s="188" t="inlineStr">
        <is>
          <t>if(NCL_CALL_TYPE_TXT&lt;&gt;"",NCL_CALL_TYPE_TXT,"Nurse call") + " device, zone " + if(NCL_ZONE_TXT&lt;&gt;"",NCL_ZONE_TXT,"?") + ". Type: " + if(COM_C_DEV_TYPE_TXT&lt;&gt;"",COM_C_DEV_TYPE_TXT,"TBC") + "."</t>
        </is>
      </c>
      <c r="F46" s="188" t="inlineStr">
        <is>
          <t>"Protocol: " + if(COM_C_PROTOCOL_TXT&lt;&gt;"",COM_C_PROTOCOL_TXT,"TBC") + ". Cable: " + if(ELC_CBL_TYPE_TXT&lt;&gt;"",ELC_CBL_TYPE_TXT,"TBC") + "."</t>
        </is>
      </c>
      <c r="G46" s="188" t="inlineStr">
        <is>
          <t>"Standard: HTM 08-03. Zone test: " + if(NCL_ZONE_TXT&lt;&gt;"",NCL_ZONE_TXT,"TBC") + ". Cert: " + if(ASS_QA_CERT_TXT&lt;&gt;"",ASS_QA_CERT_TXT,"pending") + ". Response time standard: 3 min."</t>
        </is>
      </c>
      <c r="H46" s="156" t="inlineStr">
        <is>
          <t>NCL_CALL_TYPE_TXT, NCL_ZONE_TXT, COM_C_DEV_TYPE_TXT</t>
        </is>
      </c>
      <c r="I46" s="156" t="inlineStr">
        <is>
          <t>COM_C_PROTOCOL_TXT, ELC_CBL_TYPE_TXT</t>
        </is>
      </c>
      <c r="J46" s="156" t="inlineStr">
        <is>
          <t>NCL_ZONE_TXT, ASS_QA_CERT_TXT</t>
        </is>
      </c>
      <c r="K46" s="197" t="inlineStr">
        <is>
          <t>if(NCL_ZONE_TXT="","[!NO ZONE]","") + if(COM_C_PROTOCOL_TXT="","[!NO PROTOCOL]","")</t>
        </is>
      </c>
      <c r="L46" s="190" t="inlineStr">
        <is>
          <t>BOQ-ICT-NurseCall (sh.08) (sh.08)
Bill No.9: Nurse call points (healthcare)</t>
        </is>
      </c>
      <c r="M46" s="156" t="inlineStr">
        <is>
          <t>BOQ-ICT-NurseCall</t>
        </is>
      </c>
      <c r="N46" s="186" t="inlineStr">
        <is>
          <t>PROJECT</t>
        </is>
      </c>
    </row>
  </sheetData>
  <mergeCells count="9">
    <mergeCell ref="A27:N27"/>
    <mergeCell ref="A12:N12"/>
    <mergeCell ref="A4:N4"/>
    <mergeCell ref="A21:N21"/>
    <mergeCell ref="A2:N2"/>
    <mergeCell ref="A38:N38"/>
    <mergeCell ref="A41:N41"/>
    <mergeCell ref="A33:N33"/>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tabColor rgb="00143055"/>
    <outlinePr summaryBelow="1" summaryRight="1"/>
    <pageSetUpPr/>
  </sheetPr>
  <dimension ref="A1:R281"/>
  <sheetViews>
    <sheetView workbookViewId="0">
      <selection activeCell="A1" sqref="A1"/>
    </sheetView>
  </sheetViews>
  <sheetFormatPr baseColWidth="8" defaultRowHeight="15"/>
  <cols>
    <col width="8" customWidth="1" style="123" min="1" max="1"/>
    <col width="55" customWidth="1" style="123" min="2" max="2"/>
    <col width="6" customWidth="1" style="123" min="3" max="3"/>
    <col width="35" customWidth="1" style="123" min="4" max="4"/>
    <col width="50" customWidth="1" style="123" min="5" max="5"/>
    <col width="30" customWidth="1" style="123" min="6" max="6"/>
    <col width="40" customWidth="1" style="123" min="7" max="7"/>
    <col width="35" customWidth="1" style="123" min="8" max="8"/>
    <col width="22" customWidth="1" style="123" min="9" max="9"/>
    <col width="25" customWidth="1" style="123" min="10" max="10"/>
    <col width="70" customWidth="1" style="123" min="11" max="11"/>
    <col width="50" customWidth="1" style="123" min="12" max="12"/>
    <col width="20" customWidth="1" style="123" min="13" max="13"/>
    <col width="35" customWidth="1" style="123" min="14" max="14"/>
    <col width="30" customWidth="1" style="123" min="15" max="15"/>
    <col width="30" customWidth="1" style="123" min="16" max="16"/>
    <col width="40" customWidth="1" style="123" min="17" max="17"/>
    <col width="10" customWidth="1" style="123" min="18" max="18"/>
  </cols>
  <sheetData>
    <row r="1">
      <c r="A1" s="259" t="inlineStr">
        <is>
          <t>BOQ TEMPLATE SCHEDULES v4.3 ENHANCED | Uganda PPDA structure | 9 bills | Revit schedule definitions for automated BOQ with project header, cost params, auto-quantities, supplier tracking, and amount formulas</t>
        </is>
      </c>
    </row>
    <row r="2">
      <c r="A2" s="260" t="inlineStr">
        <is>
          <t>USAGE: Each named schedule (col J) is a Revit Schedule/Quantities view. BOQ_DESC field assembles item description from parameter tokens (col K). Rate (col F) pulls from CST_UNIT_PRICE / ASS_CST params. Qty (col D) pulls from CST_CALC / model quantities. Amount (col H) = Qty x Rate, auto-calculated on export. Supplier (col O) and lead time (col P) from procurement params. Section 0 provides project cover page automation from PRJ_ params.</t>
        </is>
      </c>
    </row>
    <row r="3">
      <c r="A3" s="228" t="inlineStr">
        <is>
          <t>Item</t>
        </is>
      </c>
      <c r="B3" s="228" t="inlineStr">
        <is>
          <t>Description (BOQ item, assembled from Revit params)</t>
        </is>
      </c>
      <c r="C3" s="228" t="inlineStr">
        <is>
          <t>Unit</t>
        </is>
      </c>
      <c r="D3" s="228" t="inlineStr">
        <is>
          <t>Qty param / source</t>
        </is>
      </c>
      <c r="E3" s="228" t="inlineStr">
        <is>
          <t>Qty formula</t>
        </is>
      </c>
      <c r="F3" s="228" t="inlineStr">
        <is>
          <t>Rate param (UGX)</t>
        </is>
      </c>
      <c r="G3" s="228" t="inlineStr">
        <is>
          <t>Rate formula</t>
        </is>
      </c>
      <c r="H3" s="228" t="inlineStr">
        <is>
          <t>Amount formula (Qty x Rate)</t>
        </is>
      </c>
      <c r="I3" s="228" t="inlineStr">
        <is>
          <t>Revit category</t>
        </is>
      </c>
      <c r="J3" s="228" t="inlineStr">
        <is>
          <t>Revit schedule name</t>
        </is>
      </c>
      <c r="K3" s="228" t="inlineStr">
        <is>
          <t>Calculated value formula (Edit Label)</t>
        </is>
      </c>
      <c r="L3" s="228" t="inlineStr">
        <is>
          <t>Parameter tokens used</t>
        </is>
      </c>
      <c r="M3" s="228" t="inlineStr">
        <is>
          <t>BOQ map ref (sh.04)</t>
        </is>
      </c>
      <c r="N3" s="228" t="inlineStr">
        <is>
          <t>Warning params</t>
        </is>
      </c>
      <c r="O3" s="228" t="inlineStr">
        <is>
          <t>Supplier param</t>
        </is>
      </c>
      <c r="P3" s="228" t="inlineStr">
        <is>
          <t>Lead time param</t>
        </is>
      </c>
      <c r="Q3" s="228" t="inlineStr">
        <is>
          <t>Notes / Uganda-specific</t>
        </is>
      </c>
      <c r="R3" s="228" t="inlineStr">
        <is>
          <t>Priority</t>
        </is>
      </c>
    </row>
    <row r="4">
      <c r="A4" s="261" t="inlineStr">
        <is>
          <t>SECTION 0  —  PROJECT COVER PAGE &amp; DOCUMENT HEADER (auto-populated from Revit Project Information)</t>
        </is>
      </c>
      <c r="B4" s="269" t="n"/>
      <c r="C4" s="269" t="n"/>
      <c r="D4" s="269" t="n"/>
      <c r="E4" s="269" t="n"/>
      <c r="F4" s="269" t="n"/>
      <c r="G4" s="269" t="n"/>
      <c r="H4" s="269" t="n"/>
      <c r="I4" s="269" t="n"/>
      <c r="J4" s="269" t="n"/>
      <c r="K4" s="269" t="n"/>
      <c r="L4" s="269" t="n"/>
      <c r="M4" s="269" t="n"/>
      <c r="N4" s="269" t="n"/>
      <c r="O4" s="269" t="n"/>
      <c r="P4" s="269" t="n"/>
      <c r="Q4" s="269" t="n"/>
      <c r="R4" s="270" t="n"/>
    </row>
    <row r="5">
      <c r="A5" s="263" t="inlineStr">
        <is>
          <t>0.1  Project identity</t>
        </is>
      </c>
      <c r="B5" s="269" t="n"/>
      <c r="C5" s="269" t="n"/>
      <c r="D5" s="269" t="n"/>
      <c r="E5" s="269" t="n"/>
      <c r="F5" s="269" t="n"/>
      <c r="G5" s="269" t="n"/>
      <c r="H5" s="269" t="n"/>
      <c r="I5" s="269" t="n"/>
      <c r="J5" s="269" t="n"/>
      <c r="K5" s="269" t="n"/>
      <c r="L5" s="269" t="n"/>
      <c r="M5" s="269" t="n"/>
      <c r="N5" s="269" t="n"/>
      <c r="O5" s="269" t="n"/>
      <c r="P5" s="269" t="n"/>
      <c r="Q5" s="269" t="n"/>
      <c r="R5" s="270" t="n"/>
    </row>
    <row r="6">
      <c r="A6" s="223" t="inlineStr">
        <is>
          <t>0.1.1</t>
        </is>
      </c>
      <c r="B6" s="223" t="inlineStr">
        <is>
          <t>Project name</t>
        </is>
      </c>
      <c r="C6" s="223" t="n"/>
      <c r="D6" s="229" t="inlineStr">
        <is>
          <t>PRJ_NAME_TXT</t>
        </is>
      </c>
      <c r="E6" s="223" t="inlineStr">
        <is>
          <t>if(PRJ_NAME_TXT&lt;&gt;"",PRJ_NAME_TXT,"[TBC]")</t>
        </is>
      </c>
      <c r="F6" s="223" t="n"/>
      <c r="G6" s="223" t="n"/>
      <c r="H6" s="223" t="n"/>
      <c r="I6" s="223" t="inlineStr">
        <is>
          <t>Project Information</t>
        </is>
      </c>
      <c r="J6" s="223" t="n"/>
      <c r="K6" s="223" t="n"/>
      <c r="L6" s="223" t="inlineStr">
        <is>
          <t>PRJ_NAME_TXT</t>
        </is>
      </c>
      <c r="M6" s="223" t="n"/>
      <c r="N6" s="223" t="n"/>
      <c r="O6" s="223" t="n"/>
      <c r="P6" s="223" t="n"/>
      <c r="Q6" s="223" t="inlineStr">
        <is>
          <t>Revit Project Information &gt; Project Name</t>
        </is>
      </c>
      <c r="R6" s="223" t="n"/>
    </row>
    <row r="7">
      <c r="A7" s="223" t="inlineStr">
        <is>
          <t>0.1.2</t>
        </is>
      </c>
      <c r="B7" s="223" t="inlineStr">
        <is>
          <t>Project number</t>
        </is>
      </c>
      <c r="C7" s="223" t="n"/>
      <c r="D7" s="229" t="inlineStr">
        <is>
          <t>PRJ_NR_TXT</t>
        </is>
      </c>
      <c r="E7" s="223" t="inlineStr">
        <is>
          <t>if(PRJ_NR_TXT&lt;&gt;"",PRJ_NR_TXT,"[TBC]")</t>
        </is>
      </c>
      <c r="F7" s="223" t="n"/>
      <c r="G7" s="223" t="n"/>
      <c r="H7" s="223" t="n"/>
      <c r="I7" s="223" t="inlineStr">
        <is>
          <t>Project Information</t>
        </is>
      </c>
      <c r="J7" s="223" t="n"/>
      <c r="K7" s="223" t="n"/>
      <c r="L7" s="223" t="inlineStr">
        <is>
          <t>PRJ_NR_TXT</t>
        </is>
      </c>
      <c r="M7" s="223" t="n"/>
      <c r="N7" s="223" t="n"/>
      <c r="O7" s="223" t="n"/>
      <c r="P7" s="223" t="n"/>
      <c r="Q7" s="223" t="inlineStr">
        <is>
          <t>ISO 19650 project code</t>
        </is>
      </c>
      <c r="R7" s="223" t="n"/>
    </row>
    <row r="8">
      <c r="A8" s="223" t="inlineStr">
        <is>
          <t>0.1.3</t>
        </is>
      </c>
      <c r="B8" s="223" t="inlineStr">
        <is>
          <t>Project phase</t>
        </is>
      </c>
      <c r="C8" s="223" t="n"/>
      <c r="D8" s="229" t="inlineStr">
        <is>
          <t>PRJ_PHASE_TXT</t>
        </is>
      </c>
      <c r="E8" s="223" t="inlineStr">
        <is>
          <t>if(PRJ_PHASE_TXT&lt;&gt;"",PRJ_PHASE_TXT,"[TBC]")</t>
        </is>
      </c>
      <c r="F8" s="223" t="n"/>
      <c r="G8" s="223" t="n"/>
      <c r="H8" s="223" t="n"/>
      <c r="I8" s="223" t="inlineStr">
        <is>
          <t>Project Information</t>
        </is>
      </c>
      <c r="J8" s="223" t="n"/>
      <c r="K8" s="223" t="n"/>
      <c r="L8" s="223" t="inlineStr">
        <is>
          <t>PRJ_PHASE_TXT</t>
        </is>
      </c>
      <c r="M8" s="223" t="n"/>
      <c r="N8" s="223" t="n"/>
      <c r="O8" s="223" t="n"/>
      <c r="P8" s="223" t="n"/>
      <c r="Q8" s="223" t="inlineStr">
        <is>
          <t>Concept / Detailed Design / Tender / Construction</t>
        </is>
      </c>
      <c r="R8" s="223" t="n"/>
    </row>
    <row r="9">
      <c r="A9" s="223" t="inlineStr">
        <is>
          <t>0.1.4</t>
        </is>
      </c>
      <c r="B9" s="223" t="inlineStr">
        <is>
          <t>Project address line 1</t>
        </is>
      </c>
      <c r="C9" s="223" t="n"/>
      <c r="D9" s="229" t="inlineStr">
        <is>
          <t>PRJ_ADDRESS_TXT</t>
        </is>
      </c>
      <c r="E9" s="223" t="inlineStr">
        <is>
          <t>if(PRJ_ADDRESS_TXT&lt;&gt;"",PRJ_ADDRESS_TXT,"[TBC]")</t>
        </is>
      </c>
      <c r="F9" s="223" t="n"/>
      <c r="G9" s="223" t="n"/>
      <c r="H9" s="223" t="n"/>
      <c r="I9" s="223" t="inlineStr">
        <is>
          <t>Project Information</t>
        </is>
      </c>
      <c r="J9" s="223" t="n"/>
      <c r="K9" s="223" t="n"/>
      <c r="L9" s="223" t="inlineStr">
        <is>
          <t>PRJ_ADDRESS_TXT</t>
        </is>
      </c>
      <c r="M9" s="223" t="n"/>
      <c r="N9" s="223" t="n"/>
      <c r="O9" s="223" t="n"/>
      <c r="P9" s="223" t="n"/>
      <c r="Q9" s="223" t="inlineStr">
        <is>
          <t>Physical site address</t>
        </is>
      </c>
      <c r="R9" s="223" t="n"/>
    </row>
    <row r="10">
      <c r="A10" s="223" t="inlineStr">
        <is>
          <t>0.1.5</t>
        </is>
      </c>
      <c r="B10" s="223" t="inlineStr">
        <is>
          <t>Project address line 2</t>
        </is>
      </c>
      <c r="C10" s="223" t="n"/>
      <c r="D10" s="229" t="inlineStr">
        <is>
          <t>PRJ_ADDRESS_2_TXT</t>
        </is>
      </c>
      <c r="E10" s="223" t="inlineStr">
        <is>
          <t>if(PRJ_ADDRESS_2_TXT&lt;&gt;"",PRJ_ADDRESS_2_TXT,"[TBC]")</t>
        </is>
      </c>
      <c r="F10" s="223" t="n"/>
      <c r="G10" s="223" t="n"/>
      <c r="H10" s="223" t="n"/>
      <c r="I10" s="223" t="inlineStr">
        <is>
          <t>Project Information</t>
        </is>
      </c>
      <c r="J10" s="223" t="n"/>
      <c r="K10" s="223" t="n"/>
      <c r="L10" s="223" t="inlineStr">
        <is>
          <t>PRJ_ADDRESS_2_TXT</t>
        </is>
      </c>
      <c r="M10" s="223" t="n"/>
      <c r="N10" s="223" t="n"/>
      <c r="O10" s="223" t="n"/>
      <c r="P10" s="223" t="n"/>
      <c r="Q10" s="223" t="inlineStr">
        <is>
          <t>District / city</t>
        </is>
      </c>
      <c r="R10" s="223" t="n"/>
    </row>
    <row r="11">
      <c r="A11" s="223" t="inlineStr">
        <is>
          <t>0.1.6</t>
        </is>
      </c>
      <c r="B11" s="223" t="inlineStr">
        <is>
          <t>Area / neighbourhood</t>
        </is>
      </c>
      <c r="C11" s="223" t="n"/>
      <c r="D11" s="229" t="inlineStr">
        <is>
          <t>PRJ_AREA_NAME_TXT</t>
        </is>
      </c>
      <c r="E11" s="223" t="inlineStr">
        <is>
          <t>if(PRJ_AREA_NAME_TXT&lt;&gt;"",PRJ_AREA_NAME_TXT,"[TBC]")</t>
        </is>
      </c>
      <c r="F11" s="223" t="n"/>
      <c r="G11" s="223" t="n"/>
      <c r="H11" s="223" t="n"/>
      <c r="I11" s="223" t="inlineStr">
        <is>
          <t>Project Information</t>
        </is>
      </c>
      <c r="J11" s="223" t="n"/>
      <c r="K11" s="223" t="n"/>
      <c r="L11" s="223" t="inlineStr">
        <is>
          <t>PRJ_AREA_NAME_TXT</t>
        </is>
      </c>
      <c r="M11" s="223" t="n"/>
      <c r="N11" s="223" t="n"/>
      <c r="O11" s="223" t="n"/>
      <c r="P11" s="223" t="n"/>
      <c r="Q11" s="223" t="inlineStr">
        <is>
          <t>KCCA division or district</t>
        </is>
      </c>
      <c r="R11" s="223" t="n"/>
    </row>
    <row r="12">
      <c r="A12" s="223" t="inlineStr">
        <is>
          <t>0.1.7</t>
        </is>
      </c>
      <c r="B12" s="223" t="inlineStr">
        <is>
          <t>Design stage</t>
        </is>
      </c>
      <c r="C12" s="223" t="n"/>
      <c r="D12" s="229" t="inlineStr">
        <is>
          <t>PRJ_TB_DESIGN_STAGE_TXT</t>
        </is>
      </c>
      <c r="E12" s="223" t="inlineStr">
        <is>
          <t>if(PRJ_TB_DESIGN_STAGE_TXT&lt;&gt;"",PRJ_TB_DESIGN_STAGE_TXT,"[TBC]")</t>
        </is>
      </c>
      <c r="F12" s="223" t="n"/>
      <c r="G12" s="223" t="n"/>
      <c r="H12" s="223" t="n"/>
      <c r="I12" s="223" t="inlineStr">
        <is>
          <t>Project Information</t>
        </is>
      </c>
      <c r="J12" s="223" t="n"/>
      <c r="K12" s="223" t="n"/>
      <c r="L12" s="223" t="inlineStr">
        <is>
          <t>PRJ_TB_DESIGN_STAGE_TXT</t>
        </is>
      </c>
      <c r="M12" s="223" t="n"/>
      <c r="N12" s="223" t="n"/>
      <c r="O12" s="223" t="n"/>
      <c r="P12" s="223" t="n"/>
      <c r="Q12" s="223" t="inlineStr">
        <is>
          <t>Stage 2/3/4/5 per RIBA</t>
        </is>
      </c>
      <c r="R12" s="223" t="n"/>
    </row>
    <row r="13">
      <c r="A13" s="223" t="inlineStr">
        <is>
          <t>0.1.8</t>
        </is>
      </c>
      <c r="B13" s="223" t="inlineStr">
        <is>
          <t>Issue purpose</t>
        </is>
      </c>
      <c r="C13" s="223" t="n"/>
      <c r="D13" s="229" t="inlineStr">
        <is>
          <t>PRJ_DWG_ISSUE_PURPOSE_TXT</t>
        </is>
      </c>
      <c r="E13" s="223" t="inlineStr">
        <is>
          <t>if(PRJ_DWG_ISSUE_PURPOSE_TXT&lt;&gt;"",PRJ_DWG_ISSUE_PURPOSE_TXT,"[TBC]")</t>
        </is>
      </c>
      <c r="F13" s="223" t="n"/>
      <c r="G13" s="223" t="n"/>
      <c r="H13" s="223" t="n"/>
      <c r="I13" s="223" t="inlineStr">
        <is>
          <t>Project Information</t>
        </is>
      </c>
      <c r="J13" s="223" t="n"/>
      <c r="K13" s="223" t="n"/>
      <c r="L13" s="223" t="inlineStr">
        <is>
          <t>PRJ_DWG_ISSUE_PURPOSE_TXT</t>
        </is>
      </c>
      <c r="M13" s="223" t="n"/>
      <c r="N13" s="223" t="n"/>
      <c r="O13" s="223" t="n"/>
      <c r="P13" s="223" t="n"/>
      <c r="Q13" s="223" t="inlineStr">
        <is>
          <t>For information / For approval / For construction</t>
        </is>
      </c>
      <c r="R13" s="223" t="n"/>
    </row>
    <row r="14">
      <c r="A14" s="223" t="inlineStr">
        <is>
          <t>0.1.9</t>
        </is>
      </c>
      <c r="B14" s="223" t="inlineStr">
        <is>
          <t>ISO standard reference</t>
        </is>
      </c>
      <c r="C14" s="223" t="n"/>
      <c r="D14" s="229" t="inlineStr">
        <is>
          <t>PRJ_ISO_STD_TXT</t>
        </is>
      </c>
      <c r="E14" s="223" t="inlineStr">
        <is>
          <t>if(PRJ_ISO_STD_TXT&lt;&gt;"",PRJ_ISO_STD_TXT,"[TBC]")</t>
        </is>
      </c>
      <c r="F14" s="223" t="n"/>
      <c r="G14" s="223" t="n"/>
      <c r="H14" s="223" t="n"/>
      <c r="I14" s="223" t="inlineStr">
        <is>
          <t>Project Information</t>
        </is>
      </c>
      <c r="J14" s="223" t="n"/>
      <c r="K14" s="223" t="n"/>
      <c r="L14" s="223" t="inlineStr">
        <is>
          <t>PRJ_ISO_STD_TXT</t>
        </is>
      </c>
      <c r="M14" s="223" t="n"/>
      <c r="N14" s="223" t="n"/>
      <c r="O14" s="223" t="n"/>
      <c r="P14" s="223" t="n"/>
      <c r="Q14" s="223" t="inlineStr">
        <is>
          <t>ISO 19650-2:2018 / ISO 19650-3:2020</t>
        </is>
      </c>
      <c r="R14" s="223" t="n"/>
    </row>
    <row r="15">
      <c r="A15" s="223" t="inlineStr">
        <is>
          <t>0.1.10</t>
        </is>
      </c>
      <c r="B15" s="223" t="inlineStr">
        <is>
          <t>Discipline</t>
        </is>
      </c>
      <c r="C15" s="223" t="n"/>
      <c r="D15" s="229" t="inlineStr">
        <is>
          <t>PRJ_TB_DISCIPLINE_TXT</t>
        </is>
      </c>
      <c r="E15" s="223" t="inlineStr">
        <is>
          <t>if(PRJ_TB_DISCIPLINE_TXT&lt;&gt;"",PRJ_TB_DISCIPLINE_TXT,"[TBC]")</t>
        </is>
      </c>
      <c r="F15" s="223" t="n"/>
      <c r="G15" s="223" t="n"/>
      <c r="H15" s="223" t="n"/>
      <c r="I15" s="223" t="inlineStr">
        <is>
          <t>Project Information</t>
        </is>
      </c>
      <c r="J15" s="223" t="n"/>
      <c r="K15" s="223" t="n"/>
      <c r="L15" s="223" t="inlineStr">
        <is>
          <t>PRJ_TB_DISCIPLINE_TXT</t>
        </is>
      </c>
      <c r="M15" s="223" t="n"/>
      <c r="N15" s="223" t="n"/>
      <c r="O15" s="223" t="n"/>
      <c r="P15" s="223" t="n"/>
      <c r="Q15" s="223" t="inlineStr">
        <is>
          <t>Architecture / Structure / MEP / Multi</t>
        </is>
      </c>
      <c r="R15" s="223" t="n"/>
    </row>
    <row r="16">
      <c r="A16" s="263" t="inlineStr">
        <is>
          <t>0.2  Parties</t>
        </is>
      </c>
      <c r="B16" s="269" t="n"/>
      <c r="C16" s="269" t="n"/>
      <c r="D16" s="269" t="n"/>
      <c r="E16" s="269" t="n"/>
      <c r="F16" s="269" t="n"/>
      <c r="G16" s="269" t="n"/>
      <c r="H16" s="269" t="n"/>
      <c r="I16" s="269" t="n"/>
      <c r="J16" s="269" t="n"/>
      <c r="K16" s="269" t="n"/>
      <c r="L16" s="269" t="n"/>
      <c r="M16" s="269" t="n"/>
      <c r="N16" s="269" t="n"/>
      <c r="O16" s="269" t="n"/>
      <c r="P16" s="269" t="n"/>
      <c r="Q16" s="269" t="n"/>
      <c r="R16" s="270" t="n"/>
    </row>
    <row r="17">
      <c r="A17" s="223" t="inlineStr">
        <is>
          <t>0.2.1</t>
        </is>
      </c>
      <c r="B17" s="223" t="inlineStr">
        <is>
          <t>Client name</t>
        </is>
      </c>
      <c r="C17" s="223" t="n"/>
      <c r="D17" s="229" t="inlineStr">
        <is>
          <t>PRJ_TB_CLIENT_NAME_TXT</t>
        </is>
      </c>
      <c r="E17" s="223" t="inlineStr">
        <is>
          <t>if(PRJ_TB_CLIENT_NAME_TXT&lt;&gt;"",PRJ_TB_CLIENT_NAME_TXT,"[TBC]")</t>
        </is>
      </c>
      <c r="F17" s="223" t="n"/>
      <c r="G17" s="223" t="n"/>
      <c r="H17" s="223" t="n"/>
      <c r="I17" s="223" t="inlineStr">
        <is>
          <t>Project Information</t>
        </is>
      </c>
      <c r="J17" s="223" t="n"/>
      <c r="K17" s="223" t="n"/>
      <c r="L17" s="223" t="inlineStr">
        <is>
          <t>PRJ_TB_CLIENT_NAME_TXT</t>
        </is>
      </c>
      <c r="M17" s="223" t="n"/>
      <c r="N17" s="223" t="n"/>
      <c r="O17" s="223" t="n"/>
      <c r="P17" s="223" t="n"/>
      <c r="Q17" s="223" t="inlineStr">
        <is>
          <t>Employer / project owner</t>
        </is>
      </c>
      <c r="R17" s="223" t="n"/>
    </row>
    <row r="18">
      <c r="A18" s="223" t="inlineStr">
        <is>
          <t>0.2.2</t>
        </is>
      </c>
      <c r="B18" s="223" t="inlineStr">
        <is>
          <t>Client address</t>
        </is>
      </c>
      <c r="C18" s="223" t="n"/>
      <c r="D18" s="229" t="inlineStr">
        <is>
          <t>PRJ_TB_CLIENT_ADDRESS_TXT</t>
        </is>
      </c>
      <c r="E18" s="223" t="inlineStr">
        <is>
          <t>if(PRJ_TB_CLIENT_ADDRESS_TXT&lt;&gt;"",PRJ_TB_CLIENT_ADDRESS_TXT,"[TBC]")</t>
        </is>
      </c>
      <c r="F18" s="223" t="n"/>
      <c r="G18" s="223" t="n"/>
      <c r="H18" s="223" t="n"/>
      <c r="I18" s="223" t="inlineStr">
        <is>
          <t>Project Information</t>
        </is>
      </c>
      <c r="J18" s="223" t="n"/>
      <c r="K18" s="223" t="n"/>
      <c r="L18" s="223" t="inlineStr">
        <is>
          <t>PRJ_TB_CLIENT_ADDRESS_TXT</t>
        </is>
      </c>
      <c r="M18" s="223" t="n"/>
      <c r="N18" s="223" t="n"/>
      <c r="O18" s="223" t="n"/>
      <c r="P18" s="223" t="n"/>
      <c r="Q18" s="223" t="inlineStr"/>
      <c r="R18" s="223" t="n"/>
    </row>
    <row r="19">
      <c r="A19" s="223" t="inlineStr">
        <is>
          <t>0.2.3</t>
        </is>
      </c>
      <c r="B19" s="223" t="inlineStr">
        <is>
          <t>Lead consultant</t>
        </is>
      </c>
      <c r="C19" s="223" t="n"/>
      <c r="D19" s="229" t="inlineStr">
        <is>
          <t>PRJ_TB_CONSULTANT_NAME_TXT</t>
        </is>
      </c>
      <c r="E19" s="223" t="inlineStr">
        <is>
          <t>if(PRJ_TB_CONSULTANT_NAME_TXT&lt;&gt;"",PRJ_TB_CONSULTANT_NAME_TXT,"[TBC]")</t>
        </is>
      </c>
      <c r="F19" s="223" t="n"/>
      <c r="G19" s="223" t="n"/>
      <c r="H19" s="223" t="n"/>
      <c r="I19" s="223" t="inlineStr">
        <is>
          <t>Project Information</t>
        </is>
      </c>
      <c r="J19" s="223" t="n"/>
      <c r="K19" s="223" t="n"/>
      <c r="L19" s="223" t="inlineStr">
        <is>
          <t>PRJ_TB_CONSULTANT_NAME_TXT</t>
        </is>
      </c>
      <c r="M19" s="223" t="n"/>
      <c r="N19" s="223" t="n"/>
      <c r="O19" s="223" t="n"/>
      <c r="P19" s="223" t="n"/>
      <c r="Q19" s="223" t="inlineStr">
        <is>
          <t>Architect or lead designer</t>
        </is>
      </c>
      <c r="R19" s="223" t="n"/>
    </row>
    <row r="20">
      <c r="A20" s="223" t="inlineStr">
        <is>
          <t>0.2.4</t>
        </is>
      </c>
      <c r="B20" s="223" t="inlineStr">
        <is>
          <t>Consultant address</t>
        </is>
      </c>
      <c r="C20" s="223" t="n"/>
      <c r="D20" s="229" t="inlineStr">
        <is>
          <t>PRJ_TB_CONSULTANT_ADDRESS_TXT</t>
        </is>
      </c>
      <c r="E20" s="223" t="inlineStr">
        <is>
          <t>if(PRJ_TB_CONSULTANT_ADDRESS_TXT&lt;&gt;"",PRJ_TB_CONSULTANT_ADDRESS_TXT,"[TBC]")</t>
        </is>
      </c>
      <c r="F20" s="223" t="n"/>
      <c r="G20" s="223" t="n"/>
      <c r="H20" s="223" t="n"/>
      <c r="I20" s="223" t="inlineStr">
        <is>
          <t>Project Information</t>
        </is>
      </c>
      <c r="J20" s="223" t="n"/>
      <c r="K20" s="223" t="n"/>
      <c r="L20" s="223" t="inlineStr">
        <is>
          <t>PRJ_TB_CONSULTANT_ADDRESS_TXT</t>
        </is>
      </c>
      <c r="M20" s="223" t="n"/>
      <c r="N20" s="223" t="n"/>
      <c r="O20" s="223" t="n"/>
      <c r="P20" s="223" t="n"/>
      <c r="Q20" s="223" t="inlineStr"/>
      <c r="R20" s="223" t="n"/>
    </row>
    <row r="21">
      <c r="A21" s="223" t="inlineStr">
        <is>
          <t>0.2.5</t>
        </is>
      </c>
      <c r="B21" s="223" t="inlineStr">
        <is>
          <t>MEP consultant</t>
        </is>
      </c>
      <c r="C21" s="223" t="n"/>
      <c r="D21" s="229" t="inlineStr">
        <is>
          <t>PRJ_TB_MEP_CONSULTANTS_NAME_TXT</t>
        </is>
      </c>
      <c r="E21" s="223" t="inlineStr">
        <is>
          <t>if(PRJ_TB_MEP_CONSULTANTS_NAME_TXT&lt;&gt;"",PRJ_TB_MEP_CONSULTANTS_NAME_TXT,"[TBC]")</t>
        </is>
      </c>
      <c r="F21" s="223" t="n"/>
      <c r="G21" s="223" t="n"/>
      <c r="H21" s="223" t="n"/>
      <c r="I21" s="223" t="inlineStr">
        <is>
          <t>Project Information</t>
        </is>
      </c>
      <c r="J21" s="223" t="n"/>
      <c r="K21" s="223" t="n"/>
      <c r="L21" s="223" t="inlineStr">
        <is>
          <t>PRJ_TB_MEP_CONSULTANTS_NAME_TXT</t>
        </is>
      </c>
      <c r="M21" s="223" t="n"/>
      <c r="N21" s="223" t="n"/>
      <c r="O21" s="223" t="n"/>
      <c r="P21" s="223" t="n"/>
      <c r="Q21" s="223" t="inlineStr">
        <is>
          <t>M&amp;E engineer</t>
        </is>
      </c>
      <c r="R21" s="223" t="n"/>
    </row>
    <row r="22">
      <c r="A22" s="223" t="inlineStr">
        <is>
          <t>0.2.6</t>
        </is>
      </c>
      <c r="B22" s="223" t="inlineStr">
        <is>
          <t>Structural consultant</t>
        </is>
      </c>
      <c r="C22" s="223" t="n"/>
      <c r="D22" s="229" t="inlineStr">
        <is>
          <t>PRJ_TB_STRUCTURAL_CONSULTANTS_NAME_TXT</t>
        </is>
      </c>
      <c r="E22" s="223" t="inlineStr">
        <is>
          <t>if(PRJ_TB_STRUCTURAL_CONSULTANTS_NAME_TXT&lt;&gt;"",PRJ_TB_STRUCTURAL_CONSULTANTS_NAME_TXT,"[TBC]")</t>
        </is>
      </c>
      <c r="F22" s="223" t="n"/>
      <c r="G22" s="223" t="n"/>
      <c r="H22" s="223" t="n"/>
      <c r="I22" s="223" t="inlineStr">
        <is>
          <t>Project Information</t>
        </is>
      </c>
      <c r="J22" s="223" t="n"/>
      <c r="K22" s="223" t="n"/>
      <c r="L22" s="223" t="inlineStr">
        <is>
          <t>PRJ_TB_STRUCTURAL_CONSULTANTS_NAME_TXT</t>
        </is>
      </c>
      <c r="M22" s="223" t="n"/>
      <c r="N22" s="223" t="n"/>
      <c r="O22" s="223" t="n"/>
      <c r="P22" s="223" t="n"/>
      <c r="Q22" s="223" t="inlineStr">
        <is>
          <t>Structural engineer</t>
        </is>
      </c>
      <c r="R22" s="223" t="n"/>
    </row>
    <row r="23">
      <c r="A23" s="223" t="inlineStr">
        <is>
          <t>0.2.7</t>
        </is>
      </c>
      <c r="B23" s="223" t="inlineStr">
        <is>
          <t>Contractor</t>
        </is>
      </c>
      <c r="C23" s="223" t="n"/>
      <c r="D23" s="229" t="inlineStr">
        <is>
          <t>PRJ_TB_CONTRACTOR_NAME_TXT</t>
        </is>
      </c>
      <c r="E23" s="223" t="inlineStr">
        <is>
          <t>if(PRJ_TB_CONTRACTOR_NAME_TXT&lt;&gt;"",PRJ_TB_CONTRACTOR_NAME_TXT,"[TBC]")</t>
        </is>
      </c>
      <c r="F23" s="223" t="n"/>
      <c r="G23" s="223" t="n"/>
      <c r="H23" s="223" t="n"/>
      <c r="I23" s="223" t="inlineStr">
        <is>
          <t>Project Information</t>
        </is>
      </c>
      <c r="J23" s="223" t="n"/>
      <c r="K23" s="223" t="n"/>
      <c r="L23" s="223" t="inlineStr">
        <is>
          <t>PRJ_TB_CONTRACTOR_NAME_TXT</t>
        </is>
      </c>
      <c r="M23" s="223" t="n"/>
      <c r="N23" s="223" t="n"/>
      <c r="O23" s="223" t="n"/>
      <c r="P23" s="223" t="n"/>
      <c r="Q23" s="223" t="inlineStr">
        <is>
          <t>Awarded contractor (post-tender)</t>
        </is>
      </c>
      <c r="R23" s="223" t="n"/>
    </row>
    <row r="24">
      <c r="A24" s="223" t="inlineStr">
        <is>
          <t>0.2.8</t>
        </is>
      </c>
      <c r="B24" s="223" t="inlineStr">
        <is>
          <t>Contractor address</t>
        </is>
      </c>
      <c r="C24" s="223" t="n"/>
      <c r="D24" s="229" t="inlineStr">
        <is>
          <t>PRJ_TB_CONTRACTOR_ADDRESS_TXT</t>
        </is>
      </c>
      <c r="E24" s="223" t="inlineStr">
        <is>
          <t>if(PRJ_TB_CONTRACTOR_ADDRESS_TXT&lt;&gt;"",PRJ_TB_CONTRACTOR_ADDRESS_TXT,"[TBC]")</t>
        </is>
      </c>
      <c r="F24" s="223" t="n"/>
      <c r="G24" s="223" t="n"/>
      <c r="H24" s="223" t="n"/>
      <c r="I24" s="223" t="inlineStr">
        <is>
          <t>Project Information</t>
        </is>
      </c>
      <c r="J24" s="223" t="n"/>
      <c r="K24" s="223" t="n"/>
      <c r="L24" s="223" t="inlineStr">
        <is>
          <t>PRJ_TB_CONTRACTOR_ADDRESS_TXT</t>
        </is>
      </c>
      <c r="M24" s="223" t="n"/>
      <c r="N24" s="223" t="n"/>
      <c r="O24" s="223" t="n"/>
      <c r="P24" s="223" t="n"/>
      <c r="Q24" s="223" t="inlineStr"/>
      <c r="R24" s="223" t="n"/>
    </row>
    <row r="25">
      <c r="A25" s="263" t="inlineStr">
        <is>
          <t>0.3  Document control &amp; approval</t>
        </is>
      </c>
      <c r="B25" s="269" t="n"/>
      <c r="C25" s="269" t="n"/>
      <c r="D25" s="269" t="n"/>
      <c r="E25" s="269" t="n"/>
      <c r="F25" s="269" t="n"/>
      <c r="G25" s="269" t="n"/>
      <c r="H25" s="269" t="n"/>
      <c r="I25" s="269" t="n"/>
      <c r="J25" s="269" t="n"/>
      <c r="K25" s="269" t="n"/>
      <c r="L25" s="269" t="n"/>
      <c r="M25" s="269" t="n"/>
      <c r="N25" s="269" t="n"/>
      <c r="O25" s="269" t="n"/>
      <c r="P25" s="269" t="n"/>
      <c r="Q25" s="269" t="n"/>
      <c r="R25" s="270" t="n"/>
    </row>
    <row r="26">
      <c r="A26" s="223" t="inlineStr">
        <is>
          <t>0.3.1</t>
        </is>
      </c>
      <c r="B26" s="223" t="inlineStr">
        <is>
          <t>Prepared by</t>
        </is>
      </c>
      <c r="C26" s="223" t="n"/>
      <c r="D26" s="229" t="inlineStr">
        <is>
          <t>PRJ_TB_DRAWN_BY_TXT</t>
        </is>
      </c>
      <c r="E26" s="223" t="inlineStr">
        <is>
          <t>if(PRJ_TB_DRAWN_BY_TXT&lt;&gt;"",PRJ_TB_DRAWN_BY_TXT,"[TBC]")</t>
        </is>
      </c>
      <c r="F26" s="223" t="n"/>
      <c r="G26" s="223" t="n"/>
      <c r="H26" s="223" t="n"/>
      <c r="I26" s="223" t="inlineStr">
        <is>
          <t>Project Information</t>
        </is>
      </c>
      <c r="J26" s="223" t="n"/>
      <c r="K26" s="223" t="n"/>
      <c r="L26" s="223" t="inlineStr">
        <is>
          <t>PRJ_TB_DRAWN_BY_TXT</t>
        </is>
      </c>
      <c r="M26" s="223" t="n"/>
      <c r="N26" s="223" t="n"/>
      <c r="O26" s="223" t="n"/>
      <c r="P26" s="223" t="n"/>
      <c r="Q26" s="223" t="inlineStr">
        <is>
          <t>QS / estimator name</t>
        </is>
      </c>
      <c r="R26" s="223" t="n"/>
    </row>
    <row r="27">
      <c r="A27" s="223" t="inlineStr">
        <is>
          <t>0.3.2</t>
        </is>
      </c>
      <c r="B27" s="223" t="inlineStr">
        <is>
          <t>Date prepared</t>
        </is>
      </c>
      <c r="C27" s="223" t="n"/>
      <c r="D27" s="229" t="inlineStr">
        <is>
          <t>PRJ_TB_DATE_DRAWN_TXT</t>
        </is>
      </c>
      <c r="E27" s="223" t="inlineStr">
        <is>
          <t>if(PRJ_TB_DATE_DRAWN_TXT&lt;&gt;"",PRJ_TB_DATE_DRAWN_TXT,"[TBC]")</t>
        </is>
      </c>
      <c r="F27" s="223" t="n"/>
      <c r="G27" s="223" t="n"/>
      <c r="H27" s="223" t="n"/>
      <c r="I27" s="223" t="inlineStr">
        <is>
          <t>Project Information</t>
        </is>
      </c>
      <c r="J27" s="223" t="n"/>
      <c r="K27" s="223" t="n"/>
      <c r="L27" s="223" t="inlineStr">
        <is>
          <t>PRJ_TB_DATE_DRAWN_TXT</t>
        </is>
      </c>
      <c r="M27" s="223" t="n"/>
      <c r="N27" s="223" t="n"/>
      <c r="O27" s="223" t="n"/>
      <c r="P27" s="223" t="n"/>
      <c r="Q27" s="223" t="inlineStr"/>
      <c r="R27" s="223" t="n"/>
    </row>
    <row r="28">
      <c r="A28" s="223" t="inlineStr">
        <is>
          <t>0.3.3</t>
        </is>
      </c>
      <c r="B28" s="223" t="inlineStr">
        <is>
          <t>Checked by</t>
        </is>
      </c>
      <c r="C28" s="223" t="n"/>
      <c r="D28" s="229" t="inlineStr">
        <is>
          <t>PRJ_TB_CHECKED_BY_TXT</t>
        </is>
      </c>
      <c r="E28" s="223" t="inlineStr">
        <is>
          <t>if(PRJ_TB_CHECKED_BY_TXT&lt;&gt;"",PRJ_TB_CHECKED_BY_TXT,"[TBC]")</t>
        </is>
      </c>
      <c r="F28" s="223" t="n"/>
      <c r="G28" s="223" t="n"/>
      <c r="H28" s="223" t="n"/>
      <c r="I28" s="223" t="inlineStr">
        <is>
          <t>Project Information</t>
        </is>
      </c>
      <c r="J28" s="223" t="n"/>
      <c r="K28" s="223" t="n"/>
      <c r="L28" s="223" t="inlineStr">
        <is>
          <t>PRJ_TB_CHECKED_BY_TXT</t>
        </is>
      </c>
      <c r="M28" s="223" t="n"/>
      <c r="N28" s="223" t="n"/>
      <c r="O28" s="223" t="n"/>
      <c r="P28" s="223" t="n"/>
      <c r="Q28" s="223" t="inlineStr">
        <is>
          <t>Senior QS / project manager</t>
        </is>
      </c>
      <c r="R28" s="223" t="n"/>
    </row>
    <row r="29">
      <c r="A29" s="223" t="inlineStr">
        <is>
          <t>0.3.4</t>
        </is>
      </c>
      <c r="B29" s="223" t="inlineStr">
        <is>
          <t>Date checked</t>
        </is>
      </c>
      <c r="C29" s="223" t="n"/>
      <c r="D29" s="229" t="inlineStr">
        <is>
          <t>PRJ_TB_DATE_CHECKED_TXT</t>
        </is>
      </c>
      <c r="E29" s="223" t="inlineStr">
        <is>
          <t>if(PRJ_TB_DATE_CHECKED_TXT&lt;&gt;"",PRJ_TB_DATE_CHECKED_TXT,"[TBC]")</t>
        </is>
      </c>
      <c r="F29" s="223" t="n"/>
      <c r="G29" s="223" t="n"/>
      <c r="H29" s="223" t="n"/>
      <c r="I29" s="223" t="inlineStr">
        <is>
          <t>Project Information</t>
        </is>
      </c>
      <c r="J29" s="223" t="n"/>
      <c r="K29" s="223" t="n"/>
      <c r="L29" s="223" t="inlineStr">
        <is>
          <t>PRJ_TB_DATE_CHECKED_TXT</t>
        </is>
      </c>
      <c r="M29" s="223" t="n"/>
      <c r="N29" s="223" t="n"/>
      <c r="O29" s="223" t="n"/>
      <c r="P29" s="223" t="n"/>
      <c r="Q29" s="223" t="inlineStr"/>
      <c r="R29" s="223" t="n"/>
    </row>
    <row r="30">
      <c r="A30" s="223" t="inlineStr">
        <is>
          <t>0.3.5</t>
        </is>
      </c>
      <c r="B30" s="223" t="inlineStr">
        <is>
          <t>Approved by</t>
        </is>
      </c>
      <c r="C30" s="223" t="n"/>
      <c r="D30" s="229" t="inlineStr">
        <is>
          <t>PRJ_TB_APVD_BY_TXT</t>
        </is>
      </c>
      <c r="E30" s="223" t="inlineStr">
        <is>
          <t>if(PRJ_TB_APVD_BY_TXT&lt;&gt;"",PRJ_TB_APVD_BY_TXT,"[TBC]")</t>
        </is>
      </c>
      <c r="F30" s="223" t="n"/>
      <c r="G30" s="223" t="n"/>
      <c r="H30" s="223" t="n"/>
      <c r="I30" s="223" t="inlineStr">
        <is>
          <t>Project Information</t>
        </is>
      </c>
      <c r="J30" s="223" t="n"/>
      <c r="K30" s="223" t="n"/>
      <c r="L30" s="223" t="inlineStr">
        <is>
          <t>PRJ_TB_APVD_BY_TXT</t>
        </is>
      </c>
      <c r="M30" s="223" t="n"/>
      <c r="N30" s="223" t="n"/>
      <c r="O30" s="223" t="n"/>
      <c r="P30" s="223" t="n"/>
      <c r="Q30" s="223" t="inlineStr">
        <is>
          <t>Client representative / PM</t>
        </is>
      </c>
      <c r="R30" s="223" t="n"/>
    </row>
    <row r="31">
      <c r="A31" s="223" t="inlineStr">
        <is>
          <t>0.3.6</t>
        </is>
      </c>
      <c r="B31" s="223" t="inlineStr">
        <is>
          <t>Date approved</t>
        </is>
      </c>
      <c r="C31" s="223" t="n"/>
      <c r="D31" s="229" t="inlineStr">
        <is>
          <t>PRJ_TB_DATE_APVD_TXT</t>
        </is>
      </c>
      <c r="E31" s="223" t="inlineStr">
        <is>
          <t>if(PRJ_TB_DATE_APVD_TXT&lt;&gt;"",PRJ_TB_DATE_APVD_TXT,"[TBC]")</t>
        </is>
      </c>
      <c r="F31" s="223" t="n"/>
      <c r="G31" s="223" t="n"/>
      <c r="H31" s="223" t="n"/>
      <c r="I31" s="223" t="inlineStr">
        <is>
          <t>Project Information</t>
        </is>
      </c>
      <c r="J31" s="223" t="n"/>
      <c r="K31" s="223" t="n"/>
      <c r="L31" s="223" t="inlineStr">
        <is>
          <t>PRJ_TB_DATE_APVD_TXT</t>
        </is>
      </c>
      <c r="M31" s="223" t="n"/>
      <c r="N31" s="223" t="n"/>
      <c r="O31" s="223" t="n"/>
      <c r="P31" s="223" t="n"/>
      <c r="Q31" s="223" t="inlineStr"/>
      <c r="R31" s="223" t="n"/>
    </row>
    <row r="32">
      <c r="A32" s="223" t="inlineStr">
        <is>
          <t>0.3.7</t>
        </is>
      </c>
      <c r="B32" s="223" t="inlineStr">
        <is>
          <t>Revision number</t>
        </is>
      </c>
      <c r="C32" s="223" t="n"/>
      <c r="D32" s="229" t="inlineStr">
        <is>
          <t>PRJ_TB_REVISION_NR_TXT</t>
        </is>
      </c>
      <c r="E32" s="223" t="inlineStr">
        <is>
          <t>if(PRJ_TB_REVISION_NR_TXT&lt;&gt;"",PRJ_TB_REVISION_NR_TXT,"[TBC]")</t>
        </is>
      </c>
      <c r="F32" s="223" t="n"/>
      <c r="G32" s="223" t="n"/>
      <c r="H32" s="223" t="n"/>
      <c r="I32" s="223" t="inlineStr">
        <is>
          <t>Project Information</t>
        </is>
      </c>
      <c r="J32" s="223" t="n"/>
      <c r="K32" s="223" t="n"/>
      <c r="L32" s="223" t="inlineStr">
        <is>
          <t>PRJ_TB_REVISION_NR_TXT</t>
        </is>
      </c>
      <c r="M32" s="223" t="n"/>
      <c r="N32" s="223" t="n"/>
      <c r="O32" s="223" t="n"/>
      <c r="P32" s="223" t="n"/>
      <c r="Q32" s="223" t="inlineStr">
        <is>
          <t>Rev A / Rev B / etc.</t>
        </is>
      </c>
      <c r="R32" s="223" t="n"/>
    </row>
    <row r="33">
      <c r="A33" s="223" t="inlineStr">
        <is>
          <t>0.3.8</t>
        </is>
      </c>
      <c r="B33" s="223" t="inlineStr">
        <is>
          <t>Revision date</t>
        </is>
      </c>
      <c r="C33" s="223" t="n"/>
      <c r="D33" s="229" t="inlineStr">
        <is>
          <t>PRJ_TB_REVISION_DATE_TXT</t>
        </is>
      </c>
      <c r="E33" s="223" t="inlineStr">
        <is>
          <t>if(PRJ_TB_REVISION_DATE_TXT&lt;&gt;"",PRJ_TB_REVISION_DATE_TXT,"[TBC]")</t>
        </is>
      </c>
      <c r="F33" s="223" t="n"/>
      <c r="G33" s="223" t="n"/>
      <c r="H33" s="223" t="n"/>
      <c r="I33" s="223" t="inlineStr">
        <is>
          <t>Project Information</t>
        </is>
      </c>
      <c r="J33" s="223" t="n"/>
      <c r="K33" s="223" t="n"/>
      <c r="L33" s="223" t="inlineStr">
        <is>
          <t>PRJ_TB_REVISION_DATE_TXT</t>
        </is>
      </c>
      <c r="M33" s="223" t="n"/>
      <c r="N33" s="223" t="n"/>
      <c r="O33" s="223" t="n"/>
      <c r="P33" s="223" t="n"/>
      <c r="Q33" s="223" t="inlineStr"/>
      <c r="R33" s="223" t="n"/>
    </row>
    <row r="34">
      <c r="A34" s="223" t="inlineStr">
        <is>
          <t>0.3.9</t>
        </is>
      </c>
      <c r="B34" s="223" t="inlineStr">
        <is>
          <t>Revision description</t>
        </is>
      </c>
      <c r="C34" s="223" t="n"/>
      <c r="D34" s="229" t="inlineStr">
        <is>
          <t>PRJ_TB_REVISION_DESCRIPTION_TXT</t>
        </is>
      </c>
      <c r="E34" s="223" t="inlineStr">
        <is>
          <t>if(PRJ_TB_REVISION_DESCRIPTION_TXT&lt;&gt;"",PRJ_TB_REVISION_DESCRIPTION_TXT,"[TBC]")</t>
        </is>
      </c>
      <c r="F34" s="223" t="n"/>
      <c r="G34" s="223" t="n"/>
      <c r="H34" s="223" t="n"/>
      <c r="I34" s="223" t="inlineStr">
        <is>
          <t>Project Information</t>
        </is>
      </c>
      <c r="J34" s="223" t="n"/>
      <c r="K34" s="223" t="n"/>
      <c r="L34" s="223" t="inlineStr">
        <is>
          <t>PRJ_TB_REVISION_DESCRIPTION_TXT</t>
        </is>
      </c>
      <c r="M34" s="223" t="n"/>
      <c r="N34" s="223" t="n"/>
      <c r="O34" s="223" t="n"/>
      <c r="P34" s="223" t="n"/>
      <c r="Q34" s="223" t="inlineStr">
        <is>
          <t>Change summary</t>
        </is>
      </c>
      <c r="R34" s="223" t="n"/>
    </row>
    <row r="35">
      <c r="A35" s="263" t="inlineStr">
        <is>
          <t>0.4  Project metrics (auto-calculated from model)</t>
        </is>
      </c>
      <c r="B35" s="269" t="n"/>
      <c r="C35" s="269" t="n"/>
      <c r="D35" s="269" t="n"/>
      <c r="E35" s="269" t="n"/>
      <c r="F35" s="269" t="n"/>
      <c r="G35" s="269" t="n"/>
      <c r="H35" s="269" t="n"/>
      <c r="I35" s="269" t="n"/>
      <c r="J35" s="269" t="n"/>
      <c r="K35" s="269" t="n"/>
      <c r="L35" s="269" t="n"/>
      <c r="M35" s="269" t="n"/>
      <c r="N35" s="269" t="n"/>
      <c r="O35" s="269" t="n"/>
      <c r="P35" s="269" t="n"/>
      <c r="Q35" s="269" t="n"/>
      <c r="R35" s="270" t="n"/>
    </row>
    <row r="36">
      <c r="A36" s="223" t="inlineStr">
        <is>
          <t>0.4.1</t>
        </is>
      </c>
      <c r="B36" s="223" t="inlineStr">
        <is>
          <t>Plot area</t>
        </is>
      </c>
      <c r="C36" s="223" t="inlineStr">
        <is>
          <t>m2</t>
        </is>
      </c>
      <c r="D36" s="223" t="inlineStr">
        <is>
          <t>RGL_PLOT_AREA_SQ_M</t>
        </is>
      </c>
      <c r="E36" s="223" t="inlineStr"/>
      <c r="F36" s="223" t="n"/>
      <c r="G36" s="223" t="n"/>
      <c r="H36" s="223" t="n"/>
      <c r="I36" s="223" t="n"/>
      <c r="J36" s="223" t="n"/>
      <c r="K36" s="223" t="n"/>
      <c r="L36" s="223" t="inlineStr">
        <is>
          <t>RGL_PLOT_AREA_SQ_M</t>
        </is>
      </c>
      <c r="M36" s="223" t="n"/>
      <c r="N36" s="223" t="n"/>
      <c r="O36" s="223" t="n"/>
      <c r="P36" s="223" t="n"/>
      <c r="Q36" s="223" t="inlineStr">
        <is>
          <t>KCCA site plan</t>
        </is>
      </c>
      <c r="R36" s="223" t="n"/>
    </row>
    <row r="37">
      <c r="A37" s="223" t="inlineStr">
        <is>
          <t>0.4.2</t>
        </is>
      </c>
      <c r="B37" s="223" t="inlineStr">
        <is>
          <t>Building footprint</t>
        </is>
      </c>
      <c r="C37" s="223" t="inlineStr">
        <is>
          <t>m2</t>
        </is>
      </c>
      <c r="D37" s="223" t="inlineStr">
        <is>
          <t>RGL_BUILDING_FOOTPRINT_SQ_M</t>
        </is>
      </c>
      <c r="E37" s="223" t="inlineStr"/>
      <c r="F37" s="223" t="n"/>
      <c r="G37" s="223" t="n"/>
      <c r="H37" s="223" t="n"/>
      <c r="I37" s="223" t="n"/>
      <c r="J37" s="223" t="n"/>
      <c r="K37" s="223" t="n"/>
      <c r="L37" s="223" t="inlineStr">
        <is>
          <t>RGL_BUILDING_FOOTPRINT_SQ_M</t>
        </is>
      </c>
      <c r="M37" s="223" t="n"/>
      <c r="N37" s="223" t="n"/>
      <c r="O37" s="223" t="n"/>
      <c r="P37" s="223" t="n"/>
      <c r="Q37" s="223" t="inlineStr"/>
      <c r="R37" s="223" t="n"/>
    </row>
    <row r="38">
      <c r="A38" s="223" t="inlineStr">
        <is>
          <t>0.4.3</t>
        </is>
      </c>
      <c r="B38" s="223" t="inlineStr">
        <is>
          <t>Total floor area (GFA)</t>
        </is>
      </c>
      <c r="C38" s="223" t="inlineStr">
        <is>
          <t>m2</t>
        </is>
      </c>
      <c r="D38" s="223" t="inlineStr">
        <is>
          <t>RGL_TOTAL_FLOOR_AREA_SQ_M</t>
        </is>
      </c>
      <c r="E38" s="223" t="inlineStr"/>
      <c r="F38" s="223" t="n"/>
      <c r="G38" s="223" t="n"/>
      <c r="H38" s="223" t="n"/>
      <c r="I38" s="223" t="n"/>
      <c r="J38" s="223" t="n"/>
      <c r="K38" s="223" t="n"/>
      <c r="L38" s="223" t="inlineStr">
        <is>
          <t>RGL_TOTAL_FLOOR_AREA_SQ_M</t>
        </is>
      </c>
      <c r="M38" s="223" t="n"/>
      <c r="N38" s="223" t="n"/>
      <c r="O38" s="223" t="n"/>
      <c r="P38" s="223" t="n"/>
      <c r="Q38" s="223" t="inlineStr">
        <is>
          <t>KCCA planning approval</t>
        </is>
      </c>
      <c r="R38" s="223" t="n"/>
    </row>
    <row r="39">
      <c r="A39" s="223" t="inlineStr">
        <is>
          <t>0.4.4</t>
        </is>
      </c>
      <c r="B39" s="223" t="inlineStr">
        <is>
          <t>Plot coverage</t>
        </is>
      </c>
      <c r="C39" s="223" t="inlineStr">
        <is>
          <t xml:space="preserve">% </t>
        </is>
      </c>
      <c r="D39" s="223" t="inlineStr">
        <is>
          <t>RGL_PLOT_COVERAGE_PCT</t>
        </is>
      </c>
      <c r="E39" s="223" t="inlineStr">
        <is>
          <t>RGL_BUILDING_FOOTPRINT_SQ_M / RGL_PLOT_AREA_SQ_M * 100</t>
        </is>
      </c>
      <c r="F39" s="223" t="n"/>
      <c r="G39" s="223" t="n"/>
      <c r="H39" s="223" t="n"/>
      <c r="I39" s="223" t="n"/>
      <c r="J39" s="223" t="n"/>
      <c r="K39" s="223" t="n"/>
      <c r="L39" s="223" t="inlineStr">
        <is>
          <t>RGL_BUILDING_FOOTPRINT_SQ_M, RGL_PLOT_AREA_SQ_M</t>
        </is>
      </c>
      <c r="M39" s="223" t="n"/>
      <c r="N39" s="223" t="n"/>
      <c r="O39" s="223" t="n"/>
      <c r="P39" s="223" t="n"/>
      <c r="Q39" s="223" t="inlineStr">
        <is>
          <t>KCCA max 50-60%</t>
        </is>
      </c>
      <c r="R39" s="223" t="n"/>
    </row>
    <row r="40">
      <c r="A40" s="223" t="inlineStr">
        <is>
          <t>0.4.5</t>
        </is>
      </c>
      <c r="B40" s="223" t="inlineStr">
        <is>
          <t>Floor area ratio</t>
        </is>
      </c>
      <c r="C40" s="223" t="inlineStr">
        <is>
          <t>ratio</t>
        </is>
      </c>
      <c r="D40" s="223" t="inlineStr">
        <is>
          <t>RGL_PLOT_FAR_NR</t>
        </is>
      </c>
      <c r="E40" s="223" t="inlineStr">
        <is>
          <t>RGL_TOTAL_FLOOR_AREA_SQ_M / RGL_PLOT_AREA_SQ_M</t>
        </is>
      </c>
      <c r="F40" s="223" t="n"/>
      <c r="G40" s="223" t="n"/>
      <c r="H40" s="223" t="n"/>
      <c r="I40" s="223" t="n"/>
      <c r="J40" s="223" t="n"/>
      <c r="K40" s="223" t="n"/>
      <c r="L40" s="223" t="inlineStr">
        <is>
          <t>RGL_TOTAL_FLOOR_AREA_SQ_M, RGL_PLOT_AREA_SQ_M</t>
        </is>
      </c>
      <c r="M40" s="223" t="n"/>
      <c r="N40" s="223" t="n"/>
      <c r="O40" s="223" t="n"/>
      <c r="P40" s="223" t="n"/>
      <c r="Q40" s="223" t="inlineStr">
        <is>
          <t>KCCA zone limit</t>
        </is>
      </c>
      <c r="R40" s="223" t="n"/>
    </row>
    <row r="41">
      <c r="A41" s="223" t="inlineStr">
        <is>
          <t>0.4.6</t>
        </is>
      </c>
      <c r="B41" s="223" t="inlineStr">
        <is>
          <t>Parking provision</t>
        </is>
      </c>
      <c r="C41" s="223" t="inlineStr">
        <is>
          <t>spaces</t>
        </is>
      </c>
      <c r="D41" s="223" t="inlineStr">
        <is>
          <t>RGL_PARKING_SPACES_NR</t>
        </is>
      </c>
      <c r="E41" s="223" t="inlineStr">
        <is>
          <t>RGL_TOTAL_FLOOR_AREA_SQ_M / RGL_PARKING_PROVISION_M2_NR</t>
        </is>
      </c>
      <c r="F41" s="223" t="n"/>
      <c r="G41" s="223" t="n"/>
      <c r="H41" s="223" t="n"/>
      <c r="I41" s="223" t="n"/>
      <c r="J41" s="223" t="n"/>
      <c r="K41" s="223" t="n"/>
      <c r="L41" s="223" t="inlineStr">
        <is>
          <t>RGL_TOTAL_FLOOR_AREA_SQ_M, RGL_PARKING_PROVISION_M2_NR</t>
        </is>
      </c>
      <c r="M41" s="223" t="n"/>
      <c r="N41" s="223" t="n"/>
      <c r="O41" s="223" t="n"/>
      <c r="P41" s="223" t="n"/>
      <c r="Q41" s="223" t="inlineStr">
        <is>
          <t>1 per 30-50m2</t>
        </is>
      </c>
      <c r="R41" s="223" t="n"/>
    </row>
    <row r="44">
      <c r="A44" s="265" t="inlineStr">
        <is>
          <t>BILL No.1  —  PRELIMINARIES</t>
        </is>
      </c>
      <c r="B44" s="269" t="n"/>
      <c r="C44" s="269" t="n"/>
      <c r="D44" s="269" t="n"/>
      <c r="E44" s="269" t="n"/>
      <c r="F44" s="269" t="n"/>
      <c r="G44" s="269" t="n"/>
      <c r="H44" s="269" t="n"/>
      <c r="I44" s="269" t="n"/>
      <c r="J44" s="269" t="n"/>
      <c r="K44" s="269" t="n"/>
      <c r="L44" s="269" t="n"/>
      <c r="M44" s="269" t="n"/>
      <c r="N44" s="269" t="n"/>
      <c r="O44" s="269" t="n"/>
      <c r="P44" s="269" t="n"/>
      <c r="Q44" s="269" t="n"/>
      <c r="R44" s="270" t="n"/>
    </row>
    <row r="45">
      <c r="A45" s="223" t="inlineStr">
        <is>
          <t>1.1  Contractor Obligations &amp; Project Setup</t>
        </is>
      </c>
      <c r="B45" s="223" t="inlineStr"/>
      <c r="C45" s="223" t="inlineStr"/>
      <c r="D45" s="223" t="inlineStr"/>
      <c r="E45" s="223" t="n"/>
      <c r="F45" s="223" t="inlineStr"/>
      <c r="G45" s="223" t="n"/>
      <c r="H45" s="223" t="n"/>
      <c r="I45" s="223" t="inlineStr"/>
      <c r="J45" s="223" t="inlineStr"/>
      <c r="K45" s="223" t="inlineStr"/>
      <c r="L45" s="223" t="inlineStr"/>
      <c r="M45" s="223" t="inlineStr"/>
      <c r="N45" s="223" t="inlineStr"/>
      <c r="O45" s="223" t="inlineStr">
        <is>
          <t>CST_SUP_PREFERRED_SUPPLIER_TXT</t>
        </is>
      </c>
      <c r="P45" s="223" t="inlineStr">
        <is>
          <t>CST_SUP_PROCUREMENT_LEAD_TIME_DAYS</t>
        </is>
      </c>
      <c r="Q45" s="223" t="inlineStr"/>
      <c r="R45" s="223" t="inlineStr"/>
    </row>
    <row r="46">
      <c r="A46" s="223" t="inlineStr">
        <is>
          <t>1.1.1</t>
        </is>
      </c>
      <c r="B46" s="223" t="inlineStr">
        <is>
          <t>Allow for temporary water supply for construction purposes including piping from source to works and all necessary connections</t>
        </is>
      </c>
      <c r="C46" s="223" t="inlineStr">
        <is>
          <t>Item</t>
        </is>
      </c>
      <c r="D46" s="223" t="inlineStr">
        <is>
          <t>Manual entry</t>
        </is>
      </c>
      <c r="E46" s="223" t="n"/>
      <c r="F46" s="223" t="inlineStr"/>
      <c r="G46" s="223" t="n"/>
      <c r="H46" s="223" t="n"/>
      <c r="I46" s="223" t="inlineStr"/>
      <c r="J46" s="223" t="inlineStr"/>
      <c r="K46" s="223" t="inlineStr">
        <is>
          <t>N/A — manual item</t>
        </is>
      </c>
      <c r="L46" s="223" t="inlineStr"/>
      <c r="M46" s="223" t="inlineStr">
        <is>
          <t>Bill1-Prelim</t>
        </is>
      </c>
      <c r="N46" s="223" t="inlineStr"/>
      <c r="O46" s="223" t="inlineStr">
        <is>
          <t>CST_SUP_PREFERRED_SUPPLIER_TXT</t>
        </is>
      </c>
      <c r="P46" s="223" t="inlineStr">
        <is>
          <t>CST_SUP_PROCUREMENT_LEAD_TIME_DAYS</t>
        </is>
      </c>
      <c r="Q46" s="223" t="inlineStr">
        <is>
          <t>Uganda: NWSC connection required. Allow plumber fees.</t>
        </is>
      </c>
      <c r="R46" s="223" t="inlineStr"/>
    </row>
    <row r="47">
      <c r="A47" s="223" t="inlineStr">
        <is>
          <t>1.1.2</t>
        </is>
      </c>
      <c r="B47" s="223" t="inlineStr">
        <is>
          <t>Allow for providing and maintaining a weatherproof lockable store for materials and plant for the duration of the contract</t>
        </is>
      </c>
      <c r="C47" s="223" t="inlineStr">
        <is>
          <t>Item</t>
        </is>
      </c>
      <c r="D47" s="223" t="inlineStr">
        <is>
          <t>Manual entry</t>
        </is>
      </c>
      <c r="E47" s="223" t="n"/>
      <c r="F47" s="223" t="inlineStr"/>
      <c r="G47" s="223" t="n"/>
      <c r="H47" s="223" t="n"/>
      <c r="I47" s="223" t="inlineStr"/>
      <c r="J47" s="223" t="inlineStr"/>
      <c r="K47" s="223" t="inlineStr"/>
      <c r="L47" s="223" t="inlineStr"/>
      <c r="M47" s="223" t="inlineStr">
        <is>
          <t>Bill1-Prelim</t>
        </is>
      </c>
      <c r="N47" s="223" t="inlineStr"/>
      <c r="O47" s="223" t="inlineStr">
        <is>
          <t>CST_SUP_PREFERRED_SUPPLIER_TXT</t>
        </is>
      </c>
      <c r="P47" s="223" t="inlineStr">
        <is>
          <t>CST_SUP_PROCUREMENT_LEAD_TIME_DAYS</t>
        </is>
      </c>
      <c r="Q47" s="223" t="inlineStr"/>
      <c r="R47" s="223" t="inlineStr"/>
    </row>
    <row r="48">
      <c r="A48" s="223" t="inlineStr">
        <is>
          <t>1.1.3</t>
        </is>
      </c>
      <c r="B48" s="223" t="inlineStr">
        <is>
          <t>Allow for temporary electrical power supply including generator, wiring, and distribution for the duration of the contract</t>
        </is>
      </c>
      <c r="C48" s="223" t="inlineStr">
        <is>
          <t>Item</t>
        </is>
      </c>
      <c r="D48" s="223" t="inlineStr">
        <is>
          <t>Manual entry</t>
        </is>
      </c>
      <c r="E48" s="223" t="n"/>
      <c r="F48" s="223" t="inlineStr"/>
      <c r="G48" s="223" t="n"/>
      <c r="H48" s="223" t="n"/>
      <c r="I48" s="223" t="inlineStr"/>
      <c r="J48" s="223" t="inlineStr"/>
      <c r="K48" s="223" t="inlineStr"/>
      <c r="L48" s="223" t="inlineStr"/>
      <c r="M48" s="223" t="inlineStr">
        <is>
          <t>Bill1-Prelim</t>
        </is>
      </c>
      <c r="N48" s="223" t="inlineStr"/>
      <c r="O48" s="223" t="inlineStr">
        <is>
          <t>CST_SUP_PREFERRED_SUPPLIER_TXT</t>
        </is>
      </c>
      <c r="P48" s="223" t="inlineStr">
        <is>
          <t>CST_SUP_PROCUREMENT_LEAD_TIME_DAYS</t>
        </is>
      </c>
      <c r="Q48" s="223" t="inlineStr">
        <is>
          <t>Uganda: UMEME connection or diesel gen.</t>
        </is>
      </c>
      <c r="R48" s="223" t="inlineStr"/>
    </row>
    <row r="49">
      <c r="A49" s="223" t="inlineStr">
        <is>
          <t>1.1.4</t>
        </is>
      </c>
      <c r="B49" s="223" t="inlineStr">
        <is>
          <t>Allow for provision of security to protect the works and materials for the duration of the contract</t>
        </is>
      </c>
      <c r="C49" s="223" t="inlineStr">
        <is>
          <t>Item</t>
        </is>
      </c>
      <c r="D49" s="223" t="inlineStr">
        <is>
          <t>Manual entry</t>
        </is>
      </c>
      <c r="E49" s="223" t="n"/>
      <c r="F49" s="223" t="inlineStr"/>
      <c r="G49" s="223" t="n"/>
      <c r="H49" s="223" t="n"/>
      <c r="I49" s="223" t="inlineStr"/>
      <c r="J49" s="223" t="inlineStr"/>
      <c r="K49" s="223" t="inlineStr"/>
      <c r="L49" s="223" t="inlineStr"/>
      <c r="M49" s="223" t="inlineStr">
        <is>
          <t>Bill1-Prelim</t>
        </is>
      </c>
      <c r="N49" s="223" t="inlineStr"/>
      <c r="O49" s="223" t="inlineStr">
        <is>
          <t>CST_SUP_PREFERRED_SUPPLIER_TXT</t>
        </is>
      </c>
      <c r="P49" s="223" t="inlineStr">
        <is>
          <t>CST_SUP_PROCUREMENT_LEAD_TIME_DAYS</t>
        </is>
      </c>
      <c r="Q49" s="223" t="inlineStr"/>
      <c r="R49" s="223" t="inlineStr"/>
    </row>
    <row r="50">
      <c r="A50" s="223" t="inlineStr">
        <is>
          <t>1.1.5</t>
        </is>
      </c>
      <c r="B50" s="223" t="inlineStr">
        <is>
          <t>Allow for setting out the works including survey equipment and all associated costs</t>
        </is>
      </c>
      <c r="C50" s="223" t="inlineStr">
        <is>
          <t>Item</t>
        </is>
      </c>
      <c r="D50" s="223" t="inlineStr">
        <is>
          <t>Manual entry</t>
        </is>
      </c>
      <c r="E50" s="223" t="n"/>
      <c r="F50" s="223" t="inlineStr"/>
      <c r="G50" s="223" t="n"/>
      <c r="H50" s="223" t="n"/>
      <c r="I50" s="223" t="inlineStr"/>
      <c r="J50" s="223" t="inlineStr"/>
      <c r="K50" s="223" t="inlineStr"/>
      <c r="L50" s="223" t="inlineStr"/>
      <c r="M50" s="223" t="inlineStr">
        <is>
          <t>Bill1-Prelim</t>
        </is>
      </c>
      <c r="N50" s="223" t="inlineStr"/>
      <c r="O50" s="223" t="inlineStr">
        <is>
          <t>CST_SUP_PREFERRED_SUPPLIER_TXT</t>
        </is>
      </c>
      <c r="P50" s="223" t="inlineStr">
        <is>
          <t>CST_SUP_PROCUREMENT_LEAD_TIME_DAYS</t>
        </is>
      </c>
      <c r="Q50" s="223" t="inlineStr"/>
      <c r="R50" s="223" t="inlineStr"/>
    </row>
    <row r="51">
      <c r="A51" s="223" t="inlineStr">
        <is>
          <t>1.1.6</t>
        </is>
      </c>
      <c r="B51" s="223" t="inlineStr">
        <is>
          <t>Allow for insurance of the works, public liability insurance, and workmen's compensation for the duration of the contract</t>
        </is>
      </c>
      <c r="C51" s="223" t="inlineStr">
        <is>
          <t>Item</t>
        </is>
      </c>
      <c r="D51" s="223" t="inlineStr">
        <is>
          <t>Manual entry</t>
        </is>
      </c>
      <c r="E51" s="223" t="n"/>
      <c r="F51" s="223" t="inlineStr"/>
      <c r="G51" s="223" t="n"/>
      <c r="H51" s="223" t="n"/>
      <c r="I51" s="223" t="inlineStr"/>
      <c r="J51" s="223" t="inlineStr"/>
      <c r="K51" s="223" t="inlineStr"/>
      <c r="L51" s="223" t="inlineStr"/>
      <c r="M51" s="223" t="inlineStr">
        <is>
          <t>Bill1-Prelim</t>
        </is>
      </c>
      <c r="N51" s="223" t="inlineStr"/>
      <c r="O51" s="223" t="inlineStr">
        <is>
          <t>CST_SUP_PREFERRED_SUPPLIER_TXT</t>
        </is>
      </c>
      <c r="P51" s="223" t="inlineStr">
        <is>
          <t>CST_SUP_PROCUREMENT_LEAD_TIME_DAYS</t>
        </is>
      </c>
      <c r="Q51" s="223" t="inlineStr">
        <is>
          <t>PPDA requires evidence of insurance.</t>
        </is>
      </c>
      <c r="R51" s="223" t="inlineStr"/>
    </row>
    <row r="52">
      <c r="A52" s="223" t="inlineStr">
        <is>
          <t>1.1.7</t>
        </is>
      </c>
      <c r="B52" s="223" t="inlineStr">
        <is>
          <t>Allow for all health and safety requirements including personal protective equipment, first aid, and site signage</t>
        </is>
      </c>
      <c r="C52" s="223" t="inlineStr">
        <is>
          <t>Item</t>
        </is>
      </c>
      <c r="D52" s="223" t="inlineStr">
        <is>
          <t>Manual entry</t>
        </is>
      </c>
      <c r="E52" s="223" t="n"/>
      <c r="F52" s="223" t="inlineStr"/>
      <c r="G52" s="223" t="n"/>
      <c r="H52" s="223" t="n"/>
      <c r="I52" s="223" t="inlineStr"/>
      <c r="J52" s="223" t="inlineStr"/>
      <c r="K52" s="223" t="inlineStr"/>
      <c r="L52" s="223" t="inlineStr"/>
      <c r="M52" s="223" t="inlineStr">
        <is>
          <t>Bill1-Prelim</t>
        </is>
      </c>
      <c r="N52" s="223" t="inlineStr"/>
      <c r="O52" s="223" t="inlineStr">
        <is>
          <t>CST_SUP_PREFERRED_SUPPLIER_TXT</t>
        </is>
      </c>
      <c r="P52" s="223" t="inlineStr">
        <is>
          <t>CST_SUP_PROCUREMENT_LEAD_TIME_DAYS</t>
        </is>
      </c>
      <c r="Q52" s="223" t="inlineStr">
        <is>
          <t>Uganda OSH Act compliance.</t>
        </is>
      </c>
      <c r="R52" s="223" t="inlineStr"/>
    </row>
    <row r="53">
      <c r="A53" s="223" t="inlineStr">
        <is>
          <t>1.1.8</t>
        </is>
      </c>
      <c r="B53" s="223" t="inlineStr">
        <is>
          <t>Allow for demobilisation, clearing site, and removal of all temporary works on completion</t>
        </is>
      </c>
      <c r="C53" s="223" t="inlineStr">
        <is>
          <t>Item</t>
        </is>
      </c>
      <c r="D53" s="223" t="inlineStr">
        <is>
          <t>Manual entry</t>
        </is>
      </c>
      <c r="E53" s="223" t="n"/>
      <c r="F53" s="223" t="inlineStr"/>
      <c r="G53" s="223" t="n"/>
      <c r="H53" s="223" t="n"/>
      <c r="I53" s="223" t="inlineStr"/>
      <c r="J53" s="223" t="inlineStr"/>
      <c r="K53" s="223" t="inlineStr"/>
      <c r="L53" s="223" t="inlineStr"/>
      <c r="M53" s="223" t="inlineStr">
        <is>
          <t>Bill1-Prelim</t>
        </is>
      </c>
      <c r="N53" s="223" t="inlineStr"/>
      <c r="O53" s="223" t="inlineStr">
        <is>
          <t>CST_SUP_PREFERRED_SUPPLIER_TXT</t>
        </is>
      </c>
      <c r="P53" s="223" t="inlineStr">
        <is>
          <t>CST_SUP_PROCUREMENT_LEAD_TIME_DAYS</t>
        </is>
      </c>
      <c r="Q53" s="223" t="inlineStr"/>
      <c r="R53" s="223" t="inlineStr"/>
    </row>
    <row r="54">
      <c r="A54" s="223" t="inlineStr"/>
      <c r="B54" s="223" t="inlineStr"/>
      <c r="C54" s="223" t="inlineStr"/>
      <c r="D54" s="223" t="inlineStr"/>
      <c r="E54" s="223" t="n"/>
      <c r="F54" s="223" t="inlineStr"/>
      <c r="G54" s="223" t="n"/>
      <c r="H54" s="223" t="n"/>
      <c r="I54" s="223" t="inlineStr"/>
      <c r="J54" s="223" t="inlineStr"/>
      <c r="K54" s="223" t="inlineStr"/>
      <c r="L54" s="223" t="inlineStr"/>
      <c r="M54" s="223" t="inlineStr"/>
      <c r="N54" s="223" t="inlineStr"/>
      <c r="O54" s="223" t="inlineStr">
        <is>
          <t>CST_SUP_PREFERRED_SUPPLIER_TXT</t>
        </is>
      </c>
      <c r="P54" s="223" t="inlineStr">
        <is>
          <t>CST_SUP_PROCUREMENT_LEAD_TIME_DAYS</t>
        </is>
      </c>
      <c r="Q54" s="223" t="inlineStr"/>
      <c r="R54" s="223" t="inlineStr"/>
    </row>
    <row r="55">
      <c r="A55" s="265" t="inlineStr">
        <is>
          <t>BILL No.2  —  TOOLS &amp; EQUIPMENT</t>
        </is>
      </c>
      <c r="B55" s="269" t="n"/>
      <c r="C55" s="269" t="n"/>
      <c r="D55" s="269" t="n"/>
      <c r="E55" s="269" t="n"/>
      <c r="F55" s="269" t="n"/>
      <c r="G55" s="269" t="n"/>
      <c r="H55" s="269" t="n"/>
      <c r="I55" s="269" t="n"/>
      <c r="J55" s="269" t="n"/>
      <c r="K55" s="269" t="n"/>
      <c r="L55" s="269" t="n"/>
      <c r="M55" s="269" t="n"/>
      <c r="N55" s="269" t="n"/>
      <c r="O55" s="269" t="n"/>
      <c r="P55" s="269" t="n"/>
      <c r="Q55" s="269" t="n"/>
      <c r="R55" s="270" t="n"/>
    </row>
    <row r="56">
      <c r="A56" s="223" t="inlineStr">
        <is>
          <t>2.1  Plant &amp; Tools for Construction Use</t>
        </is>
      </c>
      <c r="B56" s="223" t="inlineStr"/>
      <c r="C56" s="223" t="inlineStr"/>
      <c r="D56" s="223" t="inlineStr"/>
      <c r="E56" s="223" t="n"/>
      <c r="F56" s="223" t="inlineStr"/>
      <c r="G56" s="223" t="n"/>
      <c r="H56" s="223" t="n"/>
      <c r="I56" s="223" t="inlineStr"/>
      <c r="J56" s="223" t="inlineStr"/>
      <c r="K56" s="223" t="inlineStr"/>
      <c r="L56" s="223" t="inlineStr"/>
      <c r="M56" s="223" t="inlineStr"/>
      <c r="N56" s="223" t="inlineStr"/>
      <c r="O56" s="223" t="inlineStr">
        <is>
          <t>CST_SUP_PREFERRED_SUPPLIER_TXT</t>
        </is>
      </c>
      <c r="P56" s="223" t="inlineStr">
        <is>
          <t>CST_SUP_PROCUREMENT_LEAD_TIME_DAYS</t>
        </is>
      </c>
      <c r="Q56" s="223" t="inlineStr"/>
      <c r="R56" s="223" t="inlineStr"/>
    </row>
    <row r="57">
      <c r="A57" s="223" t="inlineStr">
        <is>
          <t>2.1.1</t>
        </is>
      </c>
      <c r="B57" s="223" t="inlineStr">
        <is>
          <t>Provide wheelbarrows of approved design for the duration of the works</t>
        </is>
      </c>
      <c r="C57" s="223" t="inlineStr">
        <is>
          <t>No.</t>
        </is>
      </c>
      <c r="D57" s="223" t="inlineStr">
        <is>
          <t>Manual</t>
        </is>
      </c>
      <c r="E57" s="223" t="n"/>
      <c r="F57" s="223" t="inlineStr"/>
      <c r="G57" s="223" t="n"/>
      <c r="H57" s="223" t="n"/>
      <c r="I57" s="223" t="inlineStr"/>
      <c r="J57" s="223" t="inlineStr"/>
      <c r="K57" s="223" t="inlineStr"/>
      <c r="L57" s="223" t="inlineStr"/>
      <c r="M57" s="223" t="inlineStr">
        <is>
          <t>Bill2-Tools</t>
        </is>
      </c>
      <c r="N57" s="223" t="inlineStr"/>
      <c r="O57" s="223" t="inlineStr">
        <is>
          <t>CST_SUP_PREFERRED_SUPPLIER_TXT</t>
        </is>
      </c>
      <c r="P57" s="223" t="inlineStr">
        <is>
          <t>CST_SUP_PROCUREMENT_LEAD_TIME_DAYS</t>
        </is>
      </c>
      <c r="Q57" s="223" t="inlineStr">
        <is>
          <t>Standard PPDA prelim item.</t>
        </is>
      </c>
      <c r="R57" s="223" t="inlineStr"/>
    </row>
    <row r="58">
      <c r="A58" s="223" t="inlineStr">
        <is>
          <t>2.1.2</t>
        </is>
      </c>
      <c r="B58" s="223" t="inlineStr">
        <is>
          <t>Provide spades, shovels, hoes, and hand tools for the duration of the works</t>
        </is>
      </c>
      <c r="C58" s="223" t="inlineStr">
        <is>
          <t>Set</t>
        </is>
      </c>
      <c r="D58" s="223" t="inlineStr">
        <is>
          <t>Manual</t>
        </is>
      </c>
      <c r="E58" s="223" t="n"/>
      <c r="F58" s="223" t="inlineStr"/>
      <c r="G58" s="223" t="n"/>
      <c r="H58" s="223" t="n"/>
      <c r="I58" s="223" t="inlineStr"/>
      <c r="J58" s="223" t="inlineStr"/>
      <c r="K58" s="223" t="inlineStr"/>
      <c r="L58" s="223" t="inlineStr"/>
      <c r="M58" s="223" t="inlineStr">
        <is>
          <t>Bill2-Tools</t>
        </is>
      </c>
      <c r="N58" s="223" t="inlineStr"/>
      <c r="O58" s="223" t="inlineStr">
        <is>
          <t>CST_SUP_PREFERRED_SUPPLIER_TXT</t>
        </is>
      </c>
      <c r="P58" s="223" t="inlineStr">
        <is>
          <t>CST_SUP_PROCUREMENT_LEAD_TIME_DAYS</t>
        </is>
      </c>
      <c r="Q58" s="223" t="inlineStr"/>
      <c r="R58" s="223" t="inlineStr"/>
    </row>
    <row r="59">
      <c r="A59" s="223" t="inlineStr">
        <is>
          <t>2.1.3</t>
        </is>
      </c>
      <c r="B59" s="223" t="inlineStr">
        <is>
          <t>Provide concrete mixer (0.5 bag) for the duration of the works</t>
        </is>
      </c>
      <c r="C59" s="223" t="inlineStr">
        <is>
          <t>No.</t>
        </is>
      </c>
      <c r="D59" s="223" t="inlineStr">
        <is>
          <t>Manual</t>
        </is>
      </c>
      <c r="E59" s="223" t="n"/>
      <c r="F59" s="223" t="inlineStr"/>
      <c r="G59" s="223" t="n"/>
      <c r="H59" s="223" t="n"/>
      <c r="I59" s="223" t="inlineStr"/>
      <c r="J59" s="223" t="inlineStr"/>
      <c r="K59" s="223" t="inlineStr"/>
      <c r="L59" s="223" t="inlineStr"/>
      <c r="M59" s="223" t="inlineStr">
        <is>
          <t>Bill2-Tools</t>
        </is>
      </c>
      <c r="N59" s="223" t="inlineStr"/>
      <c r="O59" s="223" t="inlineStr">
        <is>
          <t>CST_SUP_PREFERRED_SUPPLIER_TXT</t>
        </is>
      </c>
      <c r="P59" s="223" t="inlineStr">
        <is>
          <t>CST_SUP_PROCUREMENT_LEAD_TIME_DAYS</t>
        </is>
      </c>
      <c r="Q59" s="223" t="inlineStr"/>
      <c r="R59" s="223" t="inlineStr"/>
    </row>
    <row r="60">
      <c r="A60" s="223" t="inlineStr">
        <is>
          <t>2.1.4</t>
        </is>
      </c>
      <c r="B60" s="223" t="inlineStr">
        <is>
          <t>Provide pulley / chain block hoist (1 tonne minimum) for the duration of the works</t>
        </is>
      </c>
      <c r="C60" s="223" t="inlineStr">
        <is>
          <t>No.</t>
        </is>
      </c>
      <c r="D60" s="223" t="inlineStr">
        <is>
          <t>Manual</t>
        </is>
      </c>
      <c r="E60" s="223" t="n"/>
      <c r="F60" s="223" t="inlineStr"/>
      <c r="G60" s="223" t="n"/>
      <c r="H60" s="223" t="n"/>
      <c r="I60" s="223" t="inlineStr"/>
      <c r="J60" s="223" t="inlineStr"/>
      <c r="K60" s="223" t="inlineStr"/>
      <c r="L60" s="223" t="inlineStr"/>
      <c r="M60" s="223" t="inlineStr">
        <is>
          <t>Bill2-Tools</t>
        </is>
      </c>
      <c r="N60" s="223" t="inlineStr"/>
      <c r="O60" s="223" t="inlineStr">
        <is>
          <t>CST_SUP_PREFERRED_SUPPLIER_TXT</t>
        </is>
      </c>
      <c r="P60" s="223" t="inlineStr">
        <is>
          <t>CST_SUP_PROCUREMENT_LEAD_TIME_DAYS</t>
        </is>
      </c>
      <c r="Q60" s="223" t="inlineStr">
        <is>
          <t>Required for MEP equipment lifts.</t>
        </is>
      </c>
      <c r="R60" s="223" t="inlineStr"/>
    </row>
    <row r="61">
      <c r="A61" s="223" t="inlineStr">
        <is>
          <t>2.1.5</t>
        </is>
      </c>
      <c r="B61" s="223" t="inlineStr">
        <is>
          <t>Provide scaffolding and access equipment for all works above 2m height for the duration of the works</t>
        </is>
      </c>
      <c r="C61" s="223" t="inlineStr">
        <is>
          <t>m²</t>
        </is>
      </c>
      <c r="D61" s="223" t="inlineStr">
        <is>
          <t>Manual</t>
        </is>
      </c>
      <c r="E61" s="223" t="n"/>
      <c r="F61" s="223" t="inlineStr"/>
      <c r="G61" s="223" t="n"/>
      <c r="H61" s="223" t="n"/>
      <c r="I61" s="223" t="inlineStr"/>
      <c r="J61" s="223" t="inlineStr"/>
      <c r="K61" s="223" t="inlineStr"/>
      <c r="L61" s="223" t="inlineStr"/>
      <c r="M61" s="223" t="inlineStr">
        <is>
          <t>Bill2-Tools</t>
        </is>
      </c>
      <c r="N61" s="223" t="inlineStr"/>
      <c r="O61" s="223" t="inlineStr">
        <is>
          <t>CST_SUP_PREFERRED_SUPPLIER_TXT</t>
        </is>
      </c>
      <c r="P61" s="223" t="inlineStr">
        <is>
          <t>CST_SUP_PROCUREMENT_LEAD_TIME_DAYS</t>
        </is>
      </c>
      <c r="Q61" s="223" t="inlineStr"/>
      <c r="R61" s="223" t="inlineStr"/>
    </row>
    <row r="62">
      <c r="A62" s="223" t="inlineStr">
        <is>
          <t>2.1.6</t>
        </is>
      </c>
      <c r="B62" s="223" t="inlineStr">
        <is>
          <t>Provide vibrator for concrete compaction for the duration of the works</t>
        </is>
      </c>
      <c r="C62" s="223" t="inlineStr">
        <is>
          <t>No.</t>
        </is>
      </c>
      <c r="D62" s="223" t="inlineStr">
        <is>
          <t>Manual</t>
        </is>
      </c>
      <c r="E62" s="223" t="n"/>
      <c r="F62" s="223" t="inlineStr"/>
      <c r="G62" s="223" t="n"/>
      <c r="H62" s="223" t="n"/>
      <c r="I62" s="223" t="inlineStr"/>
      <c r="J62" s="223" t="inlineStr"/>
      <c r="K62" s="223" t="inlineStr"/>
      <c r="L62" s="223" t="inlineStr"/>
      <c r="M62" s="223" t="inlineStr">
        <is>
          <t>Bill2-Tools</t>
        </is>
      </c>
      <c r="N62" s="223" t="inlineStr"/>
      <c r="O62" s="223" t="inlineStr">
        <is>
          <t>CST_SUP_PREFERRED_SUPPLIER_TXT</t>
        </is>
      </c>
      <c r="P62" s="223" t="inlineStr">
        <is>
          <t>CST_SUP_PROCUREMENT_LEAD_TIME_DAYS</t>
        </is>
      </c>
      <c r="Q62" s="223" t="inlineStr"/>
      <c r="R62" s="223" t="inlineStr"/>
    </row>
    <row r="63">
      <c r="A63" s="223" t="inlineStr"/>
      <c r="B63" s="223" t="inlineStr"/>
      <c r="C63" s="223" t="inlineStr"/>
      <c r="D63" s="223" t="inlineStr"/>
      <c r="E63" s="223" t="n"/>
      <c r="F63" s="223" t="inlineStr"/>
      <c r="G63" s="223" t="n"/>
      <c r="H63" s="223" t="n"/>
      <c r="I63" s="223" t="inlineStr"/>
      <c r="J63" s="223" t="inlineStr"/>
      <c r="K63" s="223" t="inlineStr"/>
      <c r="L63" s="223" t="inlineStr"/>
      <c r="M63" s="223" t="inlineStr"/>
      <c r="N63" s="223" t="inlineStr"/>
      <c r="O63" s="223" t="inlineStr">
        <is>
          <t>CST_SUP_PREFERRED_SUPPLIER_TXT</t>
        </is>
      </c>
      <c r="P63" s="223" t="inlineStr">
        <is>
          <t>CST_SUP_PROCUREMENT_LEAD_TIME_DAYS</t>
        </is>
      </c>
      <c r="Q63" s="223" t="inlineStr"/>
      <c r="R63" s="223" t="inlineStr"/>
    </row>
    <row r="64">
      <c r="A64" s="265" t="inlineStr">
        <is>
          <t>BILL No.3  —  ARCHITECTURAL / STRUCTURAL WORKS</t>
        </is>
      </c>
      <c r="B64" s="269" t="n"/>
      <c r="C64" s="269" t="n"/>
      <c r="D64" s="269" t="n"/>
      <c r="E64" s="269" t="n"/>
      <c r="F64" s="269" t="n"/>
      <c r="G64" s="269" t="n"/>
      <c r="H64" s="269" t="n"/>
      <c r="I64" s="269" t="n"/>
      <c r="J64" s="269" t="n"/>
      <c r="K64" s="269" t="n"/>
      <c r="L64" s="269" t="n"/>
      <c r="M64" s="269" t="n"/>
      <c r="N64" s="269" t="n"/>
      <c r="O64" s="269" t="n"/>
      <c r="P64" s="269" t="n"/>
      <c r="Q64" s="269" t="n"/>
      <c r="R64" s="270" t="n"/>
    </row>
    <row r="65">
      <c r="A65" s="223" t="inlineStr">
        <is>
          <t>3.1  SUBSTRUCTURE</t>
        </is>
      </c>
      <c r="B65" s="223" t="inlineStr"/>
      <c r="C65" s="223" t="inlineStr"/>
      <c r="D65" s="223" t="inlineStr"/>
      <c r="E65" s="223" t="n"/>
      <c r="F65" s="223" t="inlineStr"/>
      <c r="G65" s="223" t="n"/>
      <c r="H65" s="223" t="n"/>
      <c r="I65" s="223" t="inlineStr"/>
      <c r="J65" s="223" t="inlineStr"/>
      <c r="K65" s="223" t="inlineStr"/>
      <c r="L65" s="223" t="inlineStr"/>
      <c r="M65" s="223" t="inlineStr"/>
      <c r="N65" s="223" t="inlineStr"/>
      <c r="O65" s="223" t="inlineStr">
        <is>
          <t>CST_SUP_PREFERRED_SUPPLIER_TXT</t>
        </is>
      </c>
      <c r="P65" s="223" t="inlineStr">
        <is>
          <t>CST_SUP_PROCUREMENT_LEAD_TIME_DAYS</t>
        </is>
      </c>
      <c r="Q65" s="223" t="inlineStr"/>
      <c r="R65" s="223" t="inlineStr"/>
    </row>
    <row r="66">
      <c r="A66" s="223" t="inlineStr">
        <is>
          <t>3.1.1</t>
        </is>
      </c>
      <c r="B66" s="223" t="inlineStr">
        <is>
          <t>Excavation in soft / medium ground for foundations as shown on drawings to required depth</t>
        </is>
      </c>
      <c r="C66" s="223" t="inlineStr">
        <is>
          <t>m³</t>
        </is>
      </c>
      <c r="D66" s="230" t="inlineStr">
        <is>
          <t>CST_CALC_CONCRETE_M3</t>
        </is>
      </c>
      <c r="E66" s="230" t="inlineStr">
        <is>
          <t>if(CST_CALC_CONCRETE_M3&lt;&gt;0,CST_CALC_CONCRETE_M3,"")</t>
        </is>
      </c>
      <c r="F66" s="229" t="inlineStr">
        <is>
          <t>CST_UNIT_PRICE_CEMENT_UGX</t>
        </is>
      </c>
      <c r="G66" s="229" t="inlineStr">
        <is>
          <t>if(CST_UNIT_PRICE_CEMENT_UGX&lt;&gt;0,CST_UNIT_PRICE_CEMENT_UGX,"")</t>
        </is>
      </c>
      <c r="H66" s="224" t="inlineStr">
        <is>
          <t>if(and(CST_CALC_CONCRETE_M3&lt;&gt;0,CST_UNIT_PRICE_CEMENT_UGX&lt;&gt;0),CST_CALC_CONCRETE_M3*CST_UNIT_PRICE_CEMENT_UGX,"")</t>
        </is>
      </c>
      <c r="I66" s="223" t="inlineStr">
        <is>
          <t>Structural Foundations</t>
        </is>
      </c>
      <c r="J66" s="223" t="inlineStr">
        <is>
          <t>BOQ-STR-Foundations</t>
        </is>
      </c>
      <c r="K66" s="223" t="inlineStr">
        <is>
          <t>"Excavation: " + if(BLE_ROOM_VOLUME_M3&lt;&gt;"",BLE_ROOM_VOLUME_M3+"m³","TBC")</t>
        </is>
      </c>
      <c r="L66" s="223" t="inlineStr">
        <is>
          <t>BLE_ROOM_VOLUME_M3</t>
        </is>
      </c>
      <c r="M66" s="223" t="inlineStr">
        <is>
          <t>Bill3-Excavation</t>
        </is>
      </c>
      <c r="N66" s="223" t="inlineStr"/>
      <c r="O66" s="223" t="inlineStr">
        <is>
          <t>CST_SUP_PREFERRED_SUPPLIER_TXT</t>
        </is>
      </c>
      <c r="P66" s="223" t="inlineStr">
        <is>
          <t>CST_SUP_PROCUREMENT_LEAD_TIME_DAYS</t>
        </is>
      </c>
      <c r="Q66" s="223" t="inlineStr">
        <is>
          <t>Soil classification by geotech report.</t>
        </is>
      </c>
      <c r="R66" s="223" t="inlineStr"/>
    </row>
    <row r="67">
      <c r="A67" s="223" t="inlineStr">
        <is>
          <t>3.1.2</t>
        </is>
      </c>
      <c r="B67" s="223" t="inlineStr">
        <is>
          <t>[GRADE] concrete grade strip / pad / raft foundations [THICKNESS]mm thick as structural drawings. Reinf. per BBS.</t>
        </is>
      </c>
      <c r="C67" s="223" t="inlineStr">
        <is>
          <t>m³</t>
        </is>
      </c>
      <c r="D67" s="230" t="inlineStr">
        <is>
          <t>CST_CALC_CONCRETE_M3</t>
        </is>
      </c>
      <c r="E67" s="230" t="inlineStr">
        <is>
          <t>if(CST_CALC_CONCRETE_M3&lt;&gt;0,CST_CALC_CONCRETE_M3,"")</t>
        </is>
      </c>
      <c r="F67" s="229" t="inlineStr">
        <is>
          <t>CST_UNIT_PRICE_CEMENT_UGX</t>
        </is>
      </c>
      <c r="G67" s="229" t="inlineStr">
        <is>
          <t>if(CST_UNIT_PRICE_CEMENT_UGX&lt;&gt;0,CST_UNIT_PRICE_CEMENT_UGX,"")</t>
        </is>
      </c>
      <c r="H67" s="224" t="inlineStr">
        <is>
          <t>if(and(CST_CALC_CONCRETE_M3&lt;&gt;0,CST_UNIT_PRICE_CEMENT_UGX&lt;&gt;0),CST_CALC_CONCRETE_M3*CST_UNIT_PRICE_CEMENT_UGX,"")</t>
        </is>
      </c>
      <c r="I67" s="223" t="inlineStr">
        <is>
          <t>Structural Foundations</t>
        </is>
      </c>
      <c r="J67" s="223" t="inlineStr">
        <is>
          <t>BOQ-STR-Foundations</t>
        </is>
      </c>
      <c r="K67" s="223" t="inlineStr">
        <is>
          <t>"Grade " + if(BLE_STRUCT_CONCRETE_GRADE_TXT&lt;&gt;"",BLE_STRUCT_CONCRETE_GRADE_TXT,"C25") + " concrete foundations " + if(BLE_STRUCT_THICKNESS_MM&lt;&gt;"",BLE_STRUCT_THICKNESS_MM+"mm thick","as drawings") + " reinforced per BBS."</t>
        </is>
      </c>
      <c r="L67" s="223" t="inlineStr">
        <is>
          <t>BLE_STRUCT_CONCRETE_GRADE_TXT, BLE_STRUCT_THICKNESS_MM</t>
        </is>
      </c>
      <c r="M67" s="223" t="inlineStr">
        <is>
          <t>BOQ-STR-Foundations</t>
        </is>
      </c>
      <c r="N67" s="223" t="inlineStr">
        <is>
          <t>BLE_STRUCT_CONCRETE_GRADE_TXT</t>
        </is>
      </c>
      <c r="O67" s="223" t="inlineStr">
        <is>
          <t>CST_SUP_PREFERRED_SUPPLIER_TXT</t>
        </is>
      </c>
      <c r="P67" s="223" t="inlineStr">
        <is>
          <t>CST_SUP_PROCUREMENT_LEAD_TIME_DAYS</t>
        </is>
      </c>
      <c r="Q67" s="223" t="inlineStr">
        <is>
          <t>BOQ-ARCH-Foundations schedule. Qty=volume from model.</t>
        </is>
      </c>
      <c r="R67" s="223" t="inlineStr"/>
    </row>
    <row r="68">
      <c r="A68" s="223" t="inlineStr">
        <is>
          <t>3.1.3</t>
        </is>
      </c>
      <c r="B68" s="223" t="inlineStr">
        <is>
          <t>Blinding concrete [GRADE], [THICKNESS]mm thick below foundations</t>
        </is>
      </c>
      <c r="C68" s="223" t="inlineStr">
        <is>
          <t>m³</t>
        </is>
      </c>
      <c r="D68" s="230" t="inlineStr">
        <is>
          <t>CST_CALC_CONCRETE_M3</t>
        </is>
      </c>
      <c r="E68" s="230" t="inlineStr">
        <is>
          <t>if(CST_CALC_CONCRETE_M3&lt;&gt;0,CST_CALC_CONCRETE_M3,"")</t>
        </is>
      </c>
      <c r="F68" s="229" t="inlineStr">
        <is>
          <t>CST_UNIT_PRICE_CEMENT_UGX</t>
        </is>
      </c>
      <c r="G68" s="229" t="inlineStr">
        <is>
          <t>if(CST_UNIT_PRICE_CEMENT_UGX&lt;&gt;0,CST_UNIT_PRICE_CEMENT_UGX,"")</t>
        </is>
      </c>
      <c r="H68" s="224" t="inlineStr">
        <is>
          <t>if(and(CST_CALC_CONCRETE_M3&lt;&gt;0,CST_UNIT_PRICE_CEMENT_UGX&lt;&gt;0),CST_CALC_CONCRETE_M3*CST_UNIT_PRICE_CEMENT_UGX,"")</t>
        </is>
      </c>
      <c r="I68" s="223" t="inlineStr">
        <is>
          <t>Structural Foundations</t>
        </is>
      </c>
      <c r="J68" s="223" t="inlineStr">
        <is>
          <t>BOQ-STR-Foundations</t>
        </is>
      </c>
      <c r="K68" s="223" t="inlineStr">
        <is>
          <t>"Grade " + if(BLE_STRUCT_CONCRETE_GRADE_TXT&lt;&gt;"",BLE_STRUCT_CONCRETE_GRADE_TXT,"C15") + " blinding " + if(BLE_STRUCT_THICKNESS_MM&lt;&gt;"",BLE_STRUCT_THICKNESS_MM+"mm","75mm") + " thick."</t>
        </is>
      </c>
      <c r="L68" s="223" t="inlineStr">
        <is>
          <t>BLE_STRUCT_CONCRETE_GRADE_TXT, BLE_STRUCT_THICKNESS_MM</t>
        </is>
      </c>
      <c r="M68" s="223" t="inlineStr">
        <is>
          <t>BOQ-STR-Blinding</t>
        </is>
      </c>
      <c r="N68" s="223" t="inlineStr"/>
      <c r="O68" s="223" t="inlineStr">
        <is>
          <t>CST_SUP_PREFERRED_SUPPLIER_TXT</t>
        </is>
      </c>
      <c r="P68" s="223" t="inlineStr">
        <is>
          <t>CST_SUP_PROCUREMENT_LEAD_TIME_DAYS</t>
        </is>
      </c>
      <c r="Q68" s="223" t="inlineStr"/>
      <c r="R68" s="223" t="inlineStr"/>
    </row>
    <row r="69">
      <c r="A69" s="223" t="inlineStr">
        <is>
          <t>3.1.4</t>
        </is>
      </c>
      <c r="B69" s="223" t="inlineStr">
        <is>
          <t>[SZ]mm dia. reinforcement bars [GRADE] to foundations, columns, and ground beams as BBS</t>
        </is>
      </c>
      <c r="C69" s="223" t="inlineStr">
        <is>
          <t>Ton</t>
        </is>
      </c>
      <c r="D69" s="230" t="inlineStr">
        <is>
          <t>CST_CALC_CONCRETE_M3</t>
        </is>
      </c>
      <c r="E69" s="230" t="inlineStr">
        <is>
          <t>if(CST_CALC_CONCRETE_M3&lt;&gt;0,CST_CALC_CONCRETE_M3,"")</t>
        </is>
      </c>
      <c r="F69" s="229" t="inlineStr">
        <is>
          <t>CST_UNIT_PRICE_CEMENT_UGX</t>
        </is>
      </c>
      <c r="G69" s="229" t="inlineStr">
        <is>
          <t>if(CST_UNIT_PRICE_CEMENT_UGX&lt;&gt;0,CST_UNIT_PRICE_CEMENT_UGX,"")</t>
        </is>
      </c>
      <c r="H69" s="224" t="inlineStr">
        <is>
          <t>if(and(CST_CALC_CONCRETE_M3&lt;&gt;0,CST_UNIT_PRICE_CEMENT_UGX&lt;&gt;0),CST_CALC_CONCRETE_M3*CST_UNIT_PRICE_CEMENT_UGX,"")</t>
        </is>
      </c>
      <c r="I69" s="223" t="inlineStr">
        <is>
          <t>Structural Foundations</t>
        </is>
      </c>
      <c r="J69" s="223" t="inlineStr">
        <is>
          <t>BOQ-STR-Foundations</t>
        </is>
      </c>
      <c r="K69" s="223" t="inlineStr">
        <is>
          <t>"Y" + if(BLE_STRUCT_REBAR_DIA_MM&lt;&gt;"",BLE_STRUCT_REBAR_DIA_MM,"TBC") + " Grade " + if(BLE_STRUCT_STEEL_GRADE_TXT&lt;&gt;"",BLE_STRUCT_STEEL_GRADE_TXT,"Fe500") + " reinforcement bars to foundations."</t>
        </is>
      </c>
      <c r="L69" s="223" t="inlineStr">
        <is>
          <t>BLE_STRUCT_REBAR_DIA_MM, BLE_STRUCT_STEEL_GRADE_TXT</t>
        </is>
      </c>
      <c r="M69" s="223" t="inlineStr">
        <is>
          <t>BOQ-STR-Rebar</t>
        </is>
      </c>
      <c r="N69" s="223" t="inlineStr"/>
      <c r="O69" s="223" t="inlineStr">
        <is>
          <t>CST_SUP_PREFERRED_SUPPLIER_TXT</t>
        </is>
      </c>
      <c r="P69" s="223" t="inlineStr">
        <is>
          <t>CST_SUP_PROCUREMENT_LEAD_TIME_DAYS</t>
        </is>
      </c>
      <c r="Q69" s="223" t="inlineStr"/>
      <c r="R69" s="223" t="inlineStr"/>
    </row>
    <row r="70">
      <c r="A70" s="223" t="inlineStr">
        <is>
          <t>3.1.5</t>
        </is>
      </c>
      <c r="B70" s="223" t="inlineStr">
        <is>
          <t>[THICKNESS]mm thick [GRADE] reinforced concrete slab on grade with [MESH] BRC mesh, surface power-floated</t>
        </is>
      </c>
      <c r="C70" s="223" t="inlineStr">
        <is>
          <t>m²</t>
        </is>
      </c>
      <c r="D70" s="230" t="inlineStr">
        <is>
          <t>CST_CALC_CONCRETE_M3</t>
        </is>
      </c>
      <c r="E70" s="230" t="inlineStr">
        <is>
          <t>if(CST_CALC_CONCRETE_M3&lt;&gt;0,CST_CALC_CONCRETE_M3,"")</t>
        </is>
      </c>
      <c r="F70" s="229" t="inlineStr">
        <is>
          <t>CST_UNIT_PRICE_CEMENT_UGX</t>
        </is>
      </c>
      <c r="G70" s="229" t="inlineStr">
        <is>
          <t>if(CST_UNIT_PRICE_CEMENT_UGX&lt;&gt;0,CST_UNIT_PRICE_CEMENT_UGX,"")</t>
        </is>
      </c>
      <c r="H70" s="224" t="inlineStr">
        <is>
          <t>if(and(CST_CALC_CONCRETE_M3&lt;&gt;0,CST_UNIT_PRICE_CEMENT_UGX&lt;&gt;0),CST_CALC_CONCRETE_M3*CST_UNIT_PRICE_CEMENT_UGX,"")</t>
        </is>
      </c>
      <c r="I70" s="223" t="inlineStr">
        <is>
          <t>Structural Foundations</t>
        </is>
      </c>
      <c r="J70" s="223" t="inlineStr">
        <is>
          <t>BOQ-STR-Foundations</t>
        </is>
      </c>
      <c r="K70" s="223" t="inlineStr">
        <is>
          <t>"Grade " + if(BLE_STRUCT_CONCRETE_GRADE_TXT&lt;&gt;"",BLE_STRUCT_CONCRETE_GRADE_TXT,"C25") + " slab " + if(BLE_STRUCT_THICKNESS_MM&lt;&gt;"",BLE_STRUCT_THICKNESS_MM+"mm thick","TBC thick") + " with BRC mesh, power-floated."</t>
        </is>
      </c>
      <c r="L70" s="223" t="inlineStr">
        <is>
          <t>BLE_STRUCT_CONCRETE_GRADE_TXT, BLE_STRUCT_THICKNESS_MM</t>
        </is>
      </c>
      <c r="M70" s="223" t="inlineStr">
        <is>
          <t>BOQ-STR-Slab</t>
        </is>
      </c>
      <c r="N70" s="223" t="inlineStr"/>
      <c r="O70" s="223" t="inlineStr">
        <is>
          <t>CST_SUP_PREFERRED_SUPPLIER_TXT</t>
        </is>
      </c>
      <c r="P70" s="223" t="inlineStr">
        <is>
          <t>CST_SUP_PROCUREMENT_LEAD_TIME_DAYS</t>
        </is>
      </c>
      <c r="Q70" s="223" t="inlineStr"/>
      <c r="R70" s="223" t="inlineStr"/>
    </row>
    <row r="71">
      <c r="A71" s="223" t="inlineStr">
        <is>
          <t>3.1.6</t>
        </is>
      </c>
      <c r="B71" s="223" t="inlineStr">
        <is>
          <t>[DEPTH]mm thick hardcore filling well consolidated in layers not exceeding 150mm, blinded with 50mm sand</t>
        </is>
      </c>
      <c r="C71" s="223" t="inlineStr">
        <is>
          <t>m³</t>
        </is>
      </c>
      <c r="D71" s="230" t="inlineStr">
        <is>
          <t>CST_CALC_CONCRETE_M3</t>
        </is>
      </c>
      <c r="E71" s="230" t="inlineStr">
        <is>
          <t>if(CST_CALC_CONCRETE_M3&lt;&gt;0,CST_CALC_CONCRETE_M3,"")</t>
        </is>
      </c>
      <c r="F71" s="229" t="inlineStr">
        <is>
          <t>CST_UNIT_PRICE_CEMENT_UGX</t>
        </is>
      </c>
      <c r="G71" s="229" t="inlineStr">
        <is>
          <t>if(CST_UNIT_PRICE_CEMENT_UGX&lt;&gt;0,CST_UNIT_PRICE_CEMENT_UGX,"")</t>
        </is>
      </c>
      <c r="H71" s="224" t="inlineStr">
        <is>
          <t>if(and(CST_CALC_CONCRETE_M3&lt;&gt;0,CST_UNIT_PRICE_CEMENT_UGX&lt;&gt;0),CST_CALC_CONCRETE_M3*CST_UNIT_PRICE_CEMENT_UGX,"")</t>
        </is>
      </c>
      <c r="I71" s="223" t="inlineStr">
        <is>
          <t>Structural Foundations</t>
        </is>
      </c>
      <c r="J71" s="223" t="inlineStr">
        <is>
          <t>BOQ-STR-Foundations</t>
        </is>
      </c>
      <c r="K71" s="223" t="inlineStr">
        <is>
          <t>"Hardcore fill " + if(BLE_STRUCT_THICKNESS_MM&lt;&gt;"",BLE_STRUCT_THICKNESS_MM+"mm deep","as drawings") + " consolidated in 150mm layers, blinded 50mm sand."</t>
        </is>
      </c>
      <c r="L71" s="223" t="inlineStr">
        <is>
          <t>BLE_STRUCT_THICKNESS_MM</t>
        </is>
      </c>
      <c r="M71" s="223" t="inlineStr">
        <is>
          <t>BOQ-STR-Hardcore</t>
        </is>
      </c>
      <c r="N71" s="223" t="inlineStr"/>
      <c r="O71" s="223" t="inlineStr">
        <is>
          <t>CST_SUP_PREFERRED_SUPPLIER_TXT</t>
        </is>
      </c>
      <c r="P71" s="223" t="inlineStr">
        <is>
          <t>CST_SUP_PROCUREMENT_LEAD_TIME_DAYS</t>
        </is>
      </c>
      <c r="Q71" s="223" t="inlineStr"/>
      <c r="R71" s="223" t="inlineStr"/>
    </row>
    <row r="72">
      <c r="A72" s="223" t="inlineStr">
        <is>
          <t>3.1.7</t>
        </is>
      </c>
      <c r="B72" s="223" t="inlineStr">
        <is>
          <t>Damp proof membrane 1000 gauge polythene sheet with 150mm laps welded and turned up walls</t>
        </is>
      </c>
      <c r="C72" s="223" t="inlineStr">
        <is>
          <t>m²</t>
        </is>
      </c>
      <c r="D72" s="230" t="inlineStr">
        <is>
          <t>CST_CALC_CONCRETE_M3</t>
        </is>
      </c>
      <c r="E72" s="230" t="inlineStr">
        <is>
          <t>if(CST_CALC_CONCRETE_M3&lt;&gt;0,CST_CALC_CONCRETE_M3,"")</t>
        </is>
      </c>
      <c r="F72" s="229" t="inlineStr">
        <is>
          <t>CST_UNIT_PRICE_CEMENT_UGX</t>
        </is>
      </c>
      <c r="G72" s="229" t="inlineStr">
        <is>
          <t>if(CST_UNIT_PRICE_CEMENT_UGX&lt;&gt;0,CST_UNIT_PRICE_CEMENT_UGX,"")</t>
        </is>
      </c>
      <c r="H72" s="224" t="inlineStr">
        <is>
          <t>if(and(CST_CALC_CONCRETE_M3&lt;&gt;0,CST_UNIT_PRICE_CEMENT_UGX&lt;&gt;0),CST_CALC_CONCRETE_M3*CST_UNIT_PRICE_CEMENT_UGX,"")</t>
        </is>
      </c>
      <c r="I72" s="223" t="inlineStr">
        <is>
          <t>Structural Foundations</t>
        </is>
      </c>
      <c r="J72" s="223" t="inlineStr">
        <is>
          <t>BOQ-STR-Foundations</t>
        </is>
      </c>
      <c r="K72" s="223" t="inlineStr">
        <is>
          <t>"1000g polythene DPM lapped 150mm and turned up walls."</t>
        </is>
      </c>
      <c r="L72" s="223" t="inlineStr"/>
      <c r="M72" s="223" t="inlineStr">
        <is>
          <t>BOQ-STR-DPM</t>
        </is>
      </c>
      <c r="N72" s="223" t="inlineStr"/>
      <c r="O72" s="223" t="inlineStr">
        <is>
          <t>CST_SUP_PREFERRED_SUPPLIER_TXT</t>
        </is>
      </c>
      <c r="P72" s="223" t="inlineStr">
        <is>
          <t>CST_SUP_PROCUREMENT_LEAD_TIME_DAYS</t>
        </is>
      </c>
      <c r="Q72" s="223" t="inlineStr"/>
      <c r="R72" s="223" t="inlineStr"/>
    </row>
    <row r="73">
      <c r="A73" s="223" t="inlineStr">
        <is>
          <t>3.2  WALLING</t>
        </is>
      </c>
      <c r="B73" s="223" t="inlineStr"/>
      <c r="C73" s="223" t="inlineStr"/>
      <c r="D73" s="223" t="inlineStr"/>
      <c r="E73" s="223" t="n"/>
      <c r="F73" s="223" t="inlineStr"/>
      <c r="G73" s="223" t="n"/>
      <c r="H73" s="223" t="n"/>
      <c r="I73" s="223" t="inlineStr"/>
      <c r="J73" s="223" t="inlineStr"/>
      <c r="K73" s="223" t="inlineStr"/>
      <c r="L73" s="223" t="inlineStr"/>
      <c r="M73" s="223" t="inlineStr"/>
      <c r="N73" s="223" t="inlineStr"/>
      <c r="O73" s="223" t="inlineStr">
        <is>
          <t>CST_SUP_PREFERRED_SUPPLIER_TXT</t>
        </is>
      </c>
      <c r="P73" s="223" t="inlineStr">
        <is>
          <t>CST_SUP_PROCUREMENT_LEAD_TIME_DAYS</t>
        </is>
      </c>
      <c r="Q73" s="223" t="inlineStr"/>
      <c r="R73" s="223" t="inlineStr"/>
    </row>
    <row r="74">
      <c r="A74" s="223" t="inlineStr">
        <is>
          <t>3.2.1</t>
        </is>
      </c>
      <c r="B74" s="223" t="inlineStr">
        <is>
          <t>[THICKNESS]mm thick [TYPE] [MATERIAL] walling as drawings — [FUNCTION] wall</t>
        </is>
      </c>
      <c r="C74" s="223" t="inlineStr">
        <is>
          <t>m²</t>
        </is>
      </c>
      <c r="D74" s="230" t="inlineStr">
        <is>
          <t>CST_CALC_BLOCKS_NR</t>
        </is>
      </c>
      <c r="E74" s="230" t="inlineStr">
        <is>
          <t>if(CST_CALC_BLOCKS_NR&lt;&gt;0,CST_CALC_BLOCKS_NR,"")</t>
        </is>
      </c>
      <c r="F74" s="229" t="inlineStr">
        <is>
          <t>CST_UNIT_PRICE_BLOCK_UGX</t>
        </is>
      </c>
      <c r="G74" s="229" t="inlineStr">
        <is>
          <t>if(CST_UNIT_PRICE_BLOCK_UGX&lt;&gt;0,CST_UNIT_PRICE_BLOCK_UGX,"")</t>
        </is>
      </c>
      <c r="H74" s="224" t="inlineStr">
        <is>
          <t>if(and(CST_CALC_BLOCKS_NR&lt;&gt;0,CST_UNIT_PRICE_BLOCK_UGX&lt;&gt;0),CST_CALC_BLOCKS_NR*CST_UNIT_PRICE_BLOCK_UGX,"")</t>
        </is>
      </c>
      <c r="I74" s="223" t="inlineStr">
        <is>
          <t>Walls</t>
        </is>
      </c>
      <c r="J74" s="223" t="inlineStr">
        <is>
          <t>BOQ-ARCH-Walling</t>
        </is>
      </c>
      <c r="K74" s="223" t="inlineStr">
        <is>
          <t>"if(BLE_WALL_THICKNESS_MM&lt;&gt;"",BLE_WALL_THICKNESS_MM+"mm ","") + if(BLE_WALL_TYPE_CLASSIFICATION_TXT&lt;&gt;"",BLE_WALL_TYPE_CLASSIFICATION_TXT+" ","") + if(BLE_WALL_PRIMARY_WALL_MAT_TXT&lt;&gt;"",BLE_WALL_PRIMARY_WALL_MAT_TXT+" walling ","walling ") + if(BLE_WALL_FUNCTION_TXT&lt;&gt;"","("+BLE_WALL_FUNCTION_TXT+")","") + "."</t>
        </is>
      </c>
      <c r="L74" s="223" t="inlineStr">
        <is>
          <t>BLE_WALL_THICKNESS_MM, BLE_WALL_TYPE_CLASSIFICATION_TXT, BLE_WALL_PRIMARY_WALL_MAT_TXT, BLE_WALL_FUNCTION_TXT</t>
        </is>
      </c>
      <c r="M74" s="223" t="inlineStr">
        <is>
          <t>BOQ-ARCH-Walling</t>
        </is>
      </c>
      <c r="N74" s="223" t="inlineStr">
        <is>
          <t>PER_THERM_U_VALUE_W_M2K_NR &gt; 0.70 → [!U &gt; 0.70]</t>
        </is>
      </c>
      <c r="O74" s="223" t="inlineStr">
        <is>
          <t>CST_SUP_PREFERRED_SUPPLIER_TXT</t>
        </is>
      </c>
      <c r="P74" s="223" t="inlineStr">
        <is>
          <t>CST_SUP_PROCUREMENT_LEAD_TIME_DAYS</t>
        </is>
      </c>
      <c r="Q74" s="223" t="inlineStr">
        <is>
          <t>BOQ-ARCH-Walling schedule. Group by type mark. U-value warning for external walls.</t>
        </is>
      </c>
      <c r="R74" s="223" t="inlineStr"/>
    </row>
    <row r="75">
      <c r="A75" s="223" t="inlineStr">
        <is>
          <t>3.2.2</t>
        </is>
      </c>
      <c r="B75" s="223" t="inlineStr">
        <is>
          <t>[THICKNESS]mm thick internal partition walls [MATERIAL] as room data sheets</t>
        </is>
      </c>
      <c r="C75" s="223" t="inlineStr">
        <is>
          <t>m²</t>
        </is>
      </c>
      <c r="D75" s="230" t="inlineStr">
        <is>
          <t>CST_CALC_BLOCKS_NR</t>
        </is>
      </c>
      <c r="E75" s="230" t="inlineStr">
        <is>
          <t>if(CST_CALC_BLOCKS_NR&lt;&gt;0,CST_CALC_BLOCKS_NR,"")</t>
        </is>
      </c>
      <c r="F75" s="229" t="inlineStr">
        <is>
          <t>CST_UNIT_PRICE_BLOCK_UGX</t>
        </is>
      </c>
      <c r="G75" s="229" t="inlineStr">
        <is>
          <t>if(CST_UNIT_PRICE_BLOCK_UGX&lt;&gt;0,CST_UNIT_PRICE_BLOCK_UGX,"")</t>
        </is>
      </c>
      <c r="H75" s="224" t="inlineStr">
        <is>
          <t>if(and(CST_CALC_BLOCKS_NR&lt;&gt;0,CST_UNIT_PRICE_BLOCK_UGX&lt;&gt;0),CST_CALC_BLOCKS_NR*CST_UNIT_PRICE_BLOCK_UGX,"")</t>
        </is>
      </c>
      <c r="I75" s="223" t="inlineStr">
        <is>
          <t>Walls</t>
        </is>
      </c>
      <c r="J75" s="223" t="inlineStr">
        <is>
          <t>BOQ-ARCH-Walling</t>
        </is>
      </c>
      <c r="K75" s="223" t="inlineStr">
        <is>
          <t>"if(BLE_WALL_THICKNESS_MM&lt;&gt;"",BLE_WALL_THICKNESS_MM+"mm ","") + if(BLE_WALL_PRIMARY_WALL_MAT_TXT&lt;&gt;"",BLE_WALL_PRIMARY_WALL_MAT_TXT+" ","") + "internal partition wall."</t>
        </is>
      </c>
      <c r="L75" s="223" t="inlineStr">
        <is>
          <t>BLE_WALL_THICKNESS_MM, BLE_WALL_PRIMARY_WALL_MAT_TXT</t>
        </is>
      </c>
      <c r="M75" s="223" t="inlineStr">
        <is>
          <t>BOQ-ARCH-Partitions</t>
        </is>
      </c>
      <c r="N75" s="223" t="inlineStr"/>
      <c r="O75" s="223" t="inlineStr">
        <is>
          <t>CST_SUP_PREFERRED_SUPPLIER_TXT</t>
        </is>
      </c>
      <c r="P75" s="223" t="inlineStr">
        <is>
          <t>CST_SUP_PROCUREMENT_LEAD_TIME_DAYS</t>
        </is>
      </c>
      <c r="Q75" s="223" t="inlineStr"/>
      <c r="R75" s="223" t="inlineStr"/>
    </row>
    <row r="76">
      <c r="A76" s="223" t="inlineStr">
        <is>
          <t>3.2.3</t>
        </is>
      </c>
      <c r="B76" s="223" t="inlineStr">
        <is>
          <t>External [MATERIAL] plaster/render finish [THICKNESS]mm thick to all external faces of walling</t>
        </is>
      </c>
      <c r="C76" s="223" t="inlineStr">
        <is>
          <t>m²</t>
        </is>
      </c>
      <c r="D76" s="230" t="inlineStr">
        <is>
          <t>CST_CALC_BLOCKS_NR</t>
        </is>
      </c>
      <c r="E76" s="230" t="inlineStr">
        <is>
          <t>if(CST_CALC_BLOCKS_NR&lt;&gt;0,CST_CALC_BLOCKS_NR,"")</t>
        </is>
      </c>
      <c r="F76" s="229" t="inlineStr">
        <is>
          <t>CST_UNIT_PRICE_BLOCK_UGX</t>
        </is>
      </c>
      <c r="G76" s="229" t="inlineStr">
        <is>
          <t>if(CST_UNIT_PRICE_BLOCK_UGX&lt;&gt;0,CST_UNIT_PRICE_BLOCK_UGX,"")</t>
        </is>
      </c>
      <c r="H76" s="224" t="inlineStr">
        <is>
          <t>if(and(CST_CALC_BLOCKS_NR&lt;&gt;0,CST_UNIT_PRICE_BLOCK_UGX&lt;&gt;0),CST_CALC_BLOCKS_NR*CST_UNIT_PRICE_BLOCK_UGX,"")</t>
        </is>
      </c>
      <c r="I76" s="223" t="inlineStr">
        <is>
          <t>Walls</t>
        </is>
      </c>
      <c r="J76" s="223" t="inlineStr">
        <is>
          <t>BOQ-ARCH-Walling</t>
        </is>
      </c>
      <c r="K76" s="223" t="inlineStr">
        <is>
          <t>"if(BLE_WALL_EXTERIOR_FINISH_TXT&lt;&gt;"",BLE_WALL_EXTERIOR_FINISH_TXT+" finish ","External plaster ") + "to all external faces."</t>
        </is>
      </c>
      <c r="L76" s="223" t="inlineStr">
        <is>
          <t>BLE_WALL_EXTERIOR_FINISH_TXT</t>
        </is>
      </c>
      <c r="M76" s="223" t="inlineStr">
        <is>
          <t>BOQ-ARCH-ExternalPlaster</t>
        </is>
      </c>
      <c r="N76" s="223" t="inlineStr"/>
      <c r="O76" s="223" t="inlineStr">
        <is>
          <t>CST_SUP_PREFERRED_SUPPLIER_TXT</t>
        </is>
      </c>
      <c r="P76" s="223" t="inlineStr">
        <is>
          <t>CST_SUP_PROCUREMENT_LEAD_TIME_DAYS</t>
        </is>
      </c>
      <c r="Q76" s="223" t="inlineStr"/>
      <c r="R76" s="223" t="inlineStr"/>
    </row>
    <row r="77">
      <c r="A77" s="223" t="inlineStr">
        <is>
          <t>3.2.4</t>
        </is>
      </c>
      <c r="B77" s="223" t="inlineStr">
        <is>
          <t>Internal plaster/skim coat [MATERIAL] finish to all internal faces of walling</t>
        </is>
      </c>
      <c r="C77" s="223" t="inlineStr">
        <is>
          <t>m²</t>
        </is>
      </c>
      <c r="D77" s="230" t="inlineStr">
        <is>
          <t>CST_CALC_BLOCKS_NR</t>
        </is>
      </c>
      <c r="E77" s="230" t="inlineStr">
        <is>
          <t>if(CST_CALC_BLOCKS_NR&lt;&gt;0,CST_CALC_BLOCKS_NR,"")</t>
        </is>
      </c>
      <c r="F77" s="229" t="inlineStr">
        <is>
          <t>CST_UNIT_PRICE_BLOCK_UGX</t>
        </is>
      </c>
      <c r="G77" s="229" t="inlineStr">
        <is>
          <t>if(CST_UNIT_PRICE_BLOCK_UGX&lt;&gt;0,CST_UNIT_PRICE_BLOCK_UGX,"")</t>
        </is>
      </c>
      <c r="H77" s="224" t="inlineStr">
        <is>
          <t>if(and(CST_CALC_BLOCKS_NR&lt;&gt;0,CST_UNIT_PRICE_BLOCK_UGX&lt;&gt;0),CST_CALC_BLOCKS_NR*CST_UNIT_PRICE_BLOCK_UGX,"")</t>
        </is>
      </c>
      <c r="I77" s="223" t="inlineStr">
        <is>
          <t>Walls</t>
        </is>
      </c>
      <c r="J77" s="223" t="inlineStr">
        <is>
          <t>BOQ-ARCH-Walling</t>
        </is>
      </c>
      <c r="K77" s="223" t="inlineStr">
        <is>
          <t>"if(BLE_WALL_INTERIOR_FINISH_TXT&lt;&gt;"",BLE_WALL_INTERIOR_FINISH_TXT+" finish ","Internal plaster ") + "to all internal faces."</t>
        </is>
      </c>
      <c r="L77" s="223" t="inlineStr">
        <is>
          <t>BLE_WALL_INTERIOR_FINISH_TXT</t>
        </is>
      </c>
      <c r="M77" s="223" t="inlineStr">
        <is>
          <t>BOQ-ARCH-InternalPlaster</t>
        </is>
      </c>
      <c r="N77" s="223" t="inlineStr"/>
      <c r="O77" s="223" t="inlineStr">
        <is>
          <t>CST_SUP_PREFERRED_SUPPLIER_TXT</t>
        </is>
      </c>
      <c r="P77" s="223" t="inlineStr">
        <is>
          <t>CST_SUP_PROCUREMENT_LEAD_TIME_DAYS</t>
        </is>
      </c>
      <c r="Q77" s="223" t="inlineStr"/>
      <c r="R77" s="223" t="inlineStr"/>
    </row>
    <row r="78">
      <c r="A78" s="223" t="inlineStr">
        <is>
          <t>3.2.5</t>
        </is>
      </c>
      <c r="B78" s="223" t="inlineStr">
        <is>
          <t>[COLOUR] paint [TYPE] two coats on internal plastered walls</t>
        </is>
      </c>
      <c r="C78" s="223" t="inlineStr">
        <is>
          <t>m²</t>
        </is>
      </c>
      <c r="D78" s="230" t="inlineStr">
        <is>
          <t>CST_CALC_PLASTER_M3</t>
        </is>
      </c>
      <c r="E78" s="230" t="inlineStr">
        <is>
          <t>if(CST_CALC_PLASTER_M3&lt;&gt;0,CST_CALC_PLASTER_M3,"")</t>
        </is>
      </c>
      <c r="F78" s="229" t="inlineStr">
        <is>
          <t>CST_UNIT_PRICE_CEMENT_UGX</t>
        </is>
      </c>
      <c r="G78" s="229" t="inlineStr">
        <is>
          <t>if(CST_UNIT_PRICE_CEMENT_UGX&lt;&gt;0,CST_UNIT_PRICE_CEMENT_UGX,"")</t>
        </is>
      </c>
      <c r="H78" s="224" t="inlineStr">
        <is>
          <t>if(and(CST_CALC_PLASTER_M3&lt;&gt;0,CST_UNIT_PRICE_CEMENT_UGX&lt;&gt;0),CST_CALC_PLASTER_M3*CST_UNIT_PRICE_CEMENT_UGX,"")</t>
        </is>
      </c>
      <c r="I78" s="223" t="inlineStr">
        <is>
          <t>Walls</t>
        </is>
      </c>
      <c r="J78" s="223" t="inlineStr">
        <is>
          <t>BOQ-ARCH-InternalPlaster</t>
        </is>
      </c>
      <c r="K78" s="223" t="inlineStr">
        <is>
          <t>"if(BLE_WALL_INTERIOR_FINISH_TXT&lt;&gt;\"\",BLE_WALL_INTERIOR_FINISH_TXT,\"[COLOUR]\")" + " paint two coats on internal plastered walls."</t>
        </is>
      </c>
      <c r="L78" s="223" t="inlineStr">
        <is>
          <t>BLE_WALL_INTERIOR_FINISH_TXT</t>
        </is>
      </c>
      <c r="M78" s="223" t="inlineStr">
        <is>
          <t>BOQ-ARCH-Paint</t>
        </is>
      </c>
      <c r="N78" s="223" t="inlineStr"/>
      <c r="O78" s="223" t="inlineStr">
        <is>
          <t>CST_SUP_PREFERRED_SUPPLIER_TXT</t>
        </is>
      </c>
      <c r="P78" s="223" t="inlineStr">
        <is>
          <t>CST_SUP_PROCUREMENT_LEAD_TIME_DAYS</t>
        </is>
      </c>
      <c r="Q78" s="223" t="inlineStr"/>
      <c r="R78" s="223" t="inlineStr"/>
    </row>
    <row r="79">
      <c r="A79" s="223" t="inlineStr">
        <is>
          <t>3.3  STRUCTURAL FRAME</t>
        </is>
      </c>
      <c r="B79" s="223" t="inlineStr"/>
      <c r="C79" s="223" t="inlineStr"/>
      <c r="D79" s="223" t="inlineStr"/>
      <c r="E79" s="223" t="n"/>
      <c r="F79" s="223" t="inlineStr"/>
      <c r="G79" s="223" t="n"/>
      <c r="H79" s="223" t="n"/>
      <c r="I79" s="223" t="inlineStr"/>
      <c r="J79" s="223" t="inlineStr"/>
      <c r="K79" s="223" t="inlineStr"/>
      <c r="L79" s="223" t="inlineStr"/>
      <c r="M79" s="223" t="inlineStr"/>
      <c r="N79" s="223" t="inlineStr"/>
      <c r="O79" s="223" t="inlineStr">
        <is>
          <t>CST_SUP_PREFERRED_SUPPLIER_TXT</t>
        </is>
      </c>
      <c r="P79" s="223" t="inlineStr">
        <is>
          <t>CST_SUP_PROCUREMENT_LEAD_TIME_DAYS</t>
        </is>
      </c>
      <c r="Q79" s="223" t="inlineStr"/>
      <c r="R79" s="223" t="inlineStr"/>
    </row>
    <row r="80">
      <c r="A80" s="223" t="inlineStr">
        <is>
          <t>3.3.1</t>
        </is>
      </c>
      <c r="B80" s="223" t="inlineStr">
        <is>
          <t>[GRADE] reinforced concrete columns [SZ]mm x [SZ]mm or [DIA]mm dia. as structural drawings</t>
        </is>
      </c>
      <c r="C80" s="223" t="inlineStr">
        <is>
          <t>m³</t>
        </is>
      </c>
      <c r="D80" s="223" t="inlineStr">
        <is>
          <t>Structural Columns schedule — volume</t>
        </is>
      </c>
      <c r="E80" s="223" t="inlineStr">
        <is>
          <t>Structural Columns schedule — volume</t>
        </is>
      </c>
      <c r="F80" s="229" t="inlineStr">
        <is>
          <t>CST_UNIT_PRICE_CEMENT_UGX</t>
        </is>
      </c>
      <c r="G80" s="229" t="inlineStr">
        <is>
          <t>if(CST_UNIT_PRICE_CEMENT_UGX&lt;&gt;0,CST_UNIT_PRICE_CEMENT_UGX,"")</t>
        </is>
      </c>
      <c r="H80" s="224" t="inlineStr">
        <is>
          <t>if(and(Structural Columns schedule — volume&lt;&gt;0,CST_UNIT_PRICE_CEMENT_UGX&lt;&gt;0),Structural Columns schedule — volume*CST_UNIT_PRICE_CEMENT_UGX,"")</t>
        </is>
      </c>
      <c r="I80" s="223" t="inlineStr">
        <is>
          <t>Structural Framing</t>
        </is>
      </c>
      <c r="J80" s="223" t="inlineStr">
        <is>
          <t>BOQ-STR-Framing</t>
        </is>
      </c>
      <c r="K80" s="223" t="inlineStr">
        <is>
          <t>"Grade " + if(BLE_STRUCT_CONCRETE_GRADE_TXT&lt;&gt;"",BLE_STRUCT_CONCRETE_GRADE_TXT,"C30") + " RC columns " + if(ASS_DESCRIPTION_TXT&lt;&gt;"",ASS_DESCRIPTION_TXT,"as drawings") + ", reinforced per BBS."</t>
        </is>
      </c>
      <c r="L80" s="223" t="inlineStr">
        <is>
          <t>BLE_STRUCT_CONCRETE_GRADE_TXT, ASS_DESCRIPTION_TXT</t>
        </is>
      </c>
      <c r="M80" s="223" t="inlineStr">
        <is>
          <t>BOQ-STR-Columns</t>
        </is>
      </c>
      <c r="N80" s="223" t="inlineStr">
        <is>
          <t>BLE_STRUCT_CONCRETE_GRADE_TXT</t>
        </is>
      </c>
      <c r="O80" s="223" t="inlineStr">
        <is>
          <t>CST_SUP_PREFERRED_SUPPLIER_TXT</t>
        </is>
      </c>
      <c r="P80" s="223" t="inlineStr">
        <is>
          <t>CST_SUP_PROCUREMENT_LEAD_TIME_DAYS</t>
        </is>
      </c>
      <c r="Q80" s="223" t="inlineStr">
        <is>
          <t>Group by column mark.</t>
        </is>
      </c>
      <c r="R80" s="223" t="inlineStr"/>
    </row>
    <row r="81">
      <c r="A81" s="223" t="inlineStr">
        <is>
          <t>3.3.2</t>
        </is>
      </c>
      <c r="B81" s="223" t="inlineStr">
        <is>
          <t>[GRADE] reinforced concrete ground / suspended beams [SZ]mm wide x [DEPTH]mm deep as structural drawings</t>
        </is>
      </c>
      <c r="C81" s="223" t="inlineStr">
        <is>
          <t>m³</t>
        </is>
      </c>
      <c r="D81" s="223" t="inlineStr">
        <is>
          <t>Structural Framing schedule — volume</t>
        </is>
      </c>
      <c r="E81" s="223" t="inlineStr">
        <is>
          <t>Structural Framing schedule — volume</t>
        </is>
      </c>
      <c r="F81" s="229" t="inlineStr">
        <is>
          <t>CST_UNIT_PRICE_CEMENT_UGX</t>
        </is>
      </c>
      <c r="G81" s="229" t="inlineStr">
        <is>
          <t>if(CST_UNIT_PRICE_CEMENT_UGX&lt;&gt;0,CST_UNIT_PRICE_CEMENT_UGX,"")</t>
        </is>
      </c>
      <c r="H81" s="224" t="inlineStr">
        <is>
          <t>if(and(Structural Framing schedule — volume&lt;&gt;0,CST_UNIT_PRICE_CEMENT_UGX&lt;&gt;0),Structural Framing schedule — volume*CST_UNIT_PRICE_CEMENT_UGX,"")</t>
        </is>
      </c>
      <c r="I81" s="223" t="inlineStr">
        <is>
          <t>Structural Framing</t>
        </is>
      </c>
      <c r="J81" s="223" t="inlineStr">
        <is>
          <t>BOQ-STR-Framing</t>
        </is>
      </c>
      <c r="K81" s="223" t="inlineStr">
        <is>
          <t>"Grade " + if(BLE_STRUCT_CONCRETE_GRADE_TXT&lt;&gt;"",BLE_STRUCT_CONCRETE_GRADE_TXT,"C30") + " RC beam " + if(ASS_DESCRIPTION_TXT&lt;&gt;"",ASS_DESCRIPTION_TXT,"as drawings") + " reinforced per BBS."</t>
        </is>
      </c>
      <c r="L81" s="223" t="inlineStr">
        <is>
          <t>BLE_STRUCT_CONCRETE_GRADE_TXT, ASS_DESCRIPTION_TXT</t>
        </is>
      </c>
      <c r="M81" s="223" t="inlineStr">
        <is>
          <t>BOQ-STR-Beams</t>
        </is>
      </c>
      <c r="N81" s="223" t="inlineStr"/>
      <c r="O81" s="223" t="inlineStr">
        <is>
          <t>CST_SUP_PREFERRED_SUPPLIER_TXT</t>
        </is>
      </c>
      <c r="P81" s="223" t="inlineStr">
        <is>
          <t>CST_SUP_PROCUREMENT_LEAD_TIME_DAYS</t>
        </is>
      </c>
      <c r="Q81" s="223" t="inlineStr"/>
      <c r="R81" s="223" t="inlineStr"/>
    </row>
    <row r="82">
      <c r="A82" s="223" t="inlineStr">
        <is>
          <t>3.3.3</t>
        </is>
      </c>
      <c r="B82" s="223" t="inlineStr">
        <is>
          <t>[GRADE] reinforced concrete suspended floor/roof slab [THICKNESS]mm thick including formwork</t>
        </is>
      </c>
      <c r="C82" s="223" t="inlineStr">
        <is>
          <t>m²</t>
        </is>
      </c>
      <c r="D82" s="230" t="inlineStr">
        <is>
          <t>CST_CALC_CONCRETE_M3</t>
        </is>
      </c>
      <c r="E82" s="230" t="inlineStr">
        <is>
          <t>if(CST_CALC_CONCRETE_M3&lt;&gt;0,CST_CALC_CONCRETE_M3,"")</t>
        </is>
      </c>
      <c r="F82" s="229" t="inlineStr">
        <is>
          <t>CST_UNIT_PRICE_CEMENT_UGX</t>
        </is>
      </c>
      <c r="G82" s="229" t="inlineStr">
        <is>
          <t>if(CST_UNIT_PRICE_CEMENT_UGX&lt;&gt;0,CST_UNIT_PRICE_CEMENT_UGX,"")</t>
        </is>
      </c>
      <c r="H82" s="224" t="inlineStr">
        <is>
          <t>if(and(CST_CALC_CONCRETE_M3&lt;&gt;0,CST_UNIT_PRICE_CEMENT_UGX&lt;&gt;0),CST_CALC_CONCRETE_M3*CST_UNIT_PRICE_CEMENT_UGX,"")</t>
        </is>
      </c>
      <c r="I82" s="223" t="inlineStr">
        <is>
          <t>Structural Framing</t>
        </is>
      </c>
      <c r="J82" s="223" t="inlineStr">
        <is>
          <t>BOQ-STR-Framing</t>
        </is>
      </c>
      <c r="K82" s="223" t="inlineStr">
        <is>
          <t>"Grade " + if(BLE_STRUCT_CONCRETE_GRADE_TXT&lt;&gt;"",BLE_STRUCT_CONCRETE_GRADE_TXT,"C30") + " suspended slab " + if(BLE_STRUCT_THICKNESS_MM&lt;&gt;"",BLE_STRUCT_THICKNESS_MM+"mm thick,","as drawings,") + " including formwork."</t>
        </is>
      </c>
      <c r="L82" s="223" t="inlineStr">
        <is>
          <t>BLE_STRUCT_CONCRETE_GRADE_TXT, BLE_STRUCT_THICKNESS_MM</t>
        </is>
      </c>
      <c r="M82" s="223" t="inlineStr">
        <is>
          <t>BOQ-STR-Slab</t>
        </is>
      </c>
      <c r="N82" s="223" t="inlineStr"/>
      <c r="O82" s="223" t="inlineStr">
        <is>
          <t>CST_SUP_PREFERRED_SUPPLIER_TXT</t>
        </is>
      </c>
      <c r="P82" s="223" t="inlineStr">
        <is>
          <t>CST_SUP_PROCUREMENT_LEAD_TIME_DAYS</t>
        </is>
      </c>
      <c r="Q82" s="223" t="inlineStr"/>
      <c r="R82" s="223" t="inlineStr"/>
    </row>
    <row r="83">
      <c r="A83" s="223" t="inlineStr">
        <is>
          <t>3.3.4</t>
        </is>
      </c>
      <c r="B83" s="223" t="inlineStr">
        <is>
          <t>[GRADE] [SECTION] structural steel columns/frames/trusses including connections, bolts, and protective paint as structural drawings</t>
        </is>
      </c>
      <c r="C83" s="223" t="inlineStr">
        <is>
          <t>Ton</t>
        </is>
      </c>
      <c r="D83" s="223" t="inlineStr">
        <is>
          <t>Structural Framing — manual or weight param</t>
        </is>
      </c>
      <c r="E83" s="223" t="inlineStr">
        <is>
          <t>Structural Framing — manual or weight param</t>
        </is>
      </c>
      <c r="F83" s="229" t="inlineStr">
        <is>
          <t>CST_UNIT_PRICE_STEEL_UGX</t>
        </is>
      </c>
      <c r="G83" s="229" t="inlineStr">
        <is>
          <t>if(CST_UNIT_PRICE_STEEL_UGX&lt;&gt;0,CST_UNIT_PRICE_STEEL_UGX,"")</t>
        </is>
      </c>
      <c r="H83" s="224" t="inlineStr">
        <is>
          <t>if(and(Structural Framing — manual or weight param&lt;&gt;0,CST_UNIT_PRICE_STEEL_UGX&lt;&gt;0),Structural Framing — manual or weight param*CST_UNIT_PRICE_STEEL_UGX,"")</t>
        </is>
      </c>
      <c r="I83" s="223" t="inlineStr">
        <is>
          <t>Structural Framing</t>
        </is>
      </c>
      <c r="J83" s="223" t="inlineStr">
        <is>
          <t>BOQ-STR-Framing</t>
        </is>
      </c>
      <c r="K83" s="223" t="inlineStr">
        <is>
          <t>"Grade " + if(BLE_STRUCT_STEEL_GRADE_TXT&lt;&gt;"",BLE_STRUCT_STEEL_GRADE_TXT,"S275") + " structural steel " + if(ASS_DESCRIPTION_TXT&lt;&gt;"",ASS_DESCRIPTION_TXT,"sections as drawings") + " with connections."</t>
        </is>
      </c>
      <c r="L83" s="223" t="inlineStr">
        <is>
          <t>BLE_STRUCT_STEEL_GRADE_TXT, ASS_DESCRIPTION_TXT</t>
        </is>
      </c>
      <c r="M83" s="223" t="inlineStr">
        <is>
          <t>BOQ-STR-SteelFrame</t>
        </is>
      </c>
      <c r="N83" s="223" t="inlineStr"/>
      <c r="O83" s="223" t="inlineStr">
        <is>
          <t>CST_SUP_PREFERRED_SUPPLIER_TXT</t>
        </is>
      </c>
      <c r="P83" s="223" t="inlineStr">
        <is>
          <t>CST_SUP_PROCUREMENT_LEAD_TIME_DAYS</t>
        </is>
      </c>
      <c r="Q83" s="223" t="inlineStr">
        <is>
          <t>Used where steel frame specified.</t>
        </is>
      </c>
      <c r="R83" s="223" t="inlineStr"/>
    </row>
    <row r="84">
      <c r="A84" s="223" t="inlineStr">
        <is>
          <t>3.4  ROOFING</t>
        </is>
      </c>
      <c r="B84" s="223" t="inlineStr"/>
      <c r="C84" s="223" t="inlineStr"/>
      <c r="D84" s="223" t="inlineStr"/>
      <c r="E84" s="223" t="n"/>
      <c r="F84" s="223" t="inlineStr"/>
      <c r="G84" s="223" t="n"/>
      <c r="H84" s="223" t="n"/>
      <c r="I84" s="223" t="inlineStr"/>
      <c r="J84" s="223" t="inlineStr"/>
      <c r="K84" s="223" t="inlineStr"/>
      <c r="L84" s="223" t="inlineStr"/>
      <c r="M84" s="223" t="inlineStr"/>
      <c r="N84" s="223" t="inlineStr"/>
      <c r="O84" s="223" t="inlineStr">
        <is>
          <t>CST_SUP_PREFERRED_SUPPLIER_TXT</t>
        </is>
      </c>
      <c r="P84" s="223" t="inlineStr">
        <is>
          <t>CST_SUP_PROCUREMENT_LEAD_TIME_DAYS</t>
        </is>
      </c>
      <c r="Q84" s="223" t="inlineStr"/>
      <c r="R84" s="223" t="inlineStr"/>
    </row>
    <row r="85">
      <c r="A85" s="223" t="inlineStr">
        <is>
          <t>3.4.1</t>
        </is>
      </c>
      <c r="B85" s="223" t="inlineStr">
        <is>
          <t>[TYPE] roofing sheet [MATERIAL] [GAUGE] fixed to [PURLINS] purlin structure including all accessories</t>
        </is>
      </c>
      <c r="C85" s="223" t="inlineStr">
        <is>
          <t>m²</t>
        </is>
      </c>
      <c r="D85" s="230" t="inlineStr">
        <is>
          <t>CST_CALC_SHEETS_NR</t>
        </is>
      </c>
      <c r="E85" s="230" t="inlineStr">
        <is>
          <t>if(CST_CALC_SHEETS_NR&lt;&gt;0,CST_CALC_SHEETS_NR,"")</t>
        </is>
      </c>
      <c r="F85" s="229" t="inlineStr">
        <is>
          <t>CST_UNIT_PRICE_SHEET_UGX</t>
        </is>
      </c>
      <c r="G85" s="229" t="inlineStr">
        <is>
          <t>if(CST_UNIT_PRICE_SHEET_UGX&lt;&gt;0,CST_UNIT_PRICE_SHEET_UGX,"")</t>
        </is>
      </c>
      <c r="H85" s="224" t="inlineStr">
        <is>
          <t>if(and(CST_CALC_SHEETS_NR&lt;&gt;0,CST_UNIT_PRICE_SHEET_UGX&lt;&gt;0),CST_CALC_SHEETS_NR*CST_UNIT_PRICE_SHEET_UGX,"")</t>
        </is>
      </c>
      <c r="I85" s="223" t="inlineStr">
        <is>
          <t>Roofs</t>
        </is>
      </c>
      <c r="J85" s="223" t="inlineStr">
        <is>
          <t>BOQ-ARCH-Roofing</t>
        </is>
      </c>
      <c r="K85" s="223" t="inlineStr">
        <is>
          <t>"if(BLE_ROOF_TYPE_TXT&lt;&gt;"",BLE_ROOF_TYPE_TXT+" ","") + if(BLE_ROOF_MATERIAL_TXT&lt;&gt;"",BLE_ROOF_MATERIAL_TXT+" roofing ","roofing ") + "to " + if(BLE_ROOF_PITCH_DEG&lt;&gt;"",BLE_ROOF_PITCH_DEG+"° pitch.","as drawings.")</t>
        </is>
      </c>
      <c r="L85" s="223" t="inlineStr">
        <is>
          <t>BLE_ROOF_TYPE_TXT, BLE_ROOF_MATERIAL_TXT, BLE_ROOF_PITCH_DEG</t>
        </is>
      </c>
      <c r="M85" s="223" t="inlineStr">
        <is>
          <t>BOQ-ARCH-Roofing</t>
        </is>
      </c>
      <c r="N85" s="223" t="inlineStr">
        <is>
          <t>PER_THERM_U_VALUE_W_M2K_NR &gt; 0.50 → [!U &gt; 0.50]</t>
        </is>
      </c>
      <c r="O85" s="223" t="inlineStr">
        <is>
          <t>CST_SUP_PREFERRED_SUPPLIER_TXT</t>
        </is>
      </c>
      <c r="P85" s="223" t="inlineStr">
        <is>
          <t>CST_SUP_PROCUREMENT_LEAD_TIME_DAYS</t>
        </is>
      </c>
      <c r="Q85" s="223" t="inlineStr">
        <is>
          <t>Roof U-value most critical element in Uganda climate.</t>
        </is>
      </c>
      <c r="R85" s="223" t="inlineStr"/>
    </row>
    <row r="86">
      <c r="A86" s="223" t="inlineStr">
        <is>
          <t>3.4.2</t>
        </is>
      </c>
      <c r="B86" s="223" t="inlineStr">
        <is>
          <t>Gutters [MATERIAL] [SIZE]mm including all brackets, joints, stopends and outlets</t>
        </is>
      </c>
      <c r="C86" s="223" t="inlineStr">
        <is>
          <t>LM</t>
        </is>
      </c>
      <c r="D86" s="230" t="inlineStr">
        <is>
          <t>CST_CALC_SHEETS_NR</t>
        </is>
      </c>
      <c r="E86" s="230" t="inlineStr">
        <is>
          <t>if(CST_CALC_SHEETS_NR&lt;&gt;0,CST_CALC_SHEETS_NR,"")</t>
        </is>
      </c>
      <c r="F86" s="229" t="inlineStr">
        <is>
          <t>CST_UNIT_PRICE_SHEET_UGX</t>
        </is>
      </c>
      <c r="G86" s="229" t="inlineStr">
        <is>
          <t>if(CST_UNIT_PRICE_SHEET_UGX&lt;&gt;0,CST_UNIT_PRICE_SHEET_UGX,"")</t>
        </is>
      </c>
      <c r="H86" s="224" t="inlineStr">
        <is>
          <t>if(and(CST_CALC_SHEETS_NR&lt;&gt;0,CST_UNIT_PRICE_SHEET_UGX&lt;&gt;0),CST_CALC_SHEETS_NR*CST_UNIT_PRICE_SHEET_UGX,"")</t>
        </is>
      </c>
      <c r="I86" s="223" t="inlineStr">
        <is>
          <t>Roofs</t>
        </is>
      </c>
      <c r="J86" s="223" t="inlineStr">
        <is>
          <t>BOQ-ARCH-Roofing</t>
        </is>
      </c>
      <c r="K86" s="223" t="inlineStr">
        <is>
          <t>"if(BLE_ROOF_GUTTER_MAT_TXT&lt;&gt;"",BLE_ROOF_GUTTER_MAT_TXT+" ","uPVC ") + "gutters " + if(BLE_ROOF_GUTTER_SZ_MM&lt;&gt;"",BLE_ROOF_GUTTER_SZ_MM+"mm,","as drawings,") + " with brackets, joints, and outlets."</t>
        </is>
      </c>
      <c r="L86" s="223" t="inlineStr">
        <is>
          <t>BLE_ROOF_GUTTER_MAT_TXT, BLE_ROOF_GUTTER_SZ_MM</t>
        </is>
      </c>
      <c r="M86" s="223" t="inlineStr">
        <is>
          <t>BOQ-ARCH-Gutters</t>
        </is>
      </c>
      <c r="N86" s="223" t="inlineStr"/>
      <c r="O86" s="223" t="inlineStr">
        <is>
          <t>CST_SUP_PREFERRED_SUPPLIER_TXT</t>
        </is>
      </c>
      <c r="P86" s="223" t="inlineStr">
        <is>
          <t>CST_SUP_PROCUREMENT_LEAD_TIME_DAYS</t>
        </is>
      </c>
      <c r="Q86" s="223" t="inlineStr"/>
      <c r="R86" s="223" t="inlineStr"/>
    </row>
    <row r="87">
      <c r="A87" s="223" t="inlineStr">
        <is>
          <t>3.4.3</t>
        </is>
      </c>
      <c r="B87" s="223" t="inlineStr">
        <is>
          <t>[MATERIAL] [DIA]mm diameter rainwater downpipes with all fixings and offsets</t>
        </is>
      </c>
      <c r="C87" s="223" t="inlineStr">
        <is>
          <t>LM</t>
        </is>
      </c>
      <c r="D87" s="230" t="inlineStr">
        <is>
          <t>CST_CALC_SHEETS_NR</t>
        </is>
      </c>
      <c r="E87" s="230" t="inlineStr">
        <is>
          <t>if(CST_CALC_SHEETS_NR&lt;&gt;0,CST_CALC_SHEETS_NR,"")</t>
        </is>
      </c>
      <c r="F87" s="229" t="inlineStr">
        <is>
          <t>CST_UNIT_PRICE_SHEET_UGX</t>
        </is>
      </c>
      <c r="G87" s="229" t="inlineStr">
        <is>
          <t>if(CST_UNIT_PRICE_SHEET_UGX&lt;&gt;0,CST_UNIT_PRICE_SHEET_UGX,"")</t>
        </is>
      </c>
      <c r="H87" s="224" t="inlineStr">
        <is>
          <t>if(and(CST_CALC_SHEETS_NR&lt;&gt;0,CST_UNIT_PRICE_SHEET_UGX&lt;&gt;0),CST_CALC_SHEETS_NR*CST_UNIT_PRICE_SHEET_UGX,"")</t>
        </is>
      </c>
      <c r="I87" s="223" t="inlineStr">
        <is>
          <t>Roofs</t>
        </is>
      </c>
      <c r="J87" s="223" t="inlineStr">
        <is>
          <t>BOQ-ARCH-Roofing</t>
        </is>
      </c>
      <c r="K87" s="223" t="inlineStr">
        <is>
          <t>"if(PLM_PPE_MAT_TXT&lt;&gt;"",PLM_PPE_MAT_TXT+" ","uPVC ") + "rainwater downpipe " + if(PLM_PPE_SZ_MM&lt;&gt;"",PLM_PPE_SZ_MM+"mm dia.","100mm dia.") + " with fixings."</t>
        </is>
      </c>
      <c r="L87" s="223" t="inlineStr">
        <is>
          <t>PLM_PPE_MAT_TXT, PLM_PPE_SZ_MM</t>
        </is>
      </c>
      <c r="M87" s="223" t="inlineStr">
        <is>
          <t>BOQ-PLM-RWP</t>
        </is>
      </c>
      <c r="N87" s="223" t="inlineStr"/>
      <c r="O87" s="223" t="inlineStr">
        <is>
          <t>CST_SUP_PREFERRED_SUPPLIER_TXT</t>
        </is>
      </c>
      <c r="P87" s="223" t="inlineStr">
        <is>
          <t>CST_SUP_PROCUREMENT_LEAD_TIME_DAYS</t>
        </is>
      </c>
      <c r="Q87" s="223" t="inlineStr"/>
      <c r="R87" s="223" t="inlineStr"/>
    </row>
    <row r="88">
      <c r="A88" s="223" t="inlineStr">
        <is>
          <t>3.4.4</t>
        </is>
      </c>
      <c r="B88" s="223" t="inlineStr">
        <is>
          <t>Thermal insulation to roof [MATERIAL] [THICKNESS]mm thick with vapour barrier where shown on drawings</t>
        </is>
      </c>
      <c r="C88" s="223" t="inlineStr">
        <is>
          <t>m²</t>
        </is>
      </c>
      <c r="D88" s="230" t="inlineStr">
        <is>
          <t>CST_CALC_SHEETS_NR</t>
        </is>
      </c>
      <c r="E88" s="230" t="inlineStr">
        <is>
          <t>if(CST_CALC_SHEETS_NR&lt;&gt;0,CST_CALC_SHEETS_NR,"")</t>
        </is>
      </c>
      <c r="F88" s="229" t="inlineStr">
        <is>
          <t>CST_UNIT_PRICE_SHEET_UGX</t>
        </is>
      </c>
      <c r="G88" s="229" t="inlineStr">
        <is>
          <t>if(CST_UNIT_PRICE_SHEET_UGX&lt;&gt;0,CST_UNIT_PRICE_SHEET_UGX,"")</t>
        </is>
      </c>
      <c r="H88" s="224" t="inlineStr">
        <is>
          <t>if(and(CST_CALC_SHEETS_NR&lt;&gt;0,CST_UNIT_PRICE_SHEET_UGX&lt;&gt;0),CST_CALC_SHEETS_NR*CST_UNIT_PRICE_SHEET_UGX,"")</t>
        </is>
      </c>
      <c r="I88" s="223" t="inlineStr">
        <is>
          <t>Roofs</t>
        </is>
      </c>
      <c r="J88" s="223" t="inlineStr">
        <is>
          <t>BOQ-ARCH-Roofing</t>
        </is>
      </c>
      <c r="K88" s="223" t="inlineStr">
        <is>
          <t>"if(BLE_ROOF_INS_MAT_TXT&lt;&gt;"",BLE_ROOF_INS_MAT_TXT+" insulation ","Thermal insulation ") + if(BLE_ROOF_INS_THK_MM&lt;&gt;"",BLE_ROOF_INS_THK_MM+"mm thick.","as drawings.")</t>
        </is>
      </c>
      <c r="L88" s="223" t="inlineStr">
        <is>
          <t>BLE_ROOF_INS_MAT_TXT, BLE_ROOF_INS_THK_MM</t>
        </is>
      </c>
      <c r="M88" s="223" t="inlineStr">
        <is>
          <t>BOQ-ARCH-RoofIns</t>
        </is>
      </c>
      <c r="N88" s="223" t="inlineStr"/>
      <c r="O88" s="223" t="inlineStr">
        <is>
          <t>CST_SUP_PREFERRED_SUPPLIER_TXT</t>
        </is>
      </c>
      <c r="P88" s="223" t="inlineStr">
        <is>
          <t>CST_SUP_PROCUREMENT_LEAD_TIME_DAYS</t>
        </is>
      </c>
      <c r="Q88" s="223" t="inlineStr"/>
      <c r="R88" s="223" t="inlineStr"/>
    </row>
    <row r="89">
      <c r="A89" s="223" t="inlineStr">
        <is>
          <t>3.5  WINDOWS &amp; DOORS</t>
        </is>
      </c>
      <c r="B89" s="223" t="inlineStr"/>
      <c r="C89" s="223" t="inlineStr"/>
      <c r="D89" s="223" t="inlineStr"/>
      <c r="E89" s="223" t="n"/>
      <c r="F89" s="223" t="inlineStr"/>
      <c r="G89" s="223" t="n"/>
      <c r="H89" s="223" t="n"/>
      <c r="I89" s="223" t="inlineStr"/>
      <c r="J89" s="223" t="inlineStr"/>
      <c r="K89" s="223" t="inlineStr"/>
      <c r="L89" s="223" t="inlineStr"/>
      <c r="M89" s="223" t="inlineStr"/>
      <c r="N89" s="223" t="inlineStr"/>
      <c r="O89" s="223" t="inlineStr">
        <is>
          <t>CST_SUP_PREFERRED_SUPPLIER_TXT</t>
        </is>
      </c>
      <c r="P89" s="223" t="inlineStr">
        <is>
          <t>CST_SUP_PROCUREMENT_LEAD_TIME_DAYS</t>
        </is>
      </c>
      <c r="Q89" s="223" t="inlineStr"/>
      <c r="R89" s="223" t="inlineStr"/>
    </row>
    <row r="90">
      <c r="A90" s="223" t="inlineStr">
        <is>
          <t>3.5.1</t>
        </is>
      </c>
      <c r="B90" s="223" t="inlineStr">
        <is>
          <t>[TYPE] window [W]mm wide x [H]mm high, [GLAZING] glazed, [FRAME] frame, [FINISH] finish, including all ironmongery, mosquito screen, and burglar bar as schedule</t>
        </is>
      </c>
      <c r="C90" s="223" t="inlineStr">
        <is>
          <t>No.</t>
        </is>
      </c>
      <c r="D90" s="223" t="inlineStr">
        <is>
          <t>Windows schedule — count by type</t>
        </is>
      </c>
      <c r="E90" s="223" t="inlineStr">
        <is>
          <t>Windows schedule — count by type</t>
        </is>
      </c>
      <c r="F90" s="229" t="inlineStr">
        <is>
          <t>ASS_CST_UNIT_PRICE_UGX_NR</t>
        </is>
      </c>
      <c r="G90" s="229" t="inlineStr">
        <is>
          <t>if(ASS_CST_UNIT_PRICE_UGX_NR&lt;&gt;0,ASS_CST_UNIT_PRICE_UGX_NR,"")</t>
        </is>
      </c>
      <c r="H90" s="224" t="inlineStr">
        <is>
          <t>if(and(Windows schedule — count by type&lt;&gt;0,ASS_CST_UNIT_PRICE_UGX_NR&lt;&gt;0),Windows schedule — count by type*ASS_CST_UNIT_PRICE_UGX_NR,"")</t>
        </is>
      </c>
      <c r="I90" s="223" t="inlineStr">
        <is>
          <t>Doors/Windows</t>
        </is>
      </c>
      <c r="J90" s="223" t="inlineStr">
        <is>
          <t>BOQ-ARCH-Doors</t>
        </is>
      </c>
      <c r="K90" s="223" t="inlineStr">
        <is>
          <t>"if(BLE_WINDOW_OPERATION_TYPE_TXT&lt;&gt;"",BLE_WINDOW_OPERATION_TYPE_TXT+" ","") + "window " + if(BLE_WINDOW_WIDTH_MM&lt;&gt;"",BLE_WINDOW_WIDTH_MM+"W","?W") + "x" + if(BLE_WINDOW_HEIGHT_MM&lt;&gt;"",BLE_WINDOW_HEIGHT_MM+"H mm","?H mm") + ", " + if(BLE_WINDOW_GLAZING_TYPE_TXT&lt;&gt;"",BLE_WINDOW_GLAZING_TYPE_TXT+" glazed,","glazed,") + " frame: " + if(BLE_WINDOW_FRAME_MAT_TXT&lt;&gt;"",BLE_WINDOW_FRAME_MAT_TXT+",","TBC,") + " including ironmongery, mosquito screen, burglar bar."</t>
        </is>
      </c>
      <c r="L90" s="223" t="inlineStr">
        <is>
          <t>BLE_WINDOW_OPERATION_TYPE_TXT, BLE_WINDOW_WIDTH_MM, BLE_WINDOW_HEIGHT_MM, BLE_WINDOW_GLAZING_TYPE_TXT, BLE_WINDOW_FRAME_MAT_TXT</t>
        </is>
      </c>
      <c r="M90" s="223" t="inlineStr">
        <is>
          <t>BOQ-ARCH-Windows</t>
        </is>
      </c>
      <c r="N90" s="223" t="inlineStr">
        <is>
          <t>BLE_WINDOW_U_VALUE_W_M_2K_NR &gt; 3.00 → [!U &gt; 3.00]
BLE_WINDOW_SOLAR_HEAT_GAIN_COEFFICIENT_NR &gt; 0.40 → [!SHGC &gt; 0.40]</t>
        </is>
      </c>
      <c r="O90" s="223" t="inlineStr">
        <is>
          <t>CST_SUP_PREFERRED_SUPPLIER_TXT</t>
        </is>
      </c>
      <c r="P90" s="223" t="inlineStr">
        <is>
          <t>CST_SUP_PROCUREMENT_LEAD_TIME_DAYS</t>
        </is>
      </c>
      <c r="Q90" s="223" t="inlineStr">
        <is>
          <t>Group by window type mark. Uganda: mosquito screen and burglar bar standard.</t>
        </is>
      </c>
      <c r="R90" s="223" t="inlineStr"/>
    </row>
    <row r="91">
      <c r="A91" s="223" t="inlineStr">
        <is>
          <t>3.5.2</t>
        </is>
      </c>
      <c r="B91" s="223" t="inlineStr">
        <is>
          <t>[TYPE] door [W]mm wide x [H]mm high, [MATERIAL] [FINISH], [FRAME] frame, complete with all ironmongery as door schedule</t>
        </is>
      </c>
      <c r="C91" s="223" t="inlineStr">
        <is>
          <t>No.</t>
        </is>
      </c>
      <c r="D91" s="223" t="inlineStr">
        <is>
          <t>Doors schedule — count by type</t>
        </is>
      </c>
      <c r="E91" s="223" t="inlineStr">
        <is>
          <t>Doors schedule — count by type</t>
        </is>
      </c>
      <c r="F91" s="229" t="inlineStr">
        <is>
          <t>ASS_CST_UNIT_PRICE_UGX_NR</t>
        </is>
      </c>
      <c r="G91" s="229" t="inlineStr">
        <is>
          <t>if(ASS_CST_UNIT_PRICE_UGX_NR&lt;&gt;0,ASS_CST_UNIT_PRICE_UGX_NR,"")</t>
        </is>
      </c>
      <c r="H91" s="224" t="inlineStr">
        <is>
          <t>if(and(Doors schedule — count by type&lt;&gt;0,ASS_CST_UNIT_PRICE_UGX_NR&lt;&gt;0),Doors schedule — count by type*ASS_CST_UNIT_PRICE_UGX_NR,"")</t>
        </is>
      </c>
      <c r="I91" s="223" t="inlineStr">
        <is>
          <t>Doors/Windows</t>
        </is>
      </c>
      <c r="J91" s="223" t="inlineStr">
        <is>
          <t>BOQ-ARCH-Doors</t>
        </is>
      </c>
      <c r="K91" s="223" t="inlineStr">
        <is>
          <t>"if(BLE_DOOR_OPERATION_TYPE_TXT&lt;&gt;"",BLE_DOOR_OPERATION_TYPE_TXT+" ","") + "door " + if(BLE_DOOR_WIDTH_MM&lt;&gt;"",BLE_DOOR_WIDTH_MM+"W","?W") + "x" + if(BLE_DOOR_HEIGHT_MM&lt;&gt;"",BLE_DOOR_HEIGHT_MM+"H mm","?H mm") + ", " + if(BLE_DOOR_PRIMARY_MAT_TXT&lt;&gt;"",BLE_DOOR_PRIMARY_MAT_TXT+",","TBC,") + " complete with ironmongery."</t>
        </is>
      </c>
      <c r="L91" s="223" t="inlineStr">
        <is>
          <t>BLE_DOOR_OPERATION_TYPE_TXT, BLE_DOOR_WIDTH_MM, BLE_DOOR_HEIGHT_MM, BLE_DOOR_PRIMARY_MAT_TXT</t>
        </is>
      </c>
      <c r="M91" s="223" t="inlineStr">
        <is>
          <t>BOQ-ARCH-Doors</t>
        </is>
      </c>
      <c r="N91" s="223" t="inlineStr">
        <is>
          <t>FLS_PROT_FLS_RESISTANCE_RATING_MINUTES_MIN &lt; 30 → [!FRR &lt; 30] (fire doors)</t>
        </is>
      </c>
      <c r="O91" s="223" t="inlineStr">
        <is>
          <t>CST_SUP_PREFERRED_SUPPLIER_TXT</t>
        </is>
      </c>
      <c r="P91" s="223" t="inlineStr">
        <is>
          <t>CST_SUP_PROCUREMENT_LEAD_TIME_DAYS</t>
        </is>
      </c>
      <c r="Q91" s="223" t="inlineStr">
        <is>
          <t>Group by door type mark. Fire doors flagged.</t>
        </is>
      </c>
      <c r="R91" s="223" t="inlineStr"/>
    </row>
    <row r="92">
      <c r="A92" s="223" t="inlineStr">
        <is>
          <t>3.6  CEILINGS &amp; FLOOR FINISHES</t>
        </is>
      </c>
      <c r="B92" s="223" t="inlineStr"/>
      <c r="C92" s="223" t="inlineStr"/>
      <c r="D92" s="223" t="inlineStr"/>
      <c r="E92" s="223" t="n"/>
      <c r="F92" s="223" t="inlineStr"/>
      <c r="G92" s="223" t="n"/>
      <c r="H92" s="223" t="n"/>
      <c r="I92" s="223" t="inlineStr"/>
      <c r="J92" s="223" t="inlineStr"/>
      <c r="K92" s="223" t="inlineStr"/>
      <c r="L92" s="223" t="inlineStr"/>
      <c r="M92" s="223" t="inlineStr"/>
      <c r="N92" s="223" t="inlineStr"/>
      <c r="O92" s="223" t="inlineStr">
        <is>
          <t>CST_SUP_PREFERRED_SUPPLIER_TXT</t>
        </is>
      </c>
      <c r="P92" s="223" t="inlineStr">
        <is>
          <t>CST_SUP_PROCUREMENT_LEAD_TIME_DAYS</t>
        </is>
      </c>
      <c r="Q92" s="223" t="inlineStr"/>
      <c r="R92" s="223" t="inlineStr"/>
    </row>
    <row r="93">
      <c r="A93" s="223" t="inlineStr">
        <is>
          <t>3.6.1</t>
        </is>
      </c>
      <c r="B93" s="223" t="inlineStr">
        <is>
          <t>[MATERIAL] [TYPE] suspended ceiling system [MODULE]mm x [MODULE]mm modules at [HEIGHT]mm FFL as room data sheets</t>
        </is>
      </c>
      <c r="C93" s="223" t="inlineStr">
        <is>
          <t>m²</t>
        </is>
      </c>
      <c r="D93" s="223" t="inlineStr">
        <is>
          <t>Ceilings schedule — area</t>
        </is>
      </c>
      <c r="E93" s="223" t="inlineStr">
        <is>
          <t>Ceilings schedule — area</t>
        </is>
      </c>
      <c r="F93" s="229" t="inlineStr">
        <is>
          <t>ASS_CST_UNIT_PRICE_UGX_NR</t>
        </is>
      </c>
      <c r="G93" s="229" t="inlineStr">
        <is>
          <t>if(ASS_CST_UNIT_PRICE_UGX_NR&lt;&gt;0,ASS_CST_UNIT_PRICE_UGX_NR,"")</t>
        </is>
      </c>
      <c r="H93" s="224" t="inlineStr">
        <is>
          <t>if(and(Ceilings schedule — area&lt;&gt;0,ASS_CST_UNIT_PRICE_UGX_NR&lt;&gt;0),Ceilings schedule — area*ASS_CST_UNIT_PRICE_UGX_NR,"")</t>
        </is>
      </c>
      <c r="I93" s="223" t="inlineStr">
        <is>
          <t>Ceilings/Floors</t>
        </is>
      </c>
      <c r="J93" s="223" t="inlineStr">
        <is>
          <t>BOQ-ARCH-Ceilings</t>
        </is>
      </c>
      <c r="K93" s="223" t="inlineStr">
        <is>
          <t>"if(BLE_CEIL_MATERIAL_TXT&lt;&gt;"",BLE_CEIL_MATERIAL_TXT+" ","") + "suspended ceiling " + if(BLE_CEIL_TYPE_TXT&lt;&gt;"",BLE_CEIL_TYPE_TXT+" ","") + if(BLE_CEIL_MODULE_MM&lt;&gt;"",BLE_CEIL_MODULE_MM+"mm module ","") + "at " + if(BLE_CEIL_HEIGHT_MM&lt;&gt;"",BLE_CEIL_HEIGHT_MM+"mm FFL.","FFL as drawings.")</t>
        </is>
      </c>
      <c r="L93" s="223" t="inlineStr">
        <is>
          <t>BLE_CEIL_MATERIAL_TXT, BLE_CEIL_TYPE_TXT, BLE_CEIL_MODULE_MM, BLE_CEIL_HEIGHT_MM</t>
        </is>
      </c>
      <c r="M93" s="223" t="inlineStr">
        <is>
          <t>BOQ-ARCH-Ceilings</t>
        </is>
      </c>
      <c r="N93" s="223" t="inlineStr">
        <is>
          <t>PER_ACOUSTICS_BACKGROUND_NOISE_DB &gt; 40 → [!NOISE]</t>
        </is>
      </c>
      <c r="O93" s="223" t="inlineStr">
        <is>
          <t>CST_SUP_PREFERRED_SUPPLIER_TXT</t>
        </is>
      </c>
      <c r="P93" s="223" t="inlineStr">
        <is>
          <t>CST_SUP_PROCUREMENT_LEAD_TIME_DAYS</t>
        </is>
      </c>
      <c r="Q93" s="223" t="inlineStr"/>
      <c r="R93" s="223" t="inlineStr"/>
    </row>
    <row r="94">
      <c r="A94" s="223" t="inlineStr">
        <is>
          <t>3.6.2</t>
        </is>
      </c>
      <c r="B94" s="223" t="inlineStr">
        <is>
          <t>[MATERIAL] [TYPE] floor tiling [SIZE]mm x [SIZE]mm with [GROUT] grout, laid to falls where required</t>
        </is>
      </c>
      <c r="C94" s="223" t="inlineStr">
        <is>
          <t>m²</t>
        </is>
      </c>
      <c r="D94" s="230" t="inlineStr">
        <is>
          <t>CST_CALC_TILE_M2</t>
        </is>
      </c>
      <c r="E94" s="230" t="inlineStr">
        <is>
          <t>if(CST_CALC_TILE_M2&lt;&gt;0,CST_CALC_TILE_M2,"")</t>
        </is>
      </c>
      <c r="F94" s="229" t="inlineStr">
        <is>
          <t>CST_UNIT_PRICE_TILE_UGX</t>
        </is>
      </c>
      <c r="G94" s="229" t="inlineStr">
        <is>
          <t>if(CST_UNIT_PRICE_TILE_UGX&lt;&gt;0,CST_UNIT_PRICE_TILE_UGX,"")</t>
        </is>
      </c>
      <c r="H94" s="224" t="inlineStr">
        <is>
          <t>if(and(CST_CALC_TILE_M2&lt;&gt;0,CST_UNIT_PRICE_TILE_UGX&lt;&gt;0),CST_CALC_TILE_M2*CST_UNIT_PRICE_TILE_UGX,"")</t>
        </is>
      </c>
      <c r="I94" s="223" t="inlineStr">
        <is>
          <t>Ceilings/Floors</t>
        </is>
      </c>
      <c r="J94" s="223" t="inlineStr">
        <is>
          <t>BOQ-ARCH-Ceilings</t>
        </is>
      </c>
      <c r="K94" s="223" t="inlineStr">
        <is>
          <t>"if(BLE_FLR_MATERIAL_TXT&lt;&gt;"",BLE_FLR_MATERIAL_TXT+" ","") + if(BLE_FLR_TYPE_TXT&lt;&gt;"",BLE_FLR_TYPE_TXT+" ","") + "floor " + if(BLE_FLR_TILE_SZ_MM&lt;&gt;"",BLE_FLR_TILE_SZ_MM+"mm tile ","tiles") + "laid to falls where required."</t>
        </is>
      </c>
      <c r="L94" s="223" t="inlineStr">
        <is>
          <t>BLE_FLR_MATERIAL_TXT, BLE_FLR_TYPE_TXT, BLE_FLR_TILE_SZ_MM</t>
        </is>
      </c>
      <c r="M94" s="223" t="inlineStr">
        <is>
          <t>BOQ-ARCH-FloorFinishes</t>
        </is>
      </c>
      <c r="N94" s="223" t="inlineStr"/>
      <c r="O94" s="223" t="inlineStr">
        <is>
          <t>CST_SUP_PREFERRED_SUPPLIER_TXT</t>
        </is>
      </c>
      <c r="P94" s="223" t="inlineStr">
        <is>
          <t>CST_SUP_PROCUREMENT_LEAD_TIME_DAYS</t>
        </is>
      </c>
      <c r="Q94" s="223" t="inlineStr"/>
      <c r="R94" s="223" t="inlineStr"/>
    </row>
    <row r="95">
      <c r="A95" s="223" t="inlineStr">
        <is>
          <t>3.6.3</t>
        </is>
      </c>
      <c r="B95" s="223" t="inlineStr">
        <is>
          <t>[MATERIAL] skirting [HEIGHT]mm high to all rooms as specified</t>
        </is>
      </c>
      <c r="C95" s="223" t="inlineStr">
        <is>
          <t>LM</t>
        </is>
      </c>
      <c r="D95" s="223" t="inlineStr">
        <is>
          <t>Perimeter of rooms</t>
        </is>
      </c>
      <c r="E95" s="223" t="inlineStr">
        <is>
          <t>Perimeter of rooms</t>
        </is>
      </c>
      <c r="F95" s="229" t="inlineStr">
        <is>
          <t>CST_UNIT_PRICE_TILE_UGX</t>
        </is>
      </c>
      <c r="G95" s="229" t="inlineStr">
        <is>
          <t>if(CST_UNIT_PRICE_TILE_UGX&lt;&gt;0,CST_UNIT_PRICE_TILE_UGX,"")</t>
        </is>
      </c>
      <c r="H95" s="224" t="inlineStr">
        <is>
          <t>if(and(Perimeter of rooms&lt;&gt;0,CST_UNIT_PRICE_TILE_UGX&lt;&gt;0),Perimeter of rooms*CST_UNIT_PRICE_TILE_UGX,"")</t>
        </is>
      </c>
      <c r="I95" s="223" t="inlineStr">
        <is>
          <t>Ceilings/Floors</t>
        </is>
      </c>
      <c r="J95" s="223" t="inlineStr">
        <is>
          <t>BOQ-ARCH-Ceilings</t>
        </is>
      </c>
      <c r="K95" s="223" t="inlineStr">
        <is>
          <t>"if(BLE_FLR_SKIRTING_MAT_TXT&lt;&gt;"",BLE_FLR_SKIRTING_MAT_TXT+" ","") + "skirting " + if(BLE_FLR_SKIRTING_HGT_MM&lt;&gt;"",BLE_FLR_SKIRTING_HGT_MM+"mm high.","as specified.")</t>
        </is>
      </c>
      <c r="L95" s="223" t="inlineStr">
        <is>
          <t>BLE_FLR_SKIRTING_MAT_TXT, BLE_FLR_SKIRTING_HGT_MM</t>
        </is>
      </c>
      <c r="M95" s="223" t="inlineStr">
        <is>
          <t>BOQ-ARCH-Skirting</t>
        </is>
      </c>
      <c r="N95" s="223" t="inlineStr"/>
      <c r="O95" s="223" t="inlineStr">
        <is>
          <t>CST_SUP_PREFERRED_SUPPLIER_TXT</t>
        </is>
      </c>
      <c r="P95" s="223" t="inlineStr">
        <is>
          <t>CST_SUP_PROCUREMENT_LEAD_TIME_DAYS</t>
        </is>
      </c>
      <c r="Q95" s="223" t="inlineStr"/>
      <c r="R95" s="223" t="inlineStr"/>
    </row>
    <row r="96">
      <c r="A96" s="223" t="inlineStr">
        <is>
          <t>3.7  STAIRS, RAMPS &amp; SPECIALIST ARCH</t>
        </is>
      </c>
      <c r="B96" s="223" t="inlineStr"/>
      <c r="C96" s="223" t="inlineStr"/>
      <c r="D96" s="223" t="inlineStr"/>
      <c r="E96" s="223" t="n"/>
      <c r="F96" s="223" t="inlineStr"/>
      <c r="G96" s="223" t="n"/>
      <c r="H96" s="223" t="n"/>
      <c r="I96" s="223" t="inlineStr"/>
      <c r="J96" s="223" t="inlineStr"/>
      <c r="K96" s="223" t="inlineStr"/>
      <c r="L96" s="223" t="inlineStr"/>
      <c r="M96" s="223" t="inlineStr"/>
      <c r="N96" s="223" t="inlineStr"/>
      <c r="O96" s="223" t="inlineStr">
        <is>
          <t>CST_SUP_PREFERRED_SUPPLIER_TXT</t>
        </is>
      </c>
      <c r="P96" s="223" t="inlineStr">
        <is>
          <t>CST_SUP_PROCUREMENT_LEAD_TIME_DAYS</t>
        </is>
      </c>
      <c r="Q96" s="223" t="inlineStr"/>
      <c r="R96" s="223" t="inlineStr"/>
    </row>
    <row r="97">
      <c r="A97" s="223" t="inlineStr">
        <is>
          <t>3.7.1</t>
        </is>
      </c>
      <c r="B97" s="223" t="inlineStr">
        <is>
          <t>[MATERIAL] stairs [RISE]mm rise x [GOING]mm going x [WIDTH]mm wide, [TREAD] tread finish, [HANDRAIL] handrail — [NR] risers</t>
        </is>
      </c>
      <c r="C97" s="223" t="inlineStr">
        <is>
          <t>Flight</t>
        </is>
      </c>
      <c r="D97" s="223" t="inlineStr">
        <is>
          <t>Stairs schedule — count</t>
        </is>
      </c>
      <c r="E97" s="223" t="inlineStr">
        <is>
          <t>Stairs schedule — count</t>
        </is>
      </c>
      <c r="F97" s="229" t="inlineStr">
        <is>
          <t>ASS_CST_UNIT_PRICE_UGX_NR</t>
        </is>
      </c>
      <c r="G97" s="229" t="inlineStr">
        <is>
          <t>if(ASS_CST_UNIT_PRICE_UGX_NR&lt;&gt;0,ASS_CST_UNIT_PRICE_UGX_NR,"")</t>
        </is>
      </c>
      <c r="H97" s="224" t="inlineStr">
        <is>
          <t>if(and(Stairs schedule — count&lt;&gt;0,ASS_CST_UNIT_PRICE_UGX_NR&lt;&gt;0),Stairs schedule — count*ASS_CST_UNIT_PRICE_UGX_NR,"")</t>
        </is>
      </c>
      <c r="I97" s="223" t="inlineStr">
        <is>
          <t>Stairs/Ramps</t>
        </is>
      </c>
      <c r="J97" s="223" t="inlineStr">
        <is>
          <t>BOQ-ARCH-Stairs</t>
        </is>
      </c>
      <c r="K97" s="223" t="inlineStr">
        <is>
          <t>"if(BLE_STAIR_MAT_TXT&lt;&gt;"",BLE_STAIR_MAT_TXT+" ","") + "stair " + if(BLE_STAIR_RISE_MM&lt;&gt;"",BLE_STAIR_RISE_MM+"R/","?R/") + if(BLE_STAIR_GOING_MM&lt;&gt;"",BLE_STAIR_GOING_MM+"G mm, ","?G mm, ") + if(BLE_STAIR_WIDTH_MM&lt;&gt;"",BLE_STAIR_WIDTH_MM+"mm wide, ","?mm wide, ") + if(BLE_STAIR_TREAD_FINISH_TXT&lt;&gt;"",BLE_STAIR_TREAD_FINISH_TXT+" tread, ","") + if(BLE_STAIR_HANDRAIL_MAT_TXT&lt;&gt;"",BLE_STAIR_HANDRAIL_MAT_TXT+" handrail.","handrail.")</t>
        </is>
      </c>
      <c r="L97" s="223" t="inlineStr">
        <is>
          <t>BLE_STAIR_MAT_TXT, BLE_STAIR_RISE_MM, BLE_STAIR_GOING_MM, BLE_STAIR_WIDTH_MM, BLE_STAIR_TREAD_FINISH_TXT, BLE_STAIR_HANDRAIL_MAT_TXT</t>
        </is>
      </c>
      <c r="M97" s="223" t="inlineStr">
        <is>
          <t>BOQ-ARCH-Stairs</t>
        </is>
      </c>
      <c r="N97" s="223" t="inlineStr">
        <is>
          <t>BLE_STAIR_RISE_MM &gt; 190 → [!RISE]
BLE_STAIR_WIDTH_MM &lt; 1000 → [!WIDTH]</t>
        </is>
      </c>
      <c r="O97" s="223" t="inlineStr">
        <is>
          <t>CST_SUP_PREFERRED_SUPPLIER_TXT</t>
        </is>
      </c>
      <c r="P97" s="223" t="inlineStr">
        <is>
          <t>CST_SUP_PROCUREMENT_LEAD_TIME_DAYS</t>
        </is>
      </c>
      <c r="Q97" s="223" t="inlineStr">
        <is>
          <t>Uganda PWD requirements: min 1200mm width for public stairs.</t>
        </is>
      </c>
      <c r="R97" s="223" t="inlineStr"/>
    </row>
    <row r="98">
      <c r="A98" s="223" t="inlineStr">
        <is>
          <t>3.7.2</t>
        </is>
      </c>
      <c r="B98" s="223" t="inlineStr">
        <is>
          <t>[MATERIAL] access ramp at [SLOPE]% gradient, [SURFACE] surface finish, [HANDRAIL] handrails both sides, [WIDTH]mm clear width</t>
        </is>
      </c>
      <c r="C98" s="223" t="inlineStr">
        <is>
          <t>LM</t>
        </is>
      </c>
      <c r="D98" s="223" t="inlineStr">
        <is>
          <t>Ramps schedule — length</t>
        </is>
      </c>
      <c r="E98" s="223" t="inlineStr">
        <is>
          <t>Ramps schedule — length</t>
        </is>
      </c>
      <c r="F98" s="229" t="inlineStr">
        <is>
          <t>ASS_CST_UNIT_PRICE_UGX_NR</t>
        </is>
      </c>
      <c r="G98" s="229" t="inlineStr">
        <is>
          <t>if(ASS_CST_UNIT_PRICE_UGX_NR&lt;&gt;0,ASS_CST_UNIT_PRICE_UGX_NR,"")</t>
        </is>
      </c>
      <c r="H98" s="224" t="inlineStr">
        <is>
          <t>if(and(Ramps schedule — length&lt;&gt;0,ASS_CST_UNIT_PRICE_UGX_NR&lt;&gt;0),Ramps schedule — length*ASS_CST_UNIT_PRICE_UGX_NR,"")</t>
        </is>
      </c>
      <c r="I98" s="223" t="inlineStr">
        <is>
          <t>Stairs/Ramps</t>
        </is>
      </c>
      <c r="J98" s="223" t="inlineStr">
        <is>
          <t>BOQ-ARCH-Stairs</t>
        </is>
      </c>
      <c r="K98" s="223" t="inlineStr">
        <is>
          <t>"if(BLE_RAMP_SLOPE_PCT&lt;&gt;"",BLE_RAMP_SLOPE_PCT+"% gradient ","") + "ramp, " + if(BLE_RAMP_SURFACE_FINISH_TXT&lt;&gt;"",BLE_RAMP_SURFACE_FINISH_TXT+" surface,","") + " handrails both sides, " + if(RGL_ACCESS_CLEAR_WIDTH_MM&lt;&gt;"",RGL_ACCESS_CLEAR_WIDTH_MM+"mm clear width.","as drawings.")</t>
        </is>
      </c>
      <c r="L98" s="223" t="inlineStr">
        <is>
          <t>BLE_RAMP_SLOPE_PCT, BLE_RAMP_SURFACE_FINISH_TXT, RGL_ACCESS_CLEAR_WIDTH_MM</t>
        </is>
      </c>
      <c r="M98" s="223" t="inlineStr">
        <is>
          <t>BOQ-ARCH-Ramps</t>
        </is>
      </c>
      <c r="N98" s="223" t="inlineStr">
        <is>
          <t>BLE_RAMP_SLOPE_PCT &gt; 8.33 → [!SLOPE]
RGL_ACCESS_CLEAR_WIDTH_MM &lt; 900 → [!WIDTH]</t>
        </is>
      </c>
      <c r="O98" s="223" t="inlineStr">
        <is>
          <t>CST_SUP_PREFERRED_SUPPLIER_TXT</t>
        </is>
      </c>
      <c r="P98" s="223" t="inlineStr">
        <is>
          <t>CST_SUP_PROCUREMENT_LEAD_TIME_DAYS</t>
        </is>
      </c>
      <c r="Q98" s="223" t="inlineStr">
        <is>
          <t>Uganda PWD Act 2020: max 1:12 gradient.</t>
        </is>
      </c>
      <c r="R98" s="223" t="inlineStr"/>
    </row>
    <row r="99">
      <c r="A99" s="223" t="inlineStr"/>
      <c r="B99" s="223" t="inlineStr"/>
      <c r="C99" s="223" t="inlineStr"/>
      <c r="D99" s="223" t="inlineStr"/>
      <c r="E99" s="223" t="n"/>
      <c r="F99" s="223" t="inlineStr"/>
      <c r="G99" s="223" t="n"/>
      <c r="H99" s="223" t="n"/>
      <c r="I99" s="223" t="inlineStr"/>
      <c r="J99" s="223" t="inlineStr"/>
      <c r="K99" s="223" t="inlineStr"/>
      <c r="L99" s="223" t="inlineStr"/>
      <c r="M99" s="223" t="inlineStr"/>
      <c r="N99" s="223" t="inlineStr"/>
      <c r="O99" s="223" t="inlineStr">
        <is>
          <t>CST_SUP_PREFERRED_SUPPLIER_TXT</t>
        </is>
      </c>
      <c r="P99" s="223" t="inlineStr">
        <is>
          <t>CST_SUP_PROCUREMENT_LEAD_TIME_DAYS</t>
        </is>
      </c>
      <c r="Q99" s="223" t="inlineStr"/>
      <c r="R99" s="223" t="inlineStr"/>
    </row>
    <row r="100">
      <c r="A100" s="265" t="inlineStr">
        <is>
          <t>BILL No.4  —  ELECTRICAL INSTALLATIONS</t>
        </is>
      </c>
      <c r="B100" s="269" t="n"/>
      <c r="C100" s="269" t="n"/>
      <c r="D100" s="269" t="n"/>
      <c r="E100" s="269" t="n"/>
      <c r="F100" s="269" t="n"/>
      <c r="G100" s="269" t="n"/>
      <c r="H100" s="269" t="n"/>
      <c r="I100" s="269" t="n"/>
      <c r="J100" s="269" t="n"/>
      <c r="K100" s="269" t="n"/>
      <c r="L100" s="269" t="n"/>
      <c r="M100" s="269" t="n"/>
      <c r="N100" s="269" t="n"/>
      <c r="O100" s="269" t="n"/>
      <c r="P100" s="269" t="n"/>
      <c r="Q100" s="269" t="n"/>
      <c r="R100" s="270" t="n"/>
    </row>
    <row r="101">
      <c r="A101" s="223" t="inlineStr">
        <is>
          <t>Preamble: Provide all materials, install, connect and set to work the following all as described in the Specifications and Drawings. All wiring by copper conductors to IEC 60227/60245. Conduits: PVC heavy gauge to BS 6053. Switchgear: IEC 60947. UMEME commissioning approval required.</t>
        </is>
      </c>
      <c r="B101" s="223" t="inlineStr"/>
      <c r="C101" s="223" t="inlineStr"/>
      <c r="D101" s="223" t="inlineStr"/>
      <c r="E101" s="223" t="n"/>
      <c r="F101" s="223" t="inlineStr"/>
      <c r="G101" s="223" t="n"/>
      <c r="H101" s="223" t="n"/>
      <c r="I101" s="223" t="inlineStr"/>
      <c r="J101" s="223" t="inlineStr"/>
      <c r="K101" s="223" t="inlineStr"/>
      <c r="L101" s="223" t="inlineStr"/>
      <c r="M101" s="223" t="inlineStr"/>
      <c r="N101" s="223" t="inlineStr"/>
      <c r="O101" s="223" t="inlineStr">
        <is>
          <t>CST_SUP_PREFERRED_SUPPLIER_TXT</t>
        </is>
      </c>
      <c r="P101" s="223" t="inlineStr">
        <is>
          <t>CST_SUP_PROCUREMENT_LEAD_TIME_DAYS</t>
        </is>
      </c>
      <c r="Q101" s="223" t="inlineStr"/>
      <c r="R101" s="223" t="inlineStr"/>
    </row>
    <row r="102">
      <c r="A102" s="223" t="inlineStr">
        <is>
          <t>4.1  WIRING CIRCUITS &amp; CONDUITS</t>
        </is>
      </c>
      <c r="B102" s="223" t="inlineStr"/>
      <c r="C102" s="223" t="inlineStr"/>
      <c r="D102" s="223" t="inlineStr"/>
      <c r="E102" s="223" t="n"/>
      <c r="F102" s="223" t="inlineStr"/>
      <c r="G102" s="223" t="n"/>
      <c r="H102" s="223" t="n"/>
      <c r="I102" s="223" t="inlineStr"/>
      <c r="J102" s="223" t="inlineStr"/>
      <c r="K102" s="223" t="inlineStr"/>
      <c r="L102" s="223" t="inlineStr"/>
      <c r="M102" s="223" t="inlineStr"/>
      <c r="N102" s="223" t="inlineStr"/>
      <c r="O102" s="223" t="inlineStr">
        <is>
          <t>CST_SUP_PREFERRED_SUPPLIER_TXT</t>
        </is>
      </c>
      <c r="P102" s="223" t="inlineStr">
        <is>
          <t>CST_SUP_PROCUREMENT_LEAD_TIME_DAYS</t>
        </is>
      </c>
      <c r="Q102" s="223" t="inlineStr"/>
      <c r="R102" s="223" t="inlineStr"/>
    </row>
    <row r="103">
      <c r="A103" s="223" t="inlineStr">
        <is>
          <t>4.1.1</t>
        </is>
      </c>
      <c r="B103" s="223" t="inlineStr">
        <is>
          <t>Lighting points wired by [CBL_TYPE] copper cables in [CDT_SZ]mm heavy gauge PVC [METHOD] conduit with drops concealed in walls to switch positions complete with [MFR] steel boxes and all accessories.</t>
        </is>
      </c>
      <c r="C103" s="223" t="inlineStr">
        <is>
          <t>No.</t>
        </is>
      </c>
      <c r="D103" s="223" t="inlineStr">
        <is>
          <t>BOQ-ELC-Lighting-Points schedule — Count</t>
        </is>
      </c>
      <c r="E103" s="223" t="inlineStr">
        <is>
          <t>BOQ-ELC-Lighting-Points schedule — Count</t>
        </is>
      </c>
      <c r="F103" s="229" t="inlineStr">
        <is>
          <t>ASS_CST_UNIT_PRICE_UGX_NR</t>
        </is>
      </c>
      <c r="G103" s="229" t="inlineStr">
        <is>
          <t>if(ASS_CST_UNIT_PRICE_UGX_NR&lt;&gt;0,ASS_CST_UNIT_PRICE_UGX_NR,"")</t>
        </is>
      </c>
      <c r="H103" s="224" t="inlineStr">
        <is>
          <t>if(and(BOQ-ELC-Lighting-Points schedule — Count&lt;&gt;0,ASS_CST_UNIT_PRICE_UGX_NR&lt;&gt;0),BOQ-ELC-Lighting-Points schedule — Count*ASS_CST_UNIT_PRICE_UGX_NR,"")</t>
        </is>
      </c>
      <c r="I103" s="223" t="inlineStr">
        <is>
          <t>Electrical Fixtures/Conduits</t>
        </is>
      </c>
      <c r="J103" s="223" t="inlineStr">
        <is>
          <t>BOQ-ELC-Lighting-Points</t>
        </is>
      </c>
      <c r="K103" s="223" t="inlineStr">
        <is>
          <t>"Lighting points wired by " + if(ELC_CKT_CBL_TYPE_TXT&lt;&gt;"",ELC_CKT_CBL_TYPE_TXT,"3x1.5mm² SC PVC") + " copper cables in " + if(ELC_CDT_SZ_MM&lt;&gt;"",ELC_CDT_SZ_MM+"mm","25mm") + " heavy gauge PVC " + if(ELC_CDT_INSTALL_METHOD_TXT&lt;&gt;"",ELC_CDT_INSTALL_METHOD_TXT,"concealed") + " conduit with drops concealed in walls complete with " + if(ASS_MANUFACTURER_TXT&lt;&gt;"",ASS_MANUFACTURER_TXT,"MK") + " steel boxes and all accessories."</t>
        </is>
      </c>
      <c r="L103" s="223" t="inlineStr">
        <is>
          <t>ELC_CKT_CBL_TYPE_TXT, ELC_CDT_SZ_MM, ELC_CDT_INSTALL_METHOD_TXT, ASS_MANUFACTURER_TXT</t>
        </is>
      </c>
      <c r="M103" s="223" t="inlineStr">
        <is>
          <t>BOQ-ELC-Lighting-Points</t>
        </is>
      </c>
      <c r="N103" s="223" t="inlineStr">
        <is>
          <t>ELC_VLT_DROP_PCT &gt; 4.0 → [!VD &gt; 4%]</t>
        </is>
      </c>
      <c r="O103" s="223" t="inlineStr">
        <is>
          <t>CST_SUP_PREFERRED_SUPPLIER_TXT</t>
        </is>
      </c>
      <c r="P103" s="223" t="inlineStr">
        <is>
          <t>CST_SUP_PROCUREMENT_LEAD_TIME_DAYS</t>
        </is>
      </c>
      <c r="Q103" s="223" t="inlineStr">
        <is>
          <t>Group by floor. Per Uganda police CDAC BOQ format.</t>
        </is>
      </c>
      <c r="R103" s="223" t="inlineStr"/>
    </row>
    <row r="104">
      <c r="A104" s="223" t="inlineStr">
        <is>
          <t>4.1.2</t>
        </is>
      </c>
      <c r="B104" s="223" t="inlineStr">
        <is>
          <t>Socket outlet points wired as a ring/radial by [CBL_TYPE] copper cables in [CDT_SZ]mm heavy gauge PVC [METHOD] conduit/trunking complete with boxes for sockets and all accessories.</t>
        </is>
      </c>
      <c r="C104" s="223" t="inlineStr">
        <is>
          <t>No.</t>
        </is>
      </c>
      <c r="D104" s="223" t="inlineStr">
        <is>
          <t>BOQ-ELC-Socket-Points — Count</t>
        </is>
      </c>
      <c r="E104" s="223" t="inlineStr">
        <is>
          <t>BOQ-ELC-Socket-Points — Count</t>
        </is>
      </c>
      <c r="F104" s="229" t="inlineStr">
        <is>
          <t>ASS_CST_UNIT_PRICE_UGX_NR</t>
        </is>
      </c>
      <c r="G104" s="229" t="inlineStr">
        <is>
          <t>if(ASS_CST_UNIT_PRICE_UGX_NR&lt;&gt;0,ASS_CST_UNIT_PRICE_UGX_NR,"")</t>
        </is>
      </c>
      <c r="H104" s="224" t="inlineStr">
        <is>
          <t>if(and(BOQ-ELC-Socket-Points — Count&lt;&gt;0,ASS_CST_UNIT_PRICE_UGX_NR&lt;&gt;0),BOQ-ELC-Socket-Points — Count*ASS_CST_UNIT_PRICE_UGX_NR,"")</t>
        </is>
      </c>
      <c r="I104" s="223" t="inlineStr">
        <is>
          <t>Electrical Fixtures/Conduits</t>
        </is>
      </c>
      <c r="J104" s="223" t="inlineStr">
        <is>
          <t>BOQ-ELC-Lighting-Points</t>
        </is>
      </c>
      <c r="K104" s="223" t="inlineStr">
        <is>
          <t>"Socket outlet points wired as a ring by " + if(ELC_CKT_CBL_TYPE_TXT&lt;&gt;"",ELC_CKT_CBL_TYPE_TXT,"3x2.5mm² SC PVC") + " copper cables in " + if(ELC_CDT_SZ_MM&lt;&gt;"",ELC_CDT_SZ_MM+"mm","25mm") + " heavy gauge PVC " + if(ELC_CDT_INSTALL_METHOD_TXT&lt;&gt;"",ELC_CDT_INSTALL_METHOD_TXT,"concealed") + " conduit/trunking complete with boxes and all accessories."</t>
        </is>
      </c>
      <c r="L104" s="223" t="inlineStr">
        <is>
          <t>ELC_CKT_CBL_TYPE_TXT, ELC_CDT_SZ_MM, ELC_CDT_INSTALL_METHOD_TXT</t>
        </is>
      </c>
      <c r="M104" s="223" t="inlineStr">
        <is>
          <t>BOQ-ELC-Socket-Points</t>
        </is>
      </c>
      <c r="N104" s="223" t="inlineStr">
        <is>
          <t>ELC_VLT_DROP_PCT &gt; 4.0 → [!VD &gt; 4%]</t>
        </is>
      </c>
      <c r="O104" s="223" t="inlineStr">
        <is>
          <t>CST_SUP_PREFERRED_SUPPLIER_TXT</t>
        </is>
      </c>
      <c r="P104" s="223" t="inlineStr">
        <is>
          <t>CST_SUP_PROCUREMENT_LEAD_TIME_DAYS</t>
        </is>
      </c>
      <c r="Q104" s="223" t="inlineStr"/>
      <c r="R104" s="223" t="inlineStr"/>
    </row>
    <row r="105">
      <c r="A105" s="223" t="inlineStr">
        <is>
          <t>4.1.3</t>
        </is>
      </c>
      <c r="B105" s="223" t="inlineStr">
        <is>
          <t>[CDT_SZ]mm heavy gauge PVC [METHOD] conduit complete with all accessories (for spare containment)</t>
        </is>
      </c>
      <c r="C105" s="223" t="inlineStr">
        <is>
          <t>LM</t>
        </is>
      </c>
      <c r="D105" s="223" t="inlineStr">
        <is>
          <t>BOQ-ELC-Conduits — Length</t>
        </is>
      </c>
      <c r="E105" s="223" t="inlineStr">
        <is>
          <t>BOQ-ELC-Conduits — Length</t>
        </is>
      </c>
      <c r="F105" s="229" t="inlineStr">
        <is>
          <t>ASS_CST_UNIT_PRICE_UGX_NR</t>
        </is>
      </c>
      <c r="G105" s="229" t="inlineStr">
        <is>
          <t>if(ASS_CST_UNIT_PRICE_UGX_NR&lt;&gt;0,ASS_CST_UNIT_PRICE_UGX_NR,"")</t>
        </is>
      </c>
      <c r="H105" s="224" t="inlineStr">
        <is>
          <t>if(and(BOQ-ELC-Conduits — Length&lt;&gt;0,ASS_CST_UNIT_PRICE_UGX_NR&lt;&gt;0),BOQ-ELC-Conduits — Length*ASS_CST_UNIT_PRICE_UGX_NR,"")</t>
        </is>
      </c>
      <c r="I105" s="223" t="inlineStr">
        <is>
          <t>Electrical Fixtures/Conduits</t>
        </is>
      </c>
      <c r="J105" s="223" t="inlineStr">
        <is>
          <t>BOQ-ELC-Lighting-Points</t>
        </is>
      </c>
      <c r="K105" s="223" t="inlineStr">
        <is>
          <t>"if(ELC_CDT_SZ_MM&lt;&gt;"",ELC_CDT_SZ_MM+"mm","25mm") + " heavy gauge PVC " + if(ELC_CDT_INSTALL_METHOD_TXT&lt;&gt;"",ELC_CDT_INSTALL_METHOD_TXT,"concealed") + " conduit complete with all accessories."</t>
        </is>
      </c>
      <c r="L105" s="223" t="inlineStr">
        <is>
          <t>ELC_CDT_SZ_MM, ELC_CDT_MAT_TXT, ELC_CDT_INSTALL_METHOD_TXT</t>
        </is>
      </c>
      <c r="M105" s="223" t="inlineStr">
        <is>
          <t>BOQ-ELC-Conduits</t>
        </is>
      </c>
      <c r="N105" s="223" t="inlineStr">
        <is>
          <t>ELC_CDT_CBL_FILL_PCT &gt; 40 → [!FILL &gt; 40%]</t>
        </is>
      </c>
      <c r="O105" s="223" t="inlineStr">
        <is>
          <t>CST_SUP_PREFERRED_SUPPLIER_TXT</t>
        </is>
      </c>
      <c r="P105" s="223" t="inlineStr">
        <is>
          <t>CST_SUP_PROCUREMENT_LEAD_TIME_DAYS</t>
        </is>
      </c>
      <c r="Q105" s="223" t="inlineStr">
        <is>
          <t>Group by size and installation method.</t>
        </is>
      </c>
      <c r="R105" s="223" t="inlineStr"/>
    </row>
    <row r="106">
      <c r="A106" s="223" t="inlineStr">
        <is>
          <t>4.1.4</t>
        </is>
      </c>
      <c r="B106" s="223" t="inlineStr">
        <is>
          <t>Steel cable tray [WIDTH]mm x [DEPTH]mm fixed in cable duct or on wall brackets complete with all fittings and accessories</t>
        </is>
      </c>
      <c r="C106" s="223" t="inlineStr">
        <is>
          <t>LM</t>
        </is>
      </c>
      <c r="D106" s="223" t="inlineStr">
        <is>
          <t>BOQ-ELC-CableTrays — Length</t>
        </is>
      </c>
      <c r="E106" s="223" t="inlineStr">
        <is>
          <t>BOQ-ELC-CableTrays — Length</t>
        </is>
      </c>
      <c r="F106" s="229" t="inlineStr">
        <is>
          <t>ASS_CST_UNIT_PRICE_UGX_NR</t>
        </is>
      </c>
      <c r="G106" s="229" t="inlineStr">
        <is>
          <t>if(ASS_CST_UNIT_PRICE_UGX_NR&lt;&gt;0,ASS_CST_UNIT_PRICE_UGX_NR,"")</t>
        </is>
      </c>
      <c r="H106" s="224" t="inlineStr">
        <is>
          <t>if(and(BOQ-ELC-CableTrays — Length&lt;&gt;0,ASS_CST_UNIT_PRICE_UGX_NR&lt;&gt;0),BOQ-ELC-CableTrays — Length*ASS_CST_UNIT_PRICE_UGX_NR,"")</t>
        </is>
      </c>
      <c r="I106" s="223" t="inlineStr">
        <is>
          <t>Electrical Fixtures/Conduits</t>
        </is>
      </c>
      <c r="J106" s="223" t="inlineStr">
        <is>
          <t>BOQ-ELC-Lighting-Points</t>
        </is>
      </c>
      <c r="K106" s="223" t="inlineStr">
        <is>
          <t>"Steel cable tray " + if(ELC_CTR_WIDTH_MM&lt;&gt;"",ELC_CTR_WIDTH_MM,"100") + "x" + if(ELC_CTR_DEPTH_MM&lt;&gt;"",ELC_CTR_DEPTH_MM,"50") + "mm complete with all fittings and accessories."</t>
        </is>
      </c>
      <c r="L106" s="223" t="inlineStr">
        <is>
          <t>ELC_CTR_WIDTH_MM, ELC_CTR_DEPTH_MM, ELC_CTR_MAT_TXT</t>
        </is>
      </c>
      <c r="M106" s="223" t="inlineStr">
        <is>
          <t>BOQ-ELC-CableTrays</t>
        </is>
      </c>
      <c r="N106" s="223" t="inlineStr">
        <is>
          <t>ELC_CTR_FILL_PCT &gt; 45 → [!FILL &gt; 45%]</t>
        </is>
      </c>
      <c r="O106" s="223" t="inlineStr">
        <is>
          <t>CST_SUP_PREFERRED_SUPPLIER_TXT</t>
        </is>
      </c>
      <c r="P106" s="223" t="inlineStr">
        <is>
          <t>CST_SUP_PROCUREMENT_LEAD_TIME_DAYS</t>
        </is>
      </c>
      <c r="Q106" s="223" t="inlineStr">
        <is>
          <t>Group by size.</t>
        </is>
      </c>
      <c r="R106" s="223" t="inlineStr"/>
    </row>
    <row r="107">
      <c r="A107" s="223" t="inlineStr">
        <is>
          <t>4.2  LUMINAIRES &amp; ACCESSORIES</t>
        </is>
      </c>
      <c r="B107" s="223" t="inlineStr"/>
      <c r="C107" s="223" t="inlineStr"/>
      <c r="D107" s="223" t="inlineStr"/>
      <c r="E107" s="223" t="n"/>
      <c r="F107" s="223" t="inlineStr"/>
      <c r="G107" s="223" t="n"/>
      <c r="H107" s="223" t="n"/>
      <c r="I107" s="223" t="inlineStr"/>
      <c r="J107" s="223" t="inlineStr"/>
      <c r="K107" s="223" t="inlineStr"/>
      <c r="L107" s="223" t="inlineStr"/>
      <c r="M107" s="223" t="inlineStr"/>
      <c r="N107" s="223" t="inlineStr"/>
      <c r="O107" s="223" t="inlineStr">
        <is>
          <t>CST_SUP_PREFERRED_SUPPLIER_TXT</t>
        </is>
      </c>
      <c r="P107" s="223" t="inlineStr">
        <is>
          <t>CST_SUP_PROCUREMENT_LEAD_TIME_DAYS</t>
        </is>
      </c>
      <c r="Q107" s="223" t="inlineStr"/>
      <c r="R107" s="223" t="inlineStr"/>
    </row>
    <row r="108">
      <c r="A108" s="223" t="inlineStr">
        <is>
          <t>4.2.1</t>
        </is>
      </c>
      <c r="B108" s="223" t="inlineStr">
        <is>
          <t>[TYPE] [WATT]W LED luminaire [MOUNTING], [SIZE]mm, with [CTRL] interface as [MFR] or equal approved. (Light Type [CODE])</t>
        </is>
      </c>
      <c r="C108" s="223" t="inlineStr">
        <is>
          <t>No.</t>
        </is>
      </c>
      <c r="D108" s="223" t="inlineStr">
        <is>
          <t>BOQ-ELC-Luminaires — Count</t>
        </is>
      </c>
      <c r="E108" s="223" t="inlineStr">
        <is>
          <t>BOQ-ELC-Luminaires — Count</t>
        </is>
      </c>
      <c r="F108" s="229" t="inlineStr">
        <is>
          <t>ASS_CST_UNIT_PRICE_UGX_NR</t>
        </is>
      </c>
      <c r="G108" s="229" t="inlineStr">
        <is>
          <t>if(ASS_CST_UNIT_PRICE_UGX_NR&lt;&gt;0,ASS_CST_UNIT_PRICE_UGX_NR,"")</t>
        </is>
      </c>
      <c r="H108" s="224" t="inlineStr">
        <is>
          <t>if(and(BOQ-ELC-Luminaires — Count&lt;&gt;0,ASS_CST_UNIT_PRICE_UGX_NR&lt;&gt;0),BOQ-ELC-Luminaires — Count*ASS_CST_UNIT_PRICE_UGX_NR,"")</t>
        </is>
      </c>
      <c r="I108" s="223" t="inlineStr">
        <is>
          <t>Lighting Fixtures</t>
        </is>
      </c>
      <c r="J108" s="223" t="inlineStr">
        <is>
          <t>BOQ-ELC-Luminaires</t>
        </is>
      </c>
      <c r="K108" s="223" t="inlineStr">
        <is>
          <t>"if(LTG_FIX_TYPE_CLASSIFICATION_TXT&lt;&gt;"",LTG_FIX_TYPE_CLASSIFICATION_TXT+" ","") + if(LTG_FIX_LMP_WATTAGE_W&lt;&gt;"",LTG_FIX_LMP_WATTAGE_W+"W ","") + "LED luminaire, " + if(ASS_DESCRIPTION_TXT&lt;&gt;"",ASS_DESCRIPTION_TXT,"as spec,") + " as " + if(ASS_MANUFACTURER_TXT&lt;&gt;"",ASS_MANUFACTURER_TXT,"approved manufacturer") + " or equal approved."</t>
        </is>
      </c>
      <c r="L108" s="223" t="inlineStr">
        <is>
          <t>LTG_FIX_TYPE_CLASSIFICATION_TXT, LTG_FIX_LMP_WATTAGE_W, ASS_DESCRIPTION_TXT, ASS_MANUFACTURER_TXT</t>
        </is>
      </c>
      <c r="M108" s="223" t="inlineStr">
        <is>
          <t>BOQ-ELC-Luminaires</t>
        </is>
      </c>
      <c r="N108" s="223" t="inlineStr">
        <is>
          <t>LTG_EFFICACY_LM_W &lt; 80 → [!EFFICACY]</t>
        </is>
      </c>
      <c r="O108" s="223" t="inlineStr">
        <is>
          <t>CST_SUP_PREFERRED_SUPPLIER_TXT</t>
        </is>
      </c>
      <c r="P108" s="223" t="inlineStr">
        <is>
          <t>CST_SUP_PROCUREMENT_LEAD_TIME_DAYS</t>
        </is>
      </c>
      <c r="Q108" s="223" t="inlineStr">
        <is>
          <t>Group by type mark.</t>
        </is>
      </c>
      <c r="R108" s="223" t="inlineStr"/>
    </row>
    <row r="109">
      <c r="A109" s="223" t="inlineStr">
        <is>
          <t>4.2.2</t>
        </is>
      </c>
      <c r="B109" s="223" t="inlineStr">
        <is>
          <t>[RATING]A [GANGS] gang [WAYS] way light switch [MFR] or equal approved complete with all accessories</t>
        </is>
      </c>
      <c r="C109" s="223" t="inlineStr">
        <is>
          <t>No.</t>
        </is>
      </c>
      <c r="D109" s="223" t="inlineStr">
        <is>
          <t>BOQ-ELC-Switches — Count</t>
        </is>
      </c>
      <c r="E109" s="223" t="inlineStr">
        <is>
          <t>BOQ-ELC-Switches — Count</t>
        </is>
      </c>
      <c r="F109" s="229" t="inlineStr">
        <is>
          <t>ASS_CST_UNIT_PRICE_UGX_NR</t>
        </is>
      </c>
      <c r="G109" s="229" t="inlineStr">
        <is>
          <t>if(ASS_CST_UNIT_PRICE_UGX_NR&lt;&gt;0,ASS_CST_UNIT_PRICE_UGX_NR,"")</t>
        </is>
      </c>
      <c r="H109" s="224" t="inlineStr">
        <is>
          <t>if(and(BOQ-ELC-Switches — Count&lt;&gt;0,ASS_CST_UNIT_PRICE_UGX_NR&lt;&gt;0),BOQ-ELC-Switches — Count*ASS_CST_UNIT_PRICE_UGX_NR,"")</t>
        </is>
      </c>
      <c r="I109" s="223" t="inlineStr">
        <is>
          <t>Lighting Fixtures</t>
        </is>
      </c>
      <c r="J109" s="223" t="inlineStr">
        <is>
          <t>BOQ-ELC-Luminaires</t>
        </is>
      </c>
      <c r="K109" s="223" t="inlineStr">
        <is>
          <t>"if(ELC_CKT_BRK_RATING_A&lt;&gt;"",ELC_CKT_BRK_RATING_A+"A ","10A ") + if(ASS_DESCRIPTION_TXT&lt;&gt;"",ASS_DESCRIPTION_TXT,"1 gang 1 way ") + "light switch as " + if(ASS_MANUFACTURER_TXT&lt;&gt;"",ASS_MANUFACTURER_TXT,"MK or Schneider") + " or equal approved, complete with all accessories."</t>
        </is>
      </c>
      <c r="L109" s="223" t="inlineStr">
        <is>
          <t>ELC_CKT_BRK_RATING_A, ASS_DESCRIPTION_TXT, ASS_MANUFACTURER_TXT</t>
        </is>
      </c>
      <c r="M109" s="223" t="inlineStr">
        <is>
          <t>BOQ-ELC-Switches</t>
        </is>
      </c>
      <c r="N109" s="223" t="inlineStr"/>
      <c r="O109" s="223" t="inlineStr">
        <is>
          <t>CST_SUP_PREFERRED_SUPPLIER_TXT</t>
        </is>
      </c>
      <c r="P109" s="223" t="inlineStr">
        <is>
          <t>CST_SUP_PROCUREMENT_LEAD_TIME_DAYS</t>
        </is>
      </c>
      <c r="Q109" s="223" t="inlineStr"/>
      <c r="R109" s="223" t="inlineStr"/>
    </row>
    <row r="110">
      <c r="A110" s="223" t="inlineStr">
        <is>
          <t>4.2.3</t>
        </is>
      </c>
      <c r="B110" s="223" t="inlineStr">
        <is>
          <t>[RATING]A [POLES]pin [CONFIG] switched socket outlets on wall/trunking as [MFR] or equal approved</t>
        </is>
      </c>
      <c r="C110" s="223" t="inlineStr">
        <is>
          <t>No.</t>
        </is>
      </c>
      <c r="D110" s="223" t="inlineStr">
        <is>
          <t>BOQ-ELC-Sockets — Count</t>
        </is>
      </c>
      <c r="E110" s="223" t="inlineStr">
        <is>
          <t>BOQ-ELC-Sockets — Count</t>
        </is>
      </c>
      <c r="F110" s="229" t="inlineStr">
        <is>
          <t>ASS_CST_UNIT_PRICE_UGX_NR</t>
        </is>
      </c>
      <c r="G110" s="229" t="inlineStr">
        <is>
          <t>if(ASS_CST_UNIT_PRICE_UGX_NR&lt;&gt;0,ASS_CST_UNIT_PRICE_UGX_NR,"")</t>
        </is>
      </c>
      <c r="H110" s="224" t="inlineStr">
        <is>
          <t>if(and(BOQ-ELC-Sockets — Count&lt;&gt;0,ASS_CST_UNIT_PRICE_UGX_NR&lt;&gt;0),BOQ-ELC-Sockets — Count*ASS_CST_UNIT_PRICE_UGX_NR,"")</t>
        </is>
      </c>
      <c r="I110" s="223" t="inlineStr">
        <is>
          <t>Lighting Fixtures</t>
        </is>
      </c>
      <c r="J110" s="223" t="inlineStr">
        <is>
          <t>BOQ-ELC-Luminaires</t>
        </is>
      </c>
      <c r="K110" s="223" t="inlineStr">
        <is>
          <t>"if(ELC_CKT_BRK_RATING_A&lt;&gt;"",ELC_CKT_BRK_RATING_A+"A ","13A ") + if(ASS_DESCRIPTION_TXT&lt;&gt;"",ASS_DESCRIPTION_TXT,"3-pin double ") + "switched socket outlet, " + if(ASS_MANUFACTURER_TXT&lt;&gt;"",ASS_MANUFACTURER_TXT,"MK or equal") + " or equal approved."</t>
        </is>
      </c>
      <c r="L110" s="223" t="inlineStr">
        <is>
          <t>ELC_CKT_BRK_RATING_A, ASS_DESCRIPTION_TXT, ASS_MANUFACTURER_TXT</t>
        </is>
      </c>
      <c r="M110" s="223" t="inlineStr">
        <is>
          <t>BOQ-ELC-Sockets</t>
        </is>
      </c>
      <c r="N110" s="223" t="inlineStr"/>
      <c r="O110" s="223" t="inlineStr">
        <is>
          <t>CST_SUP_PREFERRED_SUPPLIER_TXT</t>
        </is>
      </c>
      <c r="P110" s="223" t="inlineStr">
        <is>
          <t>CST_SUP_PROCUREMENT_LEAD_TIME_DAYS</t>
        </is>
      </c>
      <c r="Q110" s="223" t="inlineStr"/>
      <c r="R110" s="223" t="inlineStr"/>
    </row>
    <row r="111">
      <c r="A111" s="223" t="inlineStr">
        <is>
          <t>4.3  DISTRIBUTION BOARDS &amp; SWITCHGEAR</t>
        </is>
      </c>
      <c r="B111" s="223" t="inlineStr"/>
      <c r="C111" s="223" t="inlineStr"/>
      <c r="D111" s="223" t="inlineStr"/>
      <c r="E111" s="223" t="n"/>
      <c r="F111" s="223" t="inlineStr"/>
      <c r="G111" s="223" t="n"/>
      <c r="H111" s="223" t="n"/>
      <c r="I111" s="223" t="inlineStr"/>
      <c r="J111" s="223" t="inlineStr"/>
      <c r="K111" s="223" t="inlineStr"/>
      <c r="L111" s="223" t="inlineStr"/>
      <c r="M111" s="223" t="inlineStr"/>
      <c r="N111" s="223" t="inlineStr"/>
      <c r="O111" s="223" t="inlineStr">
        <is>
          <t>CST_SUP_PREFERRED_SUPPLIER_TXT</t>
        </is>
      </c>
      <c r="P111" s="223" t="inlineStr">
        <is>
          <t>CST_SUP_PROCUREMENT_LEAD_TIME_DAYS</t>
        </is>
      </c>
      <c r="Q111" s="223" t="inlineStr"/>
      <c r="R111" s="223" t="inlineStr"/>
    </row>
    <row r="112">
      <c r="A112" s="223" t="inlineStr">
        <is>
          <t>4.3.1</t>
        </is>
      </c>
      <c r="B112" s="223" t="inlineStr">
        <is>
          <t>[DESIGNATION] distribution board, [VLT]V [PHS]-phase, [WAYS] ways, [MAIN]A main breaker, [SC]kA fault rating, IP[IP] enclosure, complete with all MCBs, RCDs, bus bars and accessories as single line diagram</t>
        </is>
      </c>
      <c r="C112" s="223" t="inlineStr">
        <is>
          <t>No.</t>
        </is>
      </c>
      <c r="D112" s="223" t="inlineStr">
        <is>
          <t>BOQ-ELC-DBPanels — Count</t>
        </is>
      </c>
      <c r="E112" s="223" t="inlineStr">
        <is>
          <t>BOQ-ELC-DBPanels — Count</t>
        </is>
      </c>
      <c r="F112" s="229" t="inlineStr">
        <is>
          <t>ASS_CST_UNIT_PRICE_UGX_NR</t>
        </is>
      </c>
      <c r="G112" s="229" t="inlineStr">
        <is>
          <t>if(ASS_CST_UNIT_PRICE_UGX_NR&lt;&gt;0,ASS_CST_UNIT_PRICE_UGX_NR,"")</t>
        </is>
      </c>
      <c r="H112" s="224" t="inlineStr">
        <is>
          <t>if(and(BOQ-ELC-DBPanels — Count&lt;&gt;0,ASS_CST_UNIT_PRICE_UGX_NR&lt;&gt;0),BOQ-ELC-DBPanels — Count*ASS_CST_UNIT_PRICE_UGX_NR,"")</t>
        </is>
      </c>
      <c r="I112" s="223" t="inlineStr">
        <is>
          <t>Electrical Equipment</t>
        </is>
      </c>
      <c r="J112" s="223" t="inlineStr">
        <is>
          <t>BOQ-ELC-DBPanels</t>
        </is>
      </c>
      <c r="K112" s="223" t="inlineStr">
        <is>
          <t>"if(ELC_PNL_DESIGNATION_NAME_TXT&lt;&gt;"",ELC_PNL_DESIGNATION_NAME_TXT,"DB") + " distribution board, " + if(ELC_PNL_VLT_V&lt;&gt;"",ELC_PNL_VLT_V+"V ","230V ") + if(ELC_PNL_PHS_COUNT_NR&lt;&gt;"",ELC_PNL_PHS_COUNT_NR+"-phase, ","1-phase, ") + if(ELC_PNL_NUM_OF_WAYS_NR&lt;&gt;"",ELC_PNL_NUM_OF_WAYS_NR+" ways, ","? ways, ") + if(ELC_PNL_MAIN_BRK_A&lt;&gt;"",ELC_PNL_MAIN_BRK_A+"A main, ","?A main, ") + if(ELC_PNL_SHORT_CIRCUIT_KA&lt;&gt;"",ELC_PNL_SHORT_CIRCUIT_KA+"kA fault, ","?kA, ") + "complete with all MCBs, RCDs and accessories."</t>
        </is>
      </c>
      <c r="L112" s="223" t="inlineStr">
        <is>
          <t>ELC_PNL_DESIGNATION_NAME_TXT, ELC_PNL_VLT_V, ELC_PNL_PHS_COUNT_NR, ELC_PNL_NUM_OF_WAYS_NR, ELC_PNL_MAIN_BRK_A, ELC_PNL_SHORT_CIRCUIT_KA</t>
        </is>
      </c>
      <c r="M112" s="223" t="inlineStr">
        <is>
          <t>BOQ-ELC-DBPanels</t>
        </is>
      </c>
      <c r="N112" s="223" t="inlineStr">
        <is>
          <t>ELC_PNL_CONNECTED_LOAD_KW &gt; ELC_PNL_RATED_KW*0.8 → [!OVERLOADED]
ELC_PNL_SHORT_CIRCUIT_KA &lt; 6 → [!SC &lt; 6kA]</t>
        </is>
      </c>
      <c r="O112" s="223" t="inlineStr">
        <is>
          <t>CST_SUP_PREFERRED_SUPPLIER_TXT</t>
        </is>
      </c>
      <c r="P112" s="223" t="inlineStr">
        <is>
          <t>CST_SUP_PROCUREMENT_LEAD_TIME_DAYS</t>
        </is>
      </c>
      <c r="Q112" s="223" t="inlineStr">
        <is>
          <t>1 schedule row per panel. UMEME approval required.</t>
        </is>
      </c>
      <c r="R112" s="223" t="inlineStr"/>
    </row>
    <row r="113">
      <c r="A113" s="223" t="inlineStr">
        <is>
          <t>4.3.2</t>
        </is>
      </c>
      <c r="B113" s="223" t="inlineStr">
        <is>
          <t>Main [VLT]V [PHASES]-phase incoming supply cable [SIZE]mm² [TYPE] from UMEME metering point to main distribution board complete with all accessories</t>
        </is>
      </c>
      <c r="C113" s="223" t="inlineStr">
        <is>
          <t>LM</t>
        </is>
      </c>
      <c r="D113" s="223" t="inlineStr">
        <is>
          <t>Manual / cable schedule</t>
        </is>
      </c>
      <c r="E113" s="223" t="n"/>
      <c r="F113" s="229" t="inlineStr">
        <is>
          <t>ASS_CST_UNIT_PRICE_UGX_NR</t>
        </is>
      </c>
      <c r="G113" s="229" t="inlineStr">
        <is>
          <t>if(ASS_CST_UNIT_PRICE_UGX_NR&lt;&gt;0,ASS_CST_UNIT_PRICE_UGX_NR,"")</t>
        </is>
      </c>
      <c r="H113" s="224" t="inlineStr">
        <is>
          <t>if(and(Manual / cable schedule&lt;&gt;0,ASS_CST_UNIT_PRICE_UGX_NR&lt;&gt;0),Manual / cable schedule*ASS_CST_UNIT_PRICE_UGX_NR,"")</t>
        </is>
      </c>
      <c r="I113" s="223" t="inlineStr">
        <is>
          <t>Electrical Equipment</t>
        </is>
      </c>
      <c r="J113" s="223" t="inlineStr">
        <is>
          <t>BOQ-ELC-DBPanels</t>
        </is>
      </c>
      <c r="K113" s="223" t="inlineStr">
        <is>
          <t>"if(ELC_CBL_SZ_MM2&lt;&gt;"",ELC_CBL_SZ_MM2+"mm² ","?mm² ") + if(ELC_CKT_CBL_TYPE_TXT&lt;&gt;"",ELC_CKT_CBL_TYPE_TXT,"SWA XLPE") + " main incoming cable from UMEME metering to MDB."</t>
        </is>
      </c>
      <c r="L113" s="223" t="inlineStr">
        <is>
          <t>ELC_CBL_SZ_MM2, ELC_CKT_CBL_TYPE_TXT</t>
        </is>
      </c>
      <c r="M113" s="223" t="inlineStr">
        <is>
          <t>BOQ-ELC-IncomingCable</t>
        </is>
      </c>
      <c r="N113" s="223" t="inlineStr"/>
      <c r="O113" s="223" t="inlineStr">
        <is>
          <t>CST_SUP_PREFERRED_SUPPLIER_TXT</t>
        </is>
      </c>
      <c r="P113" s="223" t="inlineStr">
        <is>
          <t>CST_SUP_PROCUREMENT_LEAD_TIME_DAYS</t>
        </is>
      </c>
      <c r="Q113" s="223" t="inlineStr"/>
      <c r="R113" s="223" t="inlineStr"/>
    </row>
    <row r="114">
      <c r="A114" s="223" t="inlineStr">
        <is>
          <t>4.4  FIRE ALARM &amp; SECURITY SYSTEMS</t>
        </is>
      </c>
      <c r="B114" s="223" t="inlineStr"/>
      <c r="C114" s="223" t="inlineStr"/>
      <c r="D114" s="223" t="inlineStr"/>
      <c r="E114" s="223" t="n"/>
      <c r="F114" s="223" t="inlineStr"/>
      <c r="G114" s="223" t="n"/>
      <c r="H114" s="223" t="n"/>
      <c r="I114" s="223" t="inlineStr"/>
      <c r="J114" s="223" t="inlineStr"/>
      <c r="K114" s="223" t="inlineStr"/>
      <c r="L114" s="223" t="inlineStr"/>
      <c r="M114" s="223" t="inlineStr"/>
      <c r="N114" s="223" t="inlineStr"/>
      <c r="O114" s="223" t="inlineStr">
        <is>
          <t>CST_SUP_PREFERRED_SUPPLIER_TXT</t>
        </is>
      </c>
      <c r="P114" s="223" t="inlineStr">
        <is>
          <t>CST_SUP_PROCUREMENT_LEAD_TIME_DAYS</t>
        </is>
      </c>
      <c r="Q114" s="223" t="inlineStr"/>
      <c r="R114" s="223" t="inlineStr"/>
    </row>
    <row r="115">
      <c r="A115" s="223" t="inlineStr">
        <is>
          <t>4.4.1</t>
        </is>
      </c>
      <c r="B115" s="223" t="inlineStr">
        <is>
          <t>Fire alarm [TYPE] points (detectors/MCPs/sounders) in [CDT_SZ]mm heavy gauge PVC [METHOD] conduit complete with all accessories and connected to fire alarm panel</t>
        </is>
      </c>
      <c r="C115" s="223" t="inlineStr">
        <is>
          <t>No.</t>
        </is>
      </c>
      <c r="D115" s="223" t="inlineStr">
        <is>
          <t>BOQ-ELC-FireAlarm — Count</t>
        </is>
      </c>
      <c r="E115" s="223" t="inlineStr">
        <is>
          <t>BOQ-ELC-FireAlarm — Count</t>
        </is>
      </c>
      <c r="F115" s="229" t="inlineStr">
        <is>
          <t>ASS_CST_UNIT_PRICE_UGX_NR</t>
        </is>
      </c>
      <c r="G115" s="229" t="inlineStr">
        <is>
          <t>if(ASS_CST_UNIT_PRICE_UGX_NR&lt;&gt;0,ASS_CST_UNIT_PRICE_UGX_NR,"")</t>
        </is>
      </c>
      <c r="H115" s="224" t="inlineStr">
        <is>
          <t>if(and(BOQ-ELC-FireAlarm — Count&lt;&gt;0,ASS_CST_UNIT_PRICE_UGX_NR&lt;&gt;0),BOQ-ELC-FireAlarm — Count*ASS_CST_UNIT_PRICE_UGX_NR,"")</t>
        </is>
      </c>
      <c r="I115" s="223" t="inlineStr">
        <is>
          <t>Fire Alarm Devices/Security Devices</t>
        </is>
      </c>
      <c r="J115" s="223" t="inlineStr">
        <is>
          <t>BOQ-ELC-FireAlarm</t>
        </is>
      </c>
      <c r="K115" s="223" t="inlineStr">
        <is>
          <t>"Fire alarm " + if(FLS_SFTY_DEV_TYPE_TXT&lt;&gt;"",FLS_SFTY_DEV_TYPE_TXT,"detector") + " in " + if(ELC_CDT_SZ_MM&lt;&gt;"",ELC_CDT_SZ_MM+"mm","20mm") + " PVC " + if(ELC_CDT_INSTALL_METHOD_TXT&lt;&gt;"",ELC_CDT_INSTALL_METHOD_TXT,"concealed") + " conduit complete with all accessories."</t>
        </is>
      </c>
      <c r="L115" s="223" t="inlineStr">
        <is>
          <t>FLS_SFTY_DEV_TYPE_TXT, ELC_CDT_SZ_MM, ELC_CDT_INSTALL_METHOD_TXT</t>
        </is>
      </c>
      <c r="M115" s="223" t="inlineStr">
        <is>
          <t>BOQ-ELC-FireAlarm</t>
        </is>
      </c>
      <c r="N115" s="223" t="inlineStr"/>
      <c r="O115" s="223" t="inlineStr">
        <is>
          <t>CST_SUP_PREFERRED_SUPPLIER_TXT</t>
        </is>
      </c>
      <c r="P115" s="223" t="inlineStr">
        <is>
          <t>CST_SUP_PROCUREMENT_LEAD_TIME_DAYS</t>
        </is>
      </c>
      <c r="Q115" s="223" t="inlineStr">
        <is>
          <t>Detectors, MCPs, sounders, beacons separately.</t>
        </is>
      </c>
      <c r="R115" s="223" t="inlineStr"/>
    </row>
    <row r="116">
      <c r="A116" s="223" t="inlineStr">
        <is>
          <t>4.4.2</t>
        </is>
      </c>
      <c r="B116" s="223" t="inlineStr">
        <is>
          <t>Addressable fire alarm control panel [ZONES] zones, [NR_LOOP] loops, complete with batteries, charger, printout, and all accessories</t>
        </is>
      </c>
      <c r="C116" s="223" t="inlineStr">
        <is>
          <t>No.</t>
        </is>
      </c>
      <c r="D116" s="223" t="inlineStr">
        <is>
          <t>BOQ-ELC-FireAlarmPanel — Count</t>
        </is>
      </c>
      <c r="E116" s="223" t="inlineStr">
        <is>
          <t>BOQ-ELC-FireAlarmPanel — Count</t>
        </is>
      </c>
      <c r="F116" s="229" t="inlineStr">
        <is>
          <t>ASS_CST_UNIT_PRICE_UGX_NR</t>
        </is>
      </c>
      <c r="G116" s="229" t="inlineStr">
        <is>
          <t>if(ASS_CST_UNIT_PRICE_UGX_NR&lt;&gt;0,ASS_CST_UNIT_PRICE_UGX_NR,"")</t>
        </is>
      </c>
      <c r="H116" s="224" t="inlineStr">
        <is>
          <t>if(and(BOQ-ELC-FireAlarmPanel — Count&lt;&gt;0,ASS_CST_UNIT_PRICE_UGX_NR&lt;&gt;0),BOQ-ELC-FireAlarmPanel — Count*ASS_CST_UNIT_PRICE_UGX_NR,"")</t>
        </is>
      </c>
      <c r="I116" s="223" t="inlineStr">
        <is>
          <t>Fire Alarm Devices/Security Devices</t>
        </is>
      </c>
      <c r="J116" s="223" t="inlineStr">
        <is>
          <t>BOQ-ELC-FireAlarm</t>
        </is>
      </c>
      <c r="K116" s="223" t="inlineStr">
        <is>
          <t>"Addressable FACP " + if(FLS_SFTY_DEV_TYPE_TXT&lt;&gt;"",FLS_SFTY_DEV_TYPE_TXT,"") + " complete with batteries and accessories."</t>
        </is>
      </c>
      <c r="L116" s="223" t="inlineStr">
        <is>
          <t>FLS_SFTY_DEV_TYPE_TXT</t>
        </is>
      </c>
      <c r="M116" s="223" t="inlineStr">
        <is>
          <t>BOQ-ELC-FireAlarm</t>
        </is>
      </c>
      <c r="N116" s="223" t="inlineStr"/>
      <c r="O116" s="223" t="inlineStr">
        <is>
          <t>CST_SUP_PREFERRED_SUPPLIER_TXT</t>
        </is>
      </c>
      <c r="P116" s="223" t="inlineStr">
        <is>
          <t>CST_SUP_PROCUREMENT_LEAD_TIME_DAYS</t>
        </is>
      </c>
      <c r="Q116" s="223" t="inlineStr">
        <is>
          <t>1 per building or fire zone.</t>
        </is>
      </c>
      <c r="R116" s="223" t="inlineStr"/>
    </row>
    <row r="117">
      <c r="A117" s="223" t="inlineStr">
        <is>
          <t>4.4.3</t>
        </is>
      </c>
      <c r="B117" s="223" t="inlineStr">
        <is>
          <t>CCTV [TYPE] camera points in [CDT_SZ]mm heavy gauge PVC concealed conduit/trunking, [MFR], complete with mounting bracket and all accessories</t>
        </is>
      </c>
      <c r="C117" s="223" t="inlineStr">
        <is>
          <t>No.</t>
        </is>
      </c>
      <c r="D117" s="223" t="inlineStr">
        <is>
          <t>BOQ-ELC-Security — Count (CCTV)</t>
        </is>
      </c>
      <c r="E117" s="223" t="inlineStr">
        <is>
          <t>BOQ-ELC-Security — Count (CCTV)</t>
        </is>
      </c>
      <c r="F117" s="229" t="inlineStr">
        <is>
          <t>ASS_CST_UNIT_PRICE_UGX_NR</t>
        </is>
      </c>
      <c r="G117" s="229" t="inlineStr">
        <is>
          <t>if(ASS_CST_UNIT_PRICE_UGX_NR&lt;&gt;0,ASS_CST_UNIT_PRICE_UGX_NR,"")</t>
        </is>
      </c>
      <c r="H117" s="224" t="inlineStr">
        <is>
          <t>if(and(BOQ-ELC-Security — Count (CCTV)&lt;&gt;0,ASS_CST_UNIT_PRICE_UGX_NR&lt;&gt;0),BOQ-ELC-Security — Count (CCTV)*ASS_CST_UNIT_PRICE_UGX_NR,"")</t>
        </is>
      </c>
      <c r="I117" s="223" t="inlineStr">
        <is>
          <t>Fire Alarm Devices/Security Devices</t>
        </is>
      </c>
      <c r="J117" s="223" t="inlineStr">
        <is>
          <t>BOQ-ELC-FireAlarm</t>
        </is>
      </c>
      <c r="K117" s="223" t="inlineStr">
        <is>
          <t>"CCTV " + if(SEC_DEV_TYPE_TXT&lt;&gt;"",SEC_DEV_TYPE_TXT,"dome camera") + " in " + if(ELC_CDT_SZ_MM&lt;&gt;"",ELC_CDT_SZ_MM+"mm","25mm") + " PVC concealed conduit, " + if(ASS_MANUFACTURER_TXT&lt;&gt;"",ASS_MANUFACTURER_TXT,"Hikvision or equal") + " complete with bracket and accessories."</t>
        </is>
      </c>
      <c r="L117" s="223" t="inlineStr">
        <is>
          <t>SEC_DEV_TYPE_TXT, ELC_CDT_SZ_MM, ASS_MANUFACTURER_TXT</t>
        </is>
      </c>
      <c r="M117" s="223" t="inlineStr">
        <is>
          <t>BOQ-ELC-Security</t>
        </is>
      </c>
      <c r="N117" s="223" t="inlineStr"/>
      <c r="O117" s="223" t="inlineStr">
        <is>
          <t>CST_SUP_PREFERRED_SUPPLIER_TXT</t>
        </is>
      </c>
      <c r="P117" s="223" t="inlineStr">
        <is>
          <t>CST_SUP_PROCUREMENT_LEAD_TIME_DAYS</t>
        </is>
      </c>
      <c r="Q117" s="223" t="inlineStr">
        <is>
          <t>Group by camera type.</t>
        </is>
      </c>
      <c r="R117" s="223" t="inlineStr"/>
    </row>
    <row r="118">
      <c r="A118" s="223" t="inlineStr">
        <is>
          <t>4.4.4</t>
        </is>
      </c>
      <c r="B118" s="223" t="inlineStr">
        <is>
          <t>Digital video recorder (DVR/NVR) [CHANNELS]-channel complete with hard drive, monitor, UPS, and all accessories</t>
        </is>
      </c>
      <c r="C118" s="223" t="inlineStr">
        <is>
          <t>No.</t>
        </is>
      </c>
      <c r="D118" s="223" t="inlineStr">
        <is>
          <t>BOQ-ELC-Security — Count (DVR)</t>
        </is>
      </c>
      <c r="E118" s="223" t="inlineStr">
        <is>
          <t>BOQ-ELC-Security — Count (DVR)</t>
        </is>
      </c>
      <c r="F118" s="229" t="inlineStr">
        <is>
          <t>ASS_CST_UNIT_PRICE_UGX_NR</t>
        </is>
      </c>
      <c r="G118" s="229" t="inlineStr">
        <is>
          <t>if(ASS_CST_UNIT_PRICE_UGX_NR&lt;&gt;0,ASS_CST_UNIT_PRICE_UGX_NR,"")</t>
        </is>
      </c>
      <c r="H118" s="224" t="inlineStr">
        <is>
          <t>if(and(BOQ-ELC-Security — Count (DVR)&lt;&gt;0,ASS_CST_UNIT_PRICE_UGX_NR&lt;&gt;0),BOQ-ELC-Security — Count (DVR)*ASS_CST_UNIT_PRICE_UGX_NR,"")</t>
        </is>
      </c>
      <c r="I118" s="223" t="inlineStr">
        <is>
          <t>Fire Alarm Devices/Security Devices</t>
        </is>
      </c>
      <c r="J118" s="223" t="inlineStr">
        <is>
          <t>BOQ-ELC-FireAlarm</t>
        </is>
      </c>
      <c r="K118" s="223" t="inlineStr">
        <is>
          <t>"if(ASS_DESCRIPTION_TXT&lt;&gt;"",ASS_DESCRIPTION_TXT,"DVR/NVR ") + "complete with HDD, monitor, UPS and accessories."</t>
        </is>
      </c>
      <c r="L118" s="223" t="inlineStr">
        <is>
          <t>ASS_DESCRIPTION_TXT</t>
        </is>
      </c>
      <c r="M118" s="223" t="inlineStr">
        <is>
          <t>BOQ-ELC-Security</t>
        </is>
      </c>
      <c r="N118" s="223" t="inlineStr"/>
      <c r="O118" s="223" t="inlineStr">
        <is>
          <t>CST_SUP_PREFERRED_SUPPLIER_TXT</t>
        </is>
      </c>
      <c r="P118" s="223" t="inlineStr">
        <is>
          <t>CST_SUP_PROCUREMENT_LEAD_TIME_DAYS</t>
        </is>
      </c>
      <c r="Q118" s="223" t="inlineStr"/>
      <c r="R118" s="223" t="inlineStr"/>
    </row>
    <row r="119">
      <c r="A119" s="223" t="inlineStr"/>
      <c r="B119" s="223" t="inlineStr"/>
      <c r="C119" s="223" t="inlineStr"/>
      <c r="D119" s="223" t="inlineStr"/>
      <c r="E119" s="223" t="n"/>
      <c r="F119" s="223" t="inlineStr"/>
      <c r="G119" s="223" t="n"/>
      <c r="H119" s="223" t="n"/>
      <c r="I119" s="223" t="inlineStr"/>
      <c r="J119" s="223" t="inlineStr"/>
      <c r="K119" s="223" t="inlineStr"/>
      <c r="L119" s="223" t="inlineStr"/>
      <c r="M119" s="223" t="inlineStr"/>
      <c r="N119" s="223" t="inlineStr"/>
      <c r="O119" s="223" t="inlineStr">
        <is>
          <t>CST_SUP_PREFERRED_SUPPLIER_TXT</t>
        </is>
      </c>
      <c r="P119" s="223" t="inlineStr">
        <is>
          <t>CST_SUP_PROCUREMENT_LEAD_TIME_DAYS</t>
        </is>
      </c>
      <c r="Q119" s="223" t="inlineStr"/>
      <c r="R119" s="223" t="inlineStr"/>
    </row>
    <row r="120">
      <c r="A120" s="265" t="inlineStr">
        <is>
          <t>BILL No.5  —  MECHANICAL INSTALLATIONS (PLUMBING &amp; DRAINAGE)</t>
        </is>
      </c>
      <c r="B120" s="269" t="n"/>
      <c r="C120" s="269" t="n"/>
      <c r="D120" s="269" t="n"/>
      <c r="E120" s="269" t="n"/>
      <c r="F120" s="269" t="n"/>
      <c r="G120" s="269" t="n"/>
      <c r="H120" s="269" t="n"/>
      <c r="I120" s="269" t="n"/>
      <c r="J120" s="269" t="n"/>
      <c r="K120" s="269" t="n"/>
      <c r="L120" s="269" t="n"/>
      <c r="M120" s="269" t="n"/>
      <c r="N120" s="269" t="n"/>
      <c r="O120" s="269" t="n"/>
      <c r="P120" s="269" t="n"/>
      <c r="Q120" s="269" t="n"/>
      <c r="R120" s="270" t="n"/>
    </row>
    <row r="121">
      <c r="A121" s="223" t="inlineStr">
        <is>
          <t>Preamble: Provide all materials, install, connect, and set to work the following all as described in the Specifications and Drawings. Pipework to BS EN 806. Sanitary fittings vitreous china to BS3402. NWSC connection approval required. All drainage falls as drawings, not less than 1:40 for branches, 1:80 for mains.</t>
        </is>
      </c>
      <c r="B121" s="223" t="inlineStr"/>
      <c r="C121" s="223" t="inlineStr"/>
      <c r="D121" s="223" t="inlineStr"/>
      <c r="E121" s="223" t="n"/>
      <c r="F121" s="223" t="inlineStr"/>
      <c r="G121" s="223" t="n"/>
      <c r="H121" s="223" t="n"/>
      <c r="I121" s="223" t="inlineStr"/>
      <c r="J121" s="223" t="inlineStr"/>
      <c r="K121" s="223" t="inlineStr"/>
      <c r="L121" s="223" t="inlineStr"/>
      <c r="M121" s="223" t="inlineStr"/>
      <c r="N121" s="223" t="inlineStr"/>
      <c r="O121" s="223" t="inlineStr">
        <is>
          <t>CST_SUP_PREFERRED_SUPPLIER_TXT</t>
        </is>
      </c>
      <c r="P121" s="223" t="inlineStr">
        <is>
          <t>CST_SUP_PROCUREMENT_LEAD_TIME_DAYS</t>
        </is>
      </c>
      <c r="Q121" s="223" t="inlineStr"/>
      <c r="R121" s="223" t="inlineStr"/>
    </row>
    <row r="122">
      <c r="A122" s="223" t="inlineStr">
        <is>
          <t>5.1  SANITARY FITTINGS</t>
        </is>
      </c>
      <c r="B122" s="223" t="inlineStr"/>
      <c r="C122" s="223" t="inlineStr"/>
      <c r="D122" s="223" t="inlineStr"/>
      <c r="E122" s="223" t="n"/>
      <c r="F122" s="223" t="inlineStr"/>
      <c r="G122" s="223" t="n"/>
      <c r="H122" s="223" t="n"/>
      <c r="I122" s="223" t="inlineStr"/>
      <c r="J122" s="223" t="inlineStr"/>
      <c r="K122" s="223" t="inlineStr"/>
      <c r="L122" s="223" t="inlineStr"/>
      <c r="M122" s="223" t="inlineStr"/>
      <c r="N122" s="223" t="inlineStr"/>
      <c r="O122" s="223" t="inlineStr">
        <is>
          <t>CST_SUP_PREFERRED_SUPPLIER_TXT</t>
        </is>
      </c>
      <c r="P122" s="223" t="inlineStr">
        <is>
          <t>CST_SUP_PROCUREMENT_LEAD_TIME_DAYS</t>
        </is>
      </c>
      <c r="Q122" s="223" t="inlineStr"/>
      <c r="R122" s="223" t="inlineStr"/>
    </row>
    <row r="123">
      <c r="A123" s="223" t="inlineStr">
        <is>
          <t>5.1.1</t>
        </is>
      </c>
      <c r="B123" s="223" t="inlineStr">
        <is>
          <t>[MFR] WC pan [TYPE], [COLOUR] colour, vitreous china to BS3402, with [OUTLET] outlet, complete with close coupled cistern, soft close seat and cover, flush pipe, and all accessories</t>
        </is>
      </c>
      <c r="C123" s="223" t="inlineStr">
        <is>
          <t>No.</t>
        </is>
      </c>
      <c r="D123" s="223" t="inlineStr">
        <is>
          <t>BOQ-PLM-SanitaryWC — Count</t>
        </is>
      </c>
      <c r="E123" s="223" t="inlineStr">
        <is>
          <t>BOQ-PLM-SanitaryWC — Count</t>
        </is>
      </c>
      <c r="F123" s="229" t="inlineStr">
        <is>
          <t>ASS_CST_UNIT_PRICE_UGX_NR</t>
        </is>
      </c>
      <c r="G123" s="229" t="inlineStr">
        <is>
          <t>if(ASS_CST_UNIT_PRICE_UGX_NR&lt;&gt;0,ASS_CST_UNIT_PRICE_UGX_NR,"")</t>
        </is>
      </c>
      <c r="H123" s="224" t="inlineStr">
        <is>
          <t>if(and(BOQ-PLM-SanitaryWC — Count&lt;&gt;0,ASS_CST_UNIT_PRICE_UGX_NR&lt;&gt;0),BOQ-PLM-SanitaryWC — Count*ASS_CST_UNIT_PRICE_UGX_NR,"")</t>
        </is>
      </c>
      <c r="I123" s="223" t="inlineStr">
        <is>
          <t>Plumbing Fixtures</t>
        </is>
      </c>
      <c r="J123" s="223" t="inlineStr">
        <is>
          <t>BOQ-PLM-SanitaryWC</t>
        </is>
      </c>
      <c r="K123" s="223" t="inlineStr">
        <is>
          <t>"if(ASS_MANUFACTURER_TXT&lt;&gt;"",ASS_MANUFACTURER_TXT,"Armitage Shanks or equal") + " WC pan " + if(ASS_MODEL_NR_TXT&lt;&gt;"",ASS_MODEL_NR_TXT,"") + ", " + if(ASS_DESCRIPTION_TXT&lt;&gt;"",ASS_DESCRIPTION_TXT,"white vitreous china") + ", with close coupled cistern, soft close seat and cover, complete with all accessories."</t>
        </is>
      </c>
      <c r="L123" s="223" t="inlineStr">
        <is>
          <t>ASS_MANUFACTURER_TXT, ASS_MODEL_NR_TXT, ASS_DESCRIPTION_TXT</t>
        </is>
      </c>
      <c r="M123" s="223" t="inlineStr">
        <is>
          <t>BOQ-PLM-SanitaryWC</t>
        </is>
      </c>
      <c r="N123" s="223" t="inlineStr"/>
      <c r="O123" s="223" t="inlineStr">
        <is>
          <t>CST_SUP_PREFERRED_SUPPLIER_TXT</t>
        </is>
      </c>
      <c r="P123" s="223" t="inlineStr">
        <is>
          <t>CST_SUP_PROCUREMENT_LEAD_TIME_DAYS</t>
        </is>
      </c>
      <c r="Q123" s="223" t="inlineStr">
        <is>
          <t>Group by type mark. Uganda: standard white colour.</t>
        </is>
      </c>
      <c r="R123" s="223" t="inlineStr"/>
    </row>
    <row r="124">
      <c r="A124" s="223" t="inlineStr">
        <is>
          <t>5.1.2</t>
        </is>
      </c>
      <c r="B124" s="223" t="inlineStr">
        <is>
          <t>[DIM] vitreous china wash hand basin pedestal/countertop, [TAPS] tap holes, [FINISH] finish, waste and trap, complete with mixer tap and all accessories as [MFR] or equal approved</t>
        </is>
      </c>
      <c r="C124" s="223" t="inlineStr">
        <is>
          <t>No.</t>
        </is>
      </c>
      <c r="D124" s="223" t="inlineStr">
        <is>
          <t>BOQ-PLM-SanitaryWHB — Count</t>
        </is>
      </c>
      <c r="E124" s="223" t="inlineStr">
        <is>
          <t>BOQ-PLM-SanitaryWHB — Count</t>
        </is>
      </c>
      <c r="F124" s="229" t="inlineStr">
        <is>
          <t>ASS_CST_UNIT_PRICE_UGX_NR</t>
        </is>
      </c>
      <c r="G124" s="229" t="inlineStr">
        <is>
          <t>if(ASS_CST_UNIT_PRICE_UGX_NR&lt;&gt;0,ASS_CST_UNIT_PRICE_UGX_NR,"")</t>
        </is>
      </c>
      <c r="H124" s="224" t="inlineStr">
        <is>
          <t>if(and(BOQ-PLM-SanitaryWHB — Count&lt;&gt;0,ASS_CST_UNIT_PRICE_UGX_NR&lt;&gt;0),BOQ-PLM-SanitaryWHB — Count*ASS_CST_UNIT_PRICE_UGX_NR,"")</t>
        </is>
      </c>
      <c r="I124" s="223" t="inlineStr">
        <is>
          <t>Plumbing Fixtures</t>
        </is>
      </c>
      <c r="J124" s="223" t="inlineStr">
        <is>
          <t>BOQ-PLM-SanitaryWC</t>
        </is>
      </c>
      <c r="K124" s="223" t="inlineStr">
        <is>
          <t>"if(ASS_DESCRIPTION_TXT&lt;&gt;"",ASS_DESCRIPTION_TXT,"600mm WHB") + " wash hand basin, " + if(ASS_MANUFACTURER_TXT&lt;&gt;"",ASS_MANUFACTURER_TXT,"Armitage Shanks or equal") + " complete with mixer tap, waste, trap and all accessories."</t>
        </is>
      </c>
      <c r="L124" s="223" t="inlineStr">
        <is>
          <t>ASS_DESCRIPTION_TXT, ASS_MANUFACTURER_TXT</t>
        </is>
      </c>
      <c r="M124" s="223" t="inlineStr">
        <is>
          <t>BOQ-PLM-SanitaryWHB</t>
        </is>
      </c>
      <c r="N124" s="223" t="inlineStr"/>
      <c r="O124" s="223" t="inlineStr">
        <is>
          <t>CST_SUP_PREFERRED_SUPPLIER_TXT</t>
        </is>
      </c>
      <c r="P124" s="223" t="inlineStr">
        <is>
          <t>CST_SUP_PROCUREMENT_LEAD_TIME_DAYS</t>
        </is>
      </c>
      <c r="Q124" s="223" t="inlineStr"/>
      <c r="R124" s="223" t="inlineStr"/>
    </row>
    <row r="125">
      <c r="A125" s="223" t="inlineStr">
        <is>
          <t>5.1.3</t>
        </is>
      </c>
      <c r="B125" s="223" t="inlineStr">
        <is>
          <t>[DIM]mm vitreous china urinal [TYPE] complete with automatic flushing cistern, waste and all accessories as [MFR] or equal approved</t>
        </is>
      </c>
      <c r="C125" s="223" t="inlineStr">
        <is>
          <t>No.</t>
        </is>
      </c>
      <c r="D125" s="223" t="inlineStr">
        <is>
          <t>BOQ-PLM-SanitaryUrinal — Count</t>
        </is>
      </c>
      <c r="E125" s="223" t="inlineStr">
        <is>
          <t>BOQ-PLM-SanitaryUrinal — Count</t>
        </is>
      </c>
      <c r="F125" s="229" t="inlineStr">
        <is>
          <t>ASS_CST_UNIT_PRICE_UGX_NR</t>
        </is>
      </c>
      <c r="G125" s="229" t="inlineStr">
        <is>
          <t>if(ASS_CST_UNIT_PRICE_UGX_NR&lt;&gt;0,ASS_CST_UNIT_PRICE_UGX_NR,"")</t>
        </is>
      </c>
      <c r="H125" s="224" t="inlineStr">
        <is>
          <t>if(and(BOQ-PLM-SanitaryUrinal — Count&lt;&gt;0,ASS_CST_UNIT_PRICE_UGX_NR&lt;&gt;0),BOQ-PLM-SanitaryUrinal — Count*ASS_CST_UNIT_PRICE_UGX_NR,"")</t>
        </is>
      </c>
      <c r="I125" s="223" t="inlineStr">
        <is>
          <t>Plumbing Fixtures</t>
        </is>
      </c>
      <c r="J125" s="223" t="inlineStr">
        <is>
          <t>BOQ-PLM-SanitaryWC</t>
        </is>
      </c>
      <c r="K125" s="223" t="inlineStr">
        <is>
          <t>"if(ASS_DESCRIPTION_TXT&lt;&gt;"",ASS_DESCRIPTION_TXT,"Urinal") + " " + if(ASS_MANUFACTURER_TXT&lt;&gt;"",ASS_MANUFACTURER_TXT,"or equal approved") + " complete with auto flushing cistern, waste and accessories."</t>
        </is>
      </c>
      <c r="L125" s="223" t="inlineStr">
        <is>
          <t>ASS_DESCRIPTION_TXT, ASS_MANUFACTURER_TXT</t>
        </is>
      </c>
      <c r="M125" s="223" t="inlineStr">
        <is>
          <t>BOQ-PLM-Urinals</t>
        </is>
      </c>
      <c r="N125" s="223" t="inlineStr"/>
      <c r="O125" s="223" t="inlineStr">
        <is>
          <t>CST_SUP_PREFERRED_SUPPLIER_TXT</t>
        </is>
      </c>
      <c r="P125" s="223" t="inlineStr">
        <is>
          <t>CST_SUP_PROCUREMENT_LEAD_TIME_DAYS</t>
        </is>
      </c>
      <c r="Q125" s="223" t="inlineStr"/>
      <c r="R125" s="223" t="inlineStr"/>
    </row>
    <row r="126">
      <c r="A126" s="223" t="inlineStr">
        <is>
          <t>5.1.4</t>
        </is>
      </c>
      <c r="B126" s="223" t="inlineStr">
        <is>
          <t>[LITRE]L stainless steel kitchen sink [BOWLS] bowl complete with drainer, mixer tap, P-trap and all accessories as [MFR] or equal approved</t>
        </is>
      </c>
      <c r="C126" s="223" t="inlineStr">
        <is>
          <t>No.</t>
        </is>
      </c>
      <c r="D126" s="223" t="inlineStr">
        <is>
          <t>BOQ-PLM-Sinks — Count</t>
        </is>
      </c>
      <c r="E126" s="223" t="inlineStr">
        <is>
          <t>BOQ-PLM-Sinks — Count</t>
        </is>
      </c>
      <c r="F126" s="229" t="inlineStr">
        <is>
          <t>ASS_CST_UNIT_PRICE_UGX_NR</t>
        </is>
      </c>
      <c r="G126" s="229" t="inlineStr">
        <is>
          <t>if(ASS_CST_UNIT_PRICE_UGX_NR&lt;&gt;0,ASS_CST_UNIT_PRICE_UGX_NR,"")</t>
        </is>
      </c>
      <c r="H126" s="224" t="inlineStr">
        <is>
          <t>if(and(BOQ-PLM-Sinks — Count&lt;&gt;0,ASS_CST_UNIT_PRICE_UGX_NR&lt;&gt;0),BOQ-PLM-Sinks — Count*ASS_CST_UNIT_PRICE_UGX_NR,"")</t>
        </is>
      </c>
      <c r="I126" s="223" t="inlineStr">
        <is>
          <t>Plumbing Fixtures</t>
        </is>
      </c>
      <c r="J126" s="223" t="inlineStr">
        <is>
          <t>BOQ-PLM-SanitaryWC</t>
        </is>
      </c>
      <c r="K126" s="223" t="inlineStr">
        <is>
          <t>"if(ASS_DESCRIPTION_TXT&lt;&gt;"",ASS_DESCRIPTION_TXT,"Kitchen sink") + " " + if(ASS_MANUFACTURER_TXT&lt;&gt;"",ASS_MANUFACTURER_TXT,"or equal approved") + " complete with drainer, mixer tap, P-trap and accessories."</t>
        </is>
      </c>
      <c r="L126" s="223" t="inlineStr">
        <is>
          <t>ASS_DESCRIPTION_TXT, ASS_MANUFACTURER_TXT</t>
        </is>
      </c>
      <c r="M126" s="223" t="inlineStr">
        <is>
          <t>BOQ-PLM-Sinks</t>
        </is>
      </c>
      <c r="N126" s="223" t="inlineStr"/>
      <c r="O126" s="223" t="inlineStr">
        <is>
          <t>CST_SUP_PREFERRED_SUPPLIER_TXT</t>
        </is>
      </c>
      <c r="P126" s="223" t="inlineStr">
        <is>
          <t>CST_SUP_PROCUREMENT_LEAD_TIME_DAYS</t>
        </is>
      </c>
      <c r="Q126" s="223" t="inlineStr"/>
      <c r="R126" s="223" t="inlineStr"/>
    </row>
    <row r="127">
      <c r="A127" s="223" t="inlineStr">
        <is>
          <t>5.1.5</t>
        </is>
      </c>
      <c r="B127" s="223" t="inlineStr">
        <is>
          <t>[LITRE]L capacity [FUEL] storage water heater complete with thermostat, pressure relief valve, and all accessories as [MFR] or equal approved</t>
        </is>
      </c>
      <c r="C127" s="223" t="inlineStr">
        <is>
          <t>No.</t>
        </is>
      </c>
      <c r="D127" s="223" t="inlineStr">
        <is>
          <t>BOQ-PLM-WaterHeater — Count</t>
        </is>
      </c>
      <c r="E127" s="223" t="inlineStr">
        <is>
          <t>BOQ-PLM-WaterHeater — Count</t>
        </is>
      </c>
      <c r="F127" s="229" t="inlineStr">
        <is>
          <t>ASS_CST_UNIT_PRICE_UGX_NR</t>
        </is>
      </c>
      <c r="G127" s="229" t="inlineStr">
        <is>
          <t>if(ASS_CST_UNIT_PRICE_UGX_NR&lt;&gt;0,ASS_CST_UNIT_PRICE_UGX_NR,"")</t>
        </is>
      </c>
      <c r="H127" s="224" t="inlineStr">
        <is>
          <t>if(and(BOQ-PLM-WaterHeater — Count&lt;&gt;0,ASS_CST_UNIT_PRICE_UGX_NR&lt;&gt;0),BOQ-PLM-WaterHeater — Count*ASS_CST_UNIT_PRICE_UGX_NR,"")</t>
        </is>
      </c>
      <c r="I127" s="223" t="inlineStr">
        <is>
          <t>Plumbing Fixtures</t>
        </is>
      </c>
      <c r="J127" s="223" t="inlineStr">
        <is>
          <t>BOQ-PLM-SanitaryWC</t>
        </is>
      </c>
      <c r="K127" s="223" t="inlineStr">
        <is>
          <t>"if(PLM_HOTWTR_CAPACITY_L&lt;&gt;"",PLM_HOTWTR_CAPACITY_L+"L ","") + if(PLM_HOTWTR_FUEL_TYPE_TXT&lt;&gt;"",PLM_HOTWTR_FUEL_TYPE_TXT+" ","electric ") + "water heater complete with PRV, thermostat and accessories as " + if(ASS_MANUFACTURER_TXT&lt;&gt;"",ASS_MANUFACTURER_TXT,"approved manufacturer") + " or equal."</t>
        </is>
      </c>
      <c r="L127" s="223" t="inlineStr">
        <is>
          <t>PLM_HOTWTR_CAPACITY_L, PLM_HOTWTR_FUEL_TYPE_TXT, ASS_MANUFACTURER_TXT</t>
        </is>
      </c>
      <c r="M127" s="223" t="inlineStr">
        <is>
          <t>BOQ-PLM-WaterHeater</t>
        </is>
      </c>
      <c r="N127" s="223" t="inlineStr"/>
      <c r="O127" s="223" t="inlineStr">
        <is>
          <t>CST_SUP_PREFERRED_SUPPLIER_TXT</t>
        </is>
      </c>
      <c r="P127" s="223" t="inlineStr">
        <is>
          <t>CST_SUP_PROCUREMENT_LEAD_TIME_DAYS</t>
        </is>
      </c>
      <c r="Q127" s="223" t="inlineStr"/>
      <c r="R127" s="223" t="inlineStr"/>
    </row>
    <row r="128">
      <c r="A128" s="223" t="inlineStr">
        <is>
          <t>5.2  PIPEWORK — COLD &amp; HOT WATER</t>
        </is>
      </c>
      <c r="B128" s="223" t="inlineStr"/>
      <c r="C128" s="223" t="inlineStr"/>
      <c r="D128" s="223" t="inlineStr"/>
      <c r="E128" s="223" t="n"/>
      <c r="F128" s="223" t="inlineStr"/>
      <c r="G128" s="223" t="n"/>
      <c r="H128" s="223" t="n"/>
      <c r="I128" s="223" t="inlineStr"/>
      <c r="J128" s="223" t="inlineStr"/>
      <c r="K128" s="223" t="inlineStr"/>
      <c r="L128" s="223" t="inlineStr"/>
      <c r="M128" s="223" t="inlineStr"/>
      <c r="N128" s="223" t="inlineStr"/>
      <c r="O128" s="223" t="inlineStr">
        <is>
          <t>CST_SUP_PREFERRED_SUPPLIER_TXT</t>
        </is>
      </c>
      <c r="P128" s="223" t="inlineStr">
        <is>
          <t>CST_SUP_PROCUREMENT_LEAD_TIME_DAYS</t>
        </is>
      </c>
      <c r="Q128" s="223" t="inlineStr"/>
      <c r="R128" s="223" t="inlineStr"/>
    </row>
    <row r="129">
      <c r="A129" s="223" t="inlineStr">
        <is>
          <t>5.2.1</t>
        </is>
      </c>
      <c r="B129" s="223" t="inlineStr">
        <is>
          <t>[SZ]mm dia. [MAT] [PN_RATING] cold water pipework including all fittings, brackets, and supports complete with pressure test</t>
        </is>
      </c>
      <c r="C129" s="223" t="inlineStr">
        <is>
          <t>LM</t>
        </is>
      </c>
      <c r="D129" s="223" t="inlineStr">
        <is>
          <t>BOQ-PLM-Pipework — Length (CW filter)</t>
        </is>
      </c>
      <c r="E129" s="223" t="inlineStr">
        <is>
          <t>BOQ-PLM-Pipework — Length (CW filter)</t>
        </is>
      </c>
      <c r="F129" s="229" t="inlineStr">
        <is>
          <t>ASS_CST_UNIT_PRICE_UGX_NR</t>
        </is>
      </c>
      <c r="G129" s="229" t="inlineStr">
        <is>
          <t>if(ASS_CST_UNIT_PRICE_UGX_NR&lt;&gt;0,ASS_CST_UNIT_PRICE_UGX_NR,"")</t>
        </is>
      </c>
      <c r="H129" s="224" t="inlineStr">
        <is>
          <t>if(and(BOQ-PLM-Pipework — Length (CW filter)&lt;&gt;0,ASS_CST_UNIT_PRICE_UGX_NR&lt;&gt;0),BOQ-PLM-Pipework — Length (CW filter)*ASS_CST_UNIT_PRICE_UGX_NR,"")</t>
        </is>
      </c>
      <c r="I129" s="223" t="inlineStr">
        <is>
          <t>Pipes/Pipe Accessories</t>
        </is>
      </c>
      <c r="J129" s="223" t="inlineStr">
        <is>
          <t>BOQ-PLM-Pipework</t>
        </is>
      </c>
      <c r="K129" s="223" t="inlineStr">
        <is>
          <t>"if(PLM_PPE_SZ_MM&lt;&gt;"",PLM_PPE_SZ_MM+"mm ","") + if(PLM_PPE_MAT_TXT&lt;&gt;"",PLM_PPE_MAT_TXT+" ","PPR ") + "cold water pipe " + if(PLM_PPE_PSR_RATING_BAR&lt;&gt;"",PLM_PPE_PSR_RATING_BAR+" bar rated ","") + "complete with fittings."</t>
        </is>
      </c>
      <c r="L129" s="223" t="inlineStr">
        <is>
          <t>PLM_PPE_SZ_MM, PLM_PPE_MAT_TXT, PLM_PPE_PSR_RATING_BAR</t>
        </is>
      </c>
      <c r="M129" s="223" t="inlineStr">
        <is>
          <t>BOQ-PLM-Pipework</t>
        </is>
      </c>
      <c r="N129" s="223" t="inlineStr">
        <is>
          <t>PLM_VEL_MPS &gt; 2.0 → [!VEL &gt; 2.0]
PLM_PSR_KPA &lt; 150 or &gt; 600 → [!PSR]</t>
        </is>
      </c>
      <c r="O129" s="223" t="inlineStr">
        <is>
          <t>CST_SUP_PREFERRED_SUPPLIER_TXT</t>
        </is>
      </c>
      <c r="P129" s="223" t="inlineStr">
        <is>
          <t>CST_SUP_PROCUREMENT_LEAD_TIME_DAYS</t>
        </is>
      </c>
      <c r="Q129" s="223" t="inlineStr">
        <is>
          <t>Group by size + material. NWSC supply 150–400 kPa.</t>
        </is>
      </c>
      <c r="R129" s="223" t="inlineStr"/>
    </row>
    <row r="130">
      <c r="A130" s="223" t="inlineStr">
        <is>
          <t>5.2.2</t>
        </is>
      </c>
      <c r="B130" s="223" t="inlineStr">
        <is>
          <t>[SZ]mm dia. [MAT] [PN_RATING] hot water pipework including all fittings, insulation, brackets, and supports complete with pressure test</t>
        </is>
      </c>
      <c r="C130" s="223" t="inlineStr">
        <is>
          <t>LM</t>
        </is>
      </c>
      <c r="D130" s="223" t="inlineStr">
        <is>
          <t>BOQ-PLM-Pipework — Length (HW filter)</t>
        </is>
      </c>
      <c r="E130" s="223" t="inlineStr">
        <is>
          <t>BOQ-PLM-Pipework — Length (HW filter)</t>
        </is>
      </c>
      <c r="F130" s="229" t="inlineStr">
        <is>
          <t>ASS_CST_UNIT_PRICE_UGX_NR</t>
        </is>
      </c>
      <c r="G130" s="229" t="inlineStr">
        <is>
          <t>if(ASS_CST_UNIT_PRICE_UGX_NR&lt;&gt;0,ASS_CST_UNIT_PRICE_UGX_NR,"")</t>
        </is>
      </c>
      <c r="H130" s="224" t="inlineStr">
        <is>
          <t>if(and(BOQ-PLM-Pipework — Length (HW filter)&lt;&gt;0,ASS_CST_UNIT_PRICE_UGX_NR&lt;&gt;0),BOQ-PLM-Pipework — Length (HW filter)*ASS_CST_UNIT_PRICE_UGX_NR,"")</t>
        </is>
      </c>
      <c r="I130" s="223" t="inlineStr">
        <is>
          <t>Pipes/Pipe Accessories</t>
        </is>
      </c>
      <c r="J130" s="223" t="inlineStr">
        <is>
          <t>BOQ-PLM-Pipework</t>
        </is>
      </c>
      <c r="K130" s="223" t="inlineStr">
        <is>
          <t>"if(PLM_PPE_SZ_MM&lt;&gt;"",PLM_PPE_SZ_MM+"mm ","") + if(PLM_PPE_MAT_TXT&lt;&gt;"",PLM_PPE_MAT_TXT+" ","PPR ") + "hot water pipe " + if(PLM_PPE_PSR_RATING_BAR&lt;&gt;"",PLM_PPE_PSR_RATING_BAR+" bar rated ","") + "insulated, complete with fittings."</t>
        </is>
      </c>
      <c r="L130" s="223" t="inlineStr">
        <is>
          <t>PLM_PPE_SZ_MM, PLM_PPE_MAT_TXT, PLM_PPE_PSR_RATING_BAR</t>
        </is>
      </c>
      <c r="M130" s="223" t="inlineStr">
        <is>
          <t>BOQ-PLM-Pipework</t>
        </is>
      </c>
      <c r="N130" s="223" t="inlineStr">
        <is>
          <t>PLM_PPE_FLW_LPS &gt; 2.0 → [!FLOW &gt; 2.0 L/s]</t>
        </is>
      </c>
      <c r="O130" s="223" t="inlineStr">
        <is>
          <t>CST_SUP_PREFERRED_SUPPLIER_TXT</t>
        </is>
      </c>
      <c r="P130" s="223" t="inlineStr">
        <is>
          <t>CST_SUP_PROCUREMENT_LEAD_TIME_DAYS</t>
        </is>
      </c>
      <c r="Q130" s="223" t="inlineStr">
        <is>
          <t>Uganda: PPR pipe PN20 for HW is standard.</t>
        </is>
      </c>
      <c r="R130" s="223" t="inlineStr"/>
    </row>
    <row r="131">
      <c r="A131" s="223" t="inlineStr">
        <is>
          <t>5.2.3</t>
        </is>
      </c>
      <c r="B131" s="223" t="inlineStr">
        <is>
          <t>[SZ]mm gate / globe / ball valves [MAT] including all accessories</t>
        </is>
      </c>
      <c r="C131" s="223" t="inlineStr">
        <is>
          <t>No.</t>
        </is>
      </c>
      <c r="D131" s="223" t="inlineStr">
        <is>
          <t>BOQ-PLM-Valves — Count</t>
        </is>
      </c>
      <c r="E131" s="223" t="inlineStr">
        <is>
          <t>BOQ-PLM-Valves — Count</t>
        </is>
      </c>
      <c r="F131" s="229" t="inlineStr">
        <is>
          <t>ASS_CST_UNIT_PRICE_UGX_NR</t>
        </is>
      </c>
      <c r="G131" s="229" t="inlineStr">
        <is>
          <t>if(ASS_CST_UNIT_PRICE_UGX_NR&lt;&gt;0,ASS_CST_UNIT_PRICE_UGX_NR,"")</t>
        </is>
      </c>
      <c r="H131" s="224" t="inlineStr">
        <is>
          <t>if(and(BOQ-PLM-Valves — Count&lt;&gt;0,ASS_CST_UNIT_PRICE_UGX_NR&lt;&gt;0),BOQ-PLM-Valves — Count*ASS_CST_UNIT_PRICE_UGX_NR,"")</t>
        </is>
      </c>
      <c r="I131" s="223" t="inlineStr">
        <is>
          <t>Pipes/Pipe Accessories</t>
        </is>
      </c>
      <c r="J131" s="223" t="inlineStr">
        <is>
          <t>BOQ-PLM-Pipework</t>
        </is>
      </c>
      <c r="K131" s="223" t="inlineStr">
        <is>
          <t>"if(PLM_VLV_SZ_NR&lt;&gt;"",PLM_VLV_SZ_NR+"mm ","") + if(PLM_VLV_TYPE_TXT&lt;&gt;"",PLM_VLV_TYPE_TXT,"globe valve") + "."</t>
        </is>
      </c>
      <c r="L131" s="223" t="inlineStr">
        <is>
          <t>PLM_VLV_SZ_NR, PLM_VLV_TYPE_TXT</t>
        </is>
      </c>
      <c r="M131" s="223" t="inlineStr">
        <is>
          <t>BOQ-PLM-Valves</t>
        </is>
      </c>
      <c r="N131" s="223" t="inlineStr"/>
      <c r="O131" s="223" t="inlineStr">
        <is>
          <t>CST_SUP_PREFERRED_SUPPLIER_TXT</t>
        </is>
      </c>
      <c r="P131" s="223" t="inlineStr">
        <is>
          <t>CST_SUP_PROCUREMENT_LEAD_TIME_DAYS</t>
        </is>
      </c>
      <c r="Q131" s="223" t="inlineStr">
        <is>
          <t>Group by size and type.</t>
        </is>
      </c>
      <c r="R131" s="223" t="inlineStr"/>
    </row>
    <row r="132">
      <c r="A132" s="223" t="inlineStr">
        <is>
          <t>5.2.4</t>
        </is>
      </c>
      <c r="B132" s="223" t="inlineStr">
        <is>
          <t>[SZ]mm dia. [MAT] drainage pipework including all fittings, brackets, supports, and testing</t>
        </is>
      </c>
      <c r="C132" s="223" t="inlineStr">
        <is>
          <t>LM</t>
        </is>
      </c>
      <c r="D132" s="223" t="inlineStr">
        <is>
          <t>BOQ-PLM-Drainage — Length</t>
        </is>
      </c>
      <c r="E132" s="223" t="inlineStr">
        <is>
          <t>BOQ-PLM-Drainage — Length</t>
        </is>
      </c>
      <c r="F132" s="229" t="inlineStr">
        <is>
          <t>ASS_CST_UNIT_PRICE_UGX_NR</t>
        </is>
      </c>
      <c r="G132" s="229" t="inlineStr">
        <is>
          <t>if(ASS_CST_UNIT_PRICE_UGX_NR&lt;&gt;0,ASS_CST_UNIT_PRICE_UGX_NR,"")</t>
        </is>
      </c>
      <c r="H132" s="224" t="inlineStr">
        <is>
          <t>if(and(BOQ-PLM-Drainage — Length&lt;&gt;0,ASS_CST_UNIT_PRICE_UGX_NR&lt;&gt;0),BOQ-PLM-Drainage — Length*ASS_CST_UNIT_PRICE_UGX_NR,"")</t>
        </is>
      </c>
      <c r="I132" s="223" t="inlineStr">
        <is>
          <t>Pipes/Pipe Accessories</t>
        </is>
      </c>
      <c r="J132" s="223" t="inlineStr">
        <is>
          <t>BOQ-PLM-Pipework</t>
        </is>
      </c>
      <c r="K132" s="223" t="inlineStr">
        <is>
          <t>"if(PLM_PPE_SZ_MM&lt;&gt;"",PLM_PPE_SZ_MM+"mm ","") + if(PLM_DRN_BODY_MAT_TXT&lt;&gt;"",PLM_DRN_BODY_MAT_TXT+" ","uPVC ") + "drainage pipe complete with fittings."</t>
        </is>
      </c>
      <c r="L132" s="223" t="inlineStr">
        <is>
          <t>PLM_PPE_SZ_MM, PLM_DRN_BODY_MAT_TXT</t>
        </is>
      </c>
      <c r="M132" s="223" t="inlineStr">
        <is>
          <t>BOQ-PLM-Drainage</t>
        </is>
      </c>
      <c r="N132" s="223" t="inlineStr"/>
      <c r="O132" s="223" t="inlineStr">
        <is>
          <t>CST_SUP_PREFERRED_SUPPLIER_TXT</t>
        </is>
      </c>
      <c r="P132" s="223" t="inlineStr">
        <is>
          <t>CST_SUP_PROCUREMENT_LEAD_TIME_DAYS</t>
        </is>
      </c>
      <c r="Q132" s="223" t="inlineStr">
        <is>
          <t>Min fall 1:40 branches, 1:80 mains.</t>
        </is>
      </c>
      <c r="R132" s="223" t="inlineStr"/>
    </row>
    <row r="133">
      <c r="A133" s="223" t="inlineStr">
        <is>
          <t>5.2.5</t>
        </is>
      </c>
      <c r="B133" s="223" t="inlineStr">
        <is>
          <t>[SZ]mm dia. [MATERIAL] rainwater head / gully / inspection chamber / manhole [DEPTH] deep including frame, cover, benching and render</t>
        </is>
      </c>
      <c r="C133" s="223" t="inlineStr">
        <is>
          <t>No.</t>
        </is>
      </c>
      <c r="D133" s="223" t="inlineStr">
        <is>
          <t>BOQ-PLM-Drainage fittings — Count</t>
        </is>
      </c>
      <c r="E133" s="223" t="inlineStr">
        <is>
          <t>BOQ-PLM-Drainage fittings — Count</t>
        </is>
      </c>
      <c r="F133" s="229" t="inlineStr">
        <is>
          <t>ASS_CST_UNIT_PRICE_UGX_NR</t>
        </is>
      </c>
      <c r="G133" s="229" t="inlineStr">
        <is>
          <t>if(ASS_CST_UNIT_PRICE_UGX_NR&lt;&gt;0,ASS_CST_UNIT_PRICE_UGX_NR,"")</t>
        </is>
      </c>
      <c r="H133" s="224" t="inlineStr">
        <is>
          <t>if(and(BOQ-PLM-Drainage fittings — Count&lt;&gt;0,ASS_CST_UNIT_PRICE_UGX_NR&lt;&gt;0),BOQ-PLM-Drainage fittings — Count*ASS_CST_UNIT_PRICE_UGX_NR,"")</t>
        </is>
      </c>
      <c r="I133" s="223" t="inlineStr">
        <is>
          <t>Pipes/Pipe Accessories</t>
        </is>
      </c>
      <c r="J133" s="223" t="inlineStr">
        <is>
          <t>BOQ-PLM-Pipework</t>
        </is>
      </c>
      <c r="K133" s="223" t="inlineStr">
        <is>
          <t>"if(PLM_PPE_SZ_MM&lt;&gt;"",PLM_PPE_SZ_MM+"mm ","") + if(ASS_DESCRIPTION_TXT&lt;&gt;"",ASS_DESCRIPTION_TXT,"drainage fitting") + "."</t>
        </is>
      </c>
      <c r="L133" s="223" t="inlineStr">
        <is>
          <t>PLM_PPE_SZ_MM, ASS_DESCRIPTION_TXT</t>
        </is>
      </c>
      <c r="M133" s="223" t="inlineStr">
        <is>
          <t>BOQ-PLM-Drainage</t>
        </is>
      </c>
      <c r="N133" s="223" t="inlineStr"/>
      <c r="O133" s="223" t="inlineStr">
        <is>
          <t>CST_SUP_PREFERRED_SUPPLIER_TXT</t>
        </is>
      </c>
      <c r="P133" s="223" t="inlineStr">
        <is>
          <t>CST_SUP_PROCUREMENT_LEAD_TIME_DAYS</t>
        </is>
      </c>
      <c r="Q133" s="223" t="inlineStr"/>
      <c r="R133" s="223" t="inlineStr"/>
    </row>
    <row r="134">
      <c r="A134" s="223" t="inlineStr"/>
      <c r="B134" s="223" t="inlineStr"/>
      <c r="C134" s="223" t="inlineStr"/>
      <c r="D134" s="223" t="inlineStr"/>
      <c r="E134" s="223" t="n"/>
      <c r="F134" s="223" t="inlineStr"/>
      <c r="G134" s="223" t="n"/>
      <c r="H134" s="223" t="n"/>
      <c r="I134" s="223" t="inlineStr"/>
      <c r="J134" s="223" t="inlineStr"/>
      <c r="K134" s="223" t="inlineStr"/>
      <c r="L134" s="223" t="inlineStr"/>
      <c r="M134" s="223" t="inlineStr"/>
      <c r="N134" s="223" t="inlineStr"/>
      <c r="O134" s="223" t="inlineStr">
        <is>
          <t>CST_SUP_PREFERRED_SUPPLIER_TXT</t>
        </is>
      </c>
      <c r="P134" s="223" t="inlineStr">
        <is>
          <t>CST_SUP_PROCUREMENT_LEAD_TIME_DAYS</t>
        </is>
      </c>
      <c r="Q134" s="223" t="inlineStr"/>
      <c r="R134" s="223" t="inlineStr"/>
    </row>
    <row r="135">
      <c r="A135" s="265" t="inlineStr">
        <is>
          <t>BILL No.6  —  FIRE FIGHTING INSTALLATIONS</t>
        </is>
      </c>
      <c r="B135" s="269" t="n"/>
      <c r="C135" s="269" t="n"/>
      <c r="D135" s="269" t="n"/>
      <c r="E135" s="269" t="n"/>
      <c r="F135" s="269" t="n"/>
      <c r="G135" s="269" t="n"/>
      <c r="H135" s="269" t="n"/>
      <c r="I135" s="269" t="n"/>
      <c r="J135" s="269" t="n"/>
      <c r="K135" s="269" t="n"/>
      <c r="L135" s="269" t="n"/>
      <c r="M135" s="269" t="n"/>
      <c r="N135" s="269" t="n"/>
      <c r="O135" s="269" t="n"/>
      <c r="P135" s="269" t="n"/>
      <c r="Q135" s="269" t="n"/>
      <c r="R135" s="270" t="n"/>
    </row>
    <row r="136">
      <c r="A136" s="223" t="inlineStr">
        <is>
          <t>Preamble: Provide all materials, install, connect and set to work the following all as described in the Specifications and Drawings. All works to BS EN 12845 (sprinklers), BS 5306 (hose reels/extinguishers), Uganda NBC fire code. Uganda Fire &amp; Rescue Services Authority approval required before commissioning.</t>
        </is>
      </c>
      <c r="B136" s="223" t="inlineStr"/>
      <c r="C136" s="223" t="inlineStr"/>
      <c r="D136" s="223" t="inlineStr"/>
      <c r="E136" s="223" t="n"/>
      <c r="F136" s="223" t="inlineStr"/>
      <c r="G136" s="223" t="n"/>
      <c r="H136" s="223" t="n"/>
      <c r="I136" s="223" t="inlineStr"/>
      <c r="J136" s="223" t="inlineStr"/>
      <c r="K136" s="223" t="inlineStr"/>
      <c r="L136" s="223" t="inlineStr"/>
      <c r="M136" s="223" t="inlineStr"/>
      <c r="N136" s="223" t="inlineStr"/>
      <c r="O136" s="223" t="inlineStr">
        <is>
          <t>CST_SUP_PREFERRED_SUPPLIER_TXT</t>
        </is>
      </c>
      <c r="P136" s="223" t="inlineStr">
        <is>
          <t>CST_SUP_PROCUREMENT_LEAD_TIME_DAYS</t>
        </is>
      </c>
      <c r="Q136" s="223" t="inlineStr"/>
      <c r="R136" s="223" t="inlineStr"/>
    </row>
    <row r="137">
      <c r="A137" s="223" t="inlineStr">
        <is>
          <t>6.1  PORTABLE FIRE EXTINGUISHERS</t>
        </is>
      </c>
      <c r="B137" s="223" t="inlineStr"/>
      <c r="C137" s="223" t="inlineStr"/>
      <c r="D137" s="223" t="inlineStr"/>
      <c r="E137" s="223" t="n"/>
      <c r="F137" s="223" t="inlineStr"/>
      <c r="G137" s="223" t="n"/>
      <c r="H137" s="223" t="n"/>
      <c r="I137" s="223" t="inlineStr"/>
      <c r="J137" s="223" t="inlineStr"/>
      <c r="K137" s="223" t="inlineStr"/>
      <c r="L137" s="223" t="inlineStr"/>
      <c r="M137" s="223" t="inlineStr"/>
      <c r="N137" s="223" t="inlineStr"/>
      <c r="O137" s="223" t="inlineStr">
        <is>
          <t>CST_SUP_PREFERRED_SUPPLIER_TXT</t>
        </is>
      </c>
      <c r="P137" s="223" t="inlineStr">
        <is>
          <t>CST_SUP_PROCUREMENT_LEAD_TIME_DAYS</t>
        </is>
      </c>
      <c r="Q137" s="223" t="inlineStr"/>
      <c r="R137" s="223" t="inlineStr"/>
    </row>
    <row r="138">
      <c r="A138" s="223" t="inlineStr">
        <is>
          <t>6.1.1</t>
        </is>
      </c>
      <c r="B138" s="223" t="inlineStr">
        <is>
          <t>[CAPACITY]kg [TYPE] fire extinguisher complete with wall bracket, signage, and commissioning as [MFR] or equal approved</t>
        </is>
      </c>
      <c r="C138" s="223" t="inlineStr">
        <is>
          <t>No.</t>
        </is>
      </c>
      <c r="D138" s="223" t="inlineStr">
        <is>
          <t>BOQ-FLS-Extinguishers — Count</t>
        </is>
      </c>
      <c r="E138" s="223" t="inlineStr">
        <is>
          <t>BOQ-FLS-Extinguishers — Count</t>
        </is>
      </c>
      <c r="F138" s="229" t="inlineStr">
        <is>
          <t>ASS_CST_UNIT_PRICE_UGX_NR</t>
        </is>
      </c>
      <c r="G138" s="229" t="inlineStr">
        <is>
          <t>if(ASS_CST_UNIT_PRICE_UGX_NR&lt;&gt;0,ASS_CST_UNIT_PRICE_UGX_NR,"")</t>
        </is>
      </c>
      <c r="H138" s="224" t="inlineStr">
        <is>
          <t>if(and(BOQ-FLS-Extinguishers — Count&lt;&gt;0,ASS_CST_UNIT_PRICE_UGX_NR&lt;&gt;0),BOQ-FLS-Extinguishers — Count*ASS_CST_UNIT_PRICE_UGX_NR,"")</t>
        </is>
      </c>
      <c r="I138" s="223" t="inlineStr">
        <is>
          <t>Sprinklers/Fire Protection</t>
        </is>
      </c>
      <c r="J138" s="223" t="inlineStr">
        <is>
          <t>BOQ-FLS-Extinguishers</t>
        </is>
      </c>
      <c r="K138" s="223" t="inlineStr">
        <is>
          <t>"if(FLS_SFTY_DEV_TYPE_TXT&lt;&gt;"",FLS_SFTY_DEV_TYPE_TXT,"6kg ABC dry powder") + " fire extinguisher complete with bracket and signage."</t>
        </is>
      </c>
      <c r="L138" s="223" t="inlineStr">
        <is>
          <t>FLS_SFTY_DEV_TYPE_TXT, ASS_MANUFACTURER_TXT</t>
        </is>
      </c>
      <c r="M138" s="223" t="inlineStr">
        <is>
          <t>BOQ-FLS-Extinguishers</t>
        </is>
      </c>
      <c r="N138" s="223" t="inlineStr"/>
      <c r="O138" s="223" t="inlineStr">
        <is>
          <t>CST_SUP_PREFERRED_SUPPLIER_TXT</t>
        </is>
      </c>
      <c r="P138" s="223" t="inlineStr">
        <is>
          <t>CST_SUP_PROCUREMENT_LEAD_TIME_DAYS</t>
        </is>
      </c>
      <c r="Q138" s="223" t="inlineStr">
        <is>
          <t>Uganda: minimum 1 per 200m². ABC type standard.</t>
        </is>
      </c>
      <c r="R138" s="223" t="inlineStr"/>
    </row>
    <row r="139">
      <c r="A139" s="223" t="inlineStr">
        <is>
          <t>6.1.2</t>
        </is>
      </c>
      <c r="B139" s="223" t="inlineStr">
        <is>
          <t>[LITRE]L CO2 fire extinguisher for electrical panels complete with wall bracket, signage, and commissioning</t>
        </is>
      </c>
      <c r="C139" s="223" t="inlineStr">
        <is>
          <t>No.</t>
        </is>
      </c>
      <c r="D139" s="223" t="inlineStr">
        <is>
          <t>BOQ-FLS-Extinguishers — Count (CO2)</t>
        </is>
      </c>
      <c r="E139" s="223" t="inlineStr">
        <is>
          <t>BOQ-FLS-Extinguishers — Count (CO2)</t>
        </is>
      </c>
      <c r="F139" s="229" t="inlineStr">
        <is>
          <t>ASS_CST_UNIT_PRICE_UGX_NR</t>
        </is>
      </c>
      <c r="G139" s="229" t="inlineStr">
        <is>
          <t>if(ASS_CST_UNIT_PRICE_UGX_NR&lt;&gt;0,ASS_CST_UNIT_PRICE_UGX_NR,"")</t>
        </is>
      </c>
      <c r="H139" s="224" t="inlineStr">
        <is>
          <t>if(and(BOQ-FLS-Extinguishers — Count (CO2)&lt;&gt;0,ASS_CST_UNIT_PRICE_UGX_NR&lt;&gt;0),BOQ-FLS-Extinguishers — Count (CO2)*ASS_CST_UNIT_PRICE_UGX_NR,"")</t>
        </is>
      </c>
      <c r="I139" s="223" t="inlineStr">
        <is>
          <t>Sprinklers/Fire Protection</t>
        </is>
      </c>
      <c r="J139" s="223" t="inlineStr">
        <is>
          <t>BOQ-FLS-Extinguishers</t>
        </is>
      </c>
      <c r="K139" s="223" t="inlineStr">
        <is>
          <t>"if(FLS_SFTY_DEV_TYPE_TXT&lt;&gt;"",FLS_SFTY_DEV_TYPE_TXT,"2kg CO2") + " fire extinguisher for electrical areas complete with bracket and signage."</t>
        </is>
      </c>
      <c r="L139" s="223" t="inlineStr">
        <is>
          <t>FLS_SFTY_DEV_TYPE_TXT</t>
        </is>
      </c>
      <c r="M139" s="223" t="inlineStr">
        <is>
          <t>BOQ-FLS-Extinguishers</t>
        </is>
      </c>
      <c r="N139" s="223" t="inlineStr"/>
      <c r="O139" s="223" t="inlineStr">
        <is>
          <t>CST_SUP_PREFERRED_SUPPLIER_TXT</t>
        </is>
      </c>
      <c r="P139" s="223" t="inlineStr">
        <is>
          <t>CST_SUP_PROCUREMENT_LEAD_TIME_DAYS</t>
        </is>
      </c>
      <c r="Q139" s="223" t="inlineStr">
        <is>
          <t>1 per DB room minimum.</t>
        </is>
      </c>
      <c r="R139" s="223" t="inlineStr"/>
    </row>
    <row r="140">
      <c r="A140" s="223" t="inlineStr">
        <is>
          <t>6.2  HOSE REELS</t>
        </is>
      </c>
      <c r="B140" s="223" t="inlineStr"/>
      <c r="C140" s="223" t="inlineStr"/>
      <c r="D140" s="223" t="inlineStr"/>
      <c r="E140" s="223" t="n"/>
      <c r="F140" s="223" t="inlineStr"/>
      <c r="G140" s="223" t="n"/>
      <c r="H140" s="223" t="n"/>
      <c r="I140" s="223" t="inlineStr"/>
      <c r="J140" s="223" t="inlineStr"/>
      <c r="K140" s="223" t="inlineStr"/>
      <c r="L140" s="223" t="inlineStr"/>
      <c r="M140" s="223" t="inlineStr"/>
      <c r="N140" s="223" t="inlineStr"/>
      <c r="O140" s="223" t="inlineStr">
        <is>
          <t>CST_SUP_PREFERRED_SUPPLIER_TXT</t>
        </is>
      </c>
      <c r="P140" s="223" t="inlineStr">
        <is>
          <t>CST_SUP_PROCUREMENT_LEAD_TIME_DAYS</t>
        </is>
      </c>
      <c r="Q140" s="223" t="inlineStr"/>
      <c r="R140" s="223" t="inlineStr"/>
    </row>
    <row r="141">
      <c r="A141" s="223" t="inlineStr">
        <is>
          <t>6.2.1</t>
        </is>
      </c>
      <c r="B141" s="223" t="inlineStr">
        <is>
          <t>[DIA]mm dia. [LENGTH]m [TYPE] hose reel complete with shut-off nozzle, semi-automatic valve, hose cabinet, and all connections</t>
        </is>
      </c>
      <c r="C141" s="223" t="inlineStr">
        <is>
          <t>No.</t>
        </is>
      </c>
      <c r="D141" s="223" t="inlineStr">
        <is>
          <t>BOQ-FLS-HoseReels — Count</t>
        </is>
      </c>
      <c r="E141" s="223" t="inlineStr">
        <is>
          <t>BOQ-FLS-HoseReels — Count</t>
        </is>
      </c>
      <c r="F141" s="229" t="inlineStr">
        <is>
          <t>ASS_CST_UNIT_PRICE_UGX_NR</t>
        </is>
      </c>
      <c r="G141" s="229" t="inlineStr">
        <is>
          <t>if(ASS_CST_UNIT_PRICE_UGX_NR&lt;&gt;0,ASS_CST_UNIT_PRICE_UGX_NR,"")</t>
        </is>
      </c>
      <c r="H141" s="224" t="inlineStr">
        <is>
          <t>if(and(BOQ-FLS-HoseReels — Count&lt;&gt;0,ASS_CST_UNIT_PRICE_UGX_NR&lt;&gt;0),BOQ-FLS-HoseReels — Count*ASS_CST_UNIT_PRICE_UGX_NR,"")</t>
        </is>
      </c>
      <c r="I141" s="223" t="inlineStr">
        <is>
          <t>Sprinklers</t>
        </is>
      </c>
      <c r="J141" s="223" t="inlineStr">
        <is>
          <t>BOQ-FLS-HoseReels</t>
        </is>
      </c>
      <c r="K141" s="223" t="inlineStr">
        <is>
          <t>"if(ASS_DESCRIPTION_TXT&lt;&gt;"",ASS_DESCRIPTION_TXT,"25mm dia. 30m") + " hose reel, semi-automatic, complete with cabinet and connections."</t>
        </is>
      </c>
      <c r="L141" s="223" t="inlineStr">
        <is>
          <t>ASS_DESCRIPTION_TXT, ASS_MANUFACTURER_TXT</t>
        </is>
      </c>
      <c r="M141" s="223" t="inlineStr">
        <is>
          <t>BOQ-FLS-HoseReels</t>
        </is>
      </c>
      <c r="N141" s="223" t="inlineStr"/>
      <c r="O141" s="223" t="inlineStr">
        <is>
          <t>CST_SUP_PREFERRED_SUPPLIER_TXT</t>
        </is>
      </c>
      <c r="P141" s="223" t="inlineStr">
        <is>
          <t>CST_SUP_PROCUREMENT_LEAD_TIME_DAYS</t>
        </is>
      </c>
      <c r="Q141" s="223" t="inlineStr">
        <is>
          <t>BS 5306 Part 1. Max 6 bar static pressure.</t>
        </is>
      </c>
      <c r="R141" s="223" t="inlineStr"/>
    </row>
    <row r="142">
      <c r="A142" s="223" t="inlineStr">
        <is>
          <t>6.2.2</t>
        </is>
      </c>
      <c r="B142" s="223" t="inlineStr">
        <is>
          <t>[SZ]mm dia. [MAT] [PN] hose reel supply pipework including all fittings, valves, and supports complete with pressure test</t>
        </is>
      </c>
      <c r="C142" s="223" t="inlineStr">
        <is>
          <t>LM</t>
        </is>
      </c>
      <c r="D142" s="223" t="inlineStr">
        <is>
          <t>BOQ-FLS-HoseReels pipe — Length</t>
        </is>
      </c>
      <c r="E142" s="223" t="inlineStr">
        <is>
          <t>BOQ-FLS-HoseReels pipe — Length</t>
        </is>
      </c>
      <c r="F142" s="229" t="inlineStr">
        <is>
          <t>ASS_CST_UNIT_PRICE_UGX_NR</t>
        </is>
      </c>
      <c r="G142" s="229" t="inlineStr">
        <is>
          <t>if(ASS_CST_UNIT_PRICE_UGX_NR&lt;&gt;0,ASS_CST_UNIT_PRICE_UGX_NR,"")</t>
        </is>
      </c>
      <c r="H142" s="224" t="inlineStr">
        <is>
          <t>if(and(BOQ-FLS-HoseReels pipe — Length&lt;&gt;0,ASS_CST_UNIT_PRICE_UGX_NR&lt;&gt;0),BOQ-FLS-HoseReels pipe — Length*ASS_CST_UNIT_PRICE_UGX_NR,"")</t>
        </is>
      </c>
      <c r="I142" s="223" t="inlineStr">
        <is>
          <t>Sprinklers</t>
        </is>
      </c>
      <c r="J142" s="223" t="inlineStr">
        <is>
          <t>BOQ-FLS-HoseReels</t>
        </is>
      </c>
      <c r="K142" s="223" t="inlineStr">
        <is>
          <t>"if(PLM_PPE_SZ_MM&lt;&gt;"",PLM_PPE_SZ_MM+"mm ","") + if(PLM_PPE_MAT_TXT&lt;&gt;"",PLM_PPE_MAT_TXT+" ","black steel ") + "hose reel supply pipe complete with fittings and pressure test."</t>
        </is>
      </c>
      <c r="L142" s="223" t="inlineStr">
        <is>
          <t>PLM_PPE_SZ_MM, PLM_PPE_MAT_TXT, PLM_PPE_PSR_RATING_BAR</t>
        </is>
      </c>
      <c r="M142" s="223" t="inlineStr">
        <is>
          <t>BOQ-FLS-Pipework</t>
        </is>
      </c>
      <c r="N142" s="223" t="inlineStr"/>
      <c r="O142" s="223" t="inlineStr">
        <is>
          <t>CST_SUP_PREFERRED_SUPPLIER_TXT</t>
        </is>
      </c>
      <c r="P142" s="223" t="inlineStr">
        <is>
          <t>CST_SUP_PROCUREMENT_LEAD_TIME_DAYS</t>
        </is>
      </c>
      <c r="Q142" s="223" t="inlineStr"/>
      <c r="R142" s="223" t="inlineStr"/>
    </row>
    <row r="143">
      <c r="A143" s="223" t="inlineStr">
        <is>
          <t>6.3  SPRINKLER SYSTEM</t>
        </is>
      </c>
      <c r="B143" s="223" t="inlineStr"/>
      <c r="C143" s="223" t="inlineStr"/>
      <c r="D143" s="223" t="inlineStr"/>
      <c r="E143" s="223" t="n"/>
      <c r="F143" s="223" t="inlineStr"/>
      <c r="G143" s="223" t="n"/>
      <c r="H143" s="223" t="n"/>
      <c r="I143" s="223" t="inlineStr"/>
      <c r="J143" s="223" t="inlineStr"/>
      <c r="K143" s="223" t="inlineStr"/>
      <c r="L143" s="223" t="inlineStr"/>
      <c r="M143" s="223" t="inlineStr"/>
      <c r="N143" s="223" t="inlineStr"/>
      <c r="O143" s="223" t="inlineStr">
        <is>
          <t>CST_SUP_PREFERRED_SUPPLIER_TXT</t>
        </is>
      </c>
      <c r="P143" s="223" t="inlineStr">
        <is>
          <t>CST_SUP_PROCUREMENT_LEAD_TIME_DAYS</t>
        </is>
      </c>
      <c r="Q143" s="223" t="inlineStr"/>
      <c r="R143" s="223" t="inlineStr"/>
    </row>
    <row r="144">
      <c r="A144" s="223" t="inlineStr">
        <is>
          <t>6.3.1</t>
        </is>
      </c>
      <c r="B144" s="223" t="inlineStr">
        <is>
          <t>[TYPE] [COVERAGE] sprinkler head [ACTIVATION_TEMP]°C activation temperature including all accessories</t>
        </is>
      </c>
      <c r="C144" s="223" t="inlineStr">
        <is>
          <t>No.</t>
        </is>
      </c>
      <c r="D144" s="223" t="inlineStr">
        <is>
          <t>BOQ-FLS-Sprinklers — Count</t>
        </is>
      </c>
      <c r="E144" s="223" t="inlineStr">
        <is>
          <t>BOQ-FLS-Sprinklers — Count</t>
        </is>
      </c>
      <c r="F144" s="229" t="inlineStr">
        <is>
          <t>ASS_CST_UNIT_PRICE_UGX_NR</t>
        </is>
      </c>
      <c r="G144" s="229" t="inlineStr">
        <is>
          <t>if(ASS_CST_UNIT_PRICE_UGX_NR&lt;&gt;0,ASS_CST_UNIT_PRICE_UGX_NR,"")</t>
        </is>
      </c>
      <c r="H144" s="224" t="inlineStr">
        <is>
          <t>if(and(BOQ-FLS-Sprinklers — Count&lt;&gt;0,ASS_CST_UNIT_PRICE_UGX_NR&lt;&gt;0),BOQ-FLS-Sprinklers — Count*ASS_CST_UNIT_PRICE_UGX_NR,"")</t>
        </is>
      </c>
      <c r="I144" s="223" t="inlineStr">
        <is>
          <t>Sprinklers/Pipes</t>
        </is>
      </c>
      <c r="J144" s="223" t="inlineStr">
        <is>
          <t>BOQ-FLS-Sprinklers</t>
        </is>
      </c>
      <c r="K144" s="223" t="inlineStr">
        <is>
          <t>"if(FLS_SPK_TYPE_TXT&lt;&gt;"",FLS_SPK_TYPE_TXT,"Concealed pendant") + " sprinkler head " + if(FLS_SPK_ACTIVATION_TEMP_C&lt;&gt;"",FLS_SPK_ACTIVATION_TEMP_C+"°C ","68°C ") + if(FLS_SPK_COVERAGE_M2&lt;&gt;"",FLS_SPK_COVERAGE_M2+"m² coverage ","") + "complete with accessories."</t>
        </is>
      </c>
      <c r="L144" s="223" t="inlineStr">
        <is>
          <t>FLS_SPK_TYPE_TXT, FLS_SPK_ACTIVATION_TEMP_C, FLS_SPK_COVERAGE_M2</t>
        </is>
      </c>
      <c r="M144" s="223" t="inlineStr">
        <is>
          <t>BOQ-FLS-Sprinklers</t>
        </is>
      </c>
      <c r="N144" s="223" t="inlineStr"/>
      <c r="O144" s="223" t="inlineStr">
        <is>
          <t>CST_SUP_PREFERRED_SUPPLIER_TXT</t>
        </is>
      </c>
      <c r="P144" s="223" t="inlineStr">
        <is>
          <t>CST_SUP_PROCUREMENT_LEAD_TIME_DAYS</t>
        </is>
      </c>
      <c r="Q144" s="223" t="inlineStr">
        <is>
          <t>BS EN 12845. Group by hazard classification.</t>
        </is>
      </c>
      <c r="R144" s="223" t="inlineStr"/>
    </row>
    <row r="145">
      <c r="A145" s="223" t="inlineStr">
        <is>
          <t>6.3.2</t>
        </is>
      </c>
      <c r="B145" s="223" t="inlineStr">
        <is>
          <t>[SZ]mm dia. [MAT] [PN] sprinkler pipework distribution including all fittings, hangers, and supports</t>
        </is>
      </c>
      <c r="C145" s="223" t="inlineStr">
        <is>
          <t>LM</t>
        </is>
      </c>
      <c r="D145" s="223" t="inlineStr">
        <is>
          <t>BOQ-FLS-Pipework — Length</t>
        </is>
      </c>
      <c r="E145" s="223" t="inlineStr">
        <is>
          <t>BOQ-FLS-Pipework — Length</t>
        </is>
      </c>
      <c r="F145" s="229" t="inlineStr">
        <is>
          <t>ASS_CST_UNIT_PRICE_UGX_NR</t>
        </is>
      </c>
      <c r="G145" s="229" t="inlineStr">
        <is>
          <t>if(ASS_CST_UNIT_PRICE_UGX_NR&lt;&gt;0,ASS_CST_UNIT_PRICE_UGX_NR,"")</t>
        </is>
      </c>
      <c r="H145" s="224" t="inlineStr">
        <is>
          <t>if(and(BOQ-FLS-Pipework — Length&lt;&gt;0,ASS_CST_UNIT_PRICE_UGX_NR&lt;&gt;0),BOQ-FLS-Pipework — Length*ASS_CST_UNIT_PRICE_UGX_NR,"")</t>
        </is>
      </c>
      <c r="I145" s="223" t="inlineStr">
        <is>
          <t>Sprinklers/Pipes</t>
        </is>
      </c>
      <c r="J145" s="223" t="inlineStr">
        <is>
          <t>BOQ-FLS-Sprinklers</t>
        </is>
      </c>
      <c r="K145" s="223" t="inlineStr">
        <is>
          <t>"if(PLM_PPE_SZ_MM&lt;&gt;"",PLM_PPE_SZ_MM+"mm ","") + if(PLM_PPE_MAT_TXT&lt;&gt;"",PLM_PPE_MAT_TXT+" ","black steel ") + "sprinkler distribution pipe complete with fittings."</t>
        </is>
      </c>
      <c r="L145" s="223" t="inlineStr">
        <is>
          <t>PLM_PPE_SZ_MM, PLM_PPE_MAT_TXT</t>
        </is>
      </c>
      <c r="M145" s="223" t="inlineStr">
        <is>
          <t>BOQ-FLS-Pipework</t>
        </is>
      </c>
      <c r="N145" s="223" t="inlineStr"/>
      <c r="O145" s="223" t="inlineStr">
        <is>
          <t>CST_SUP_PREFERRED_SUPPLIER_TXT</t>
        </is>
      </c>
      <c r="P145" s="223" t="inlineStr">
        <is>
          <t>CST_SUP_PROCUREMENT_LEAD_TIME_DAYS</t>
        </is>
      </c>
      <c r="Q145" s="223" t="inlineStr">
        <is>
          <t>Group by size.</t>
        </is>
      </c>
      <c r="R145" s="223" t="inlineStr"/>
    </row>
    <row r="146">
      <c r="A146" s="223" t="inlineStr">
        <is>
          <t>6.3.3</t>
        </is>
      </c>
      <c r="B146" s="223" t="inlineStr">
        <is>
          <t>Sprinkler control valve set, zone control valve, test and drain valve, pressure gauges, alarm valve, and all accessories</t>
        </is>
      </c>
      <c r="C146" s="223" t="inlineStr">
        <is>
          <t>No.</t>
        </is>
      </c>
      <c r="D146" s="223" t="inlineStr">
        <is>
          <t>Manual</t>
        </is>
      </c>
      <c r="E146" s="223" t="n"/>
      <c r="F146" s="229" t="inlineStr">
        <is>
          <t>ASS_CST_UNIT_PRICE_UGX_NR</t>
        </is>
      </c>
      <c r="G146" s="229" t="inlineStr">
        <is>
          <t>if(ASS_CST_UNIT_PRICE_UGX_NR&lt;&gt;0,ASS_CST_UNIT_PRICE_UGX_NR,"")</t>
        </is>
      </c>
      <c r="H146" s="224" t="inlineStr">
        <is>
          <t>if(and(Manual&lt;&gt;0,ASS_CST_UNIT_PRICE_UGX_NR&lt;&gt;0),Manual*ASS_CST_UNIT_PRICE_UGX_NR,"")</t>
        </is>
      </c>
      <c r="I146" s="223" t="inlineStr">
        <is>
          <t>Sprinklers/Pipes</t>
        </is>
      </c>
      <c r="J146" s="223" t="inlineStr">
        <is>
          <t>BOQ-FLS-Sprinklers</t>
        </is>
      </c>
      <c r="K146" s="223" t="inlineStr">
        <is>
          <t>"Sprinkler control valve set complete with alarm valve, zone valves, drain, and pressure gauges."</t>
        </is>
      </c>
      <c r="L146" s="223" t="inlineStr">
        <is>
          <t>ASS_DESCRIPTION_TXT</t>
        </is>
      </c>
      <c r="M146" s="223" t="inlineStr">
        <is>
          <t>BOQ-FLS-ControlValves</t>
        </is>
      </c>
      <c r="N146" s="223" t="inlineStr"/>
      <c r="O146" s="223" t="inlineStr">
        <is>
          <t>CST_SUP_PREFERRED_SUPPLIER_TXT</t>
        </is>
      </c>
      <c r="P146" s="223" t="inlineStr">
        <is>
          <t>CST_SUP_PROCUREMENT_LEAD_TIME_DAYS</t>
        </is>
      </c>
      <c r="Q146" s="223" t="inlineStr">
        <is>
          <t>1 per sprinkler zone.</t>
        </is>
      </c>
      <c r="R146" s="223" t="inlineStr"/>
    </row>
    <row r="147">
      <c r="A147" s="223" t="inlineStr">
        <is>
          <t>6.3.4</t>
        </is>
      </c>
      <c r="B147" s="223" t="inlineStr">
        <is>
          <t>Sprinkler pump set [FLOW]L/min at [PRESSURE]bar, electric duty/standby pumps with jockey pump, motor starters, and all accessories</t>
        </is>
      </c>
      <c r="C147" s="223" t="inlineStr">
        <is>
          <t>No.</t>
        </is>
      </c>
      <c r="D147" s="223" t="inlineStr">
        <is>
          <t>Manual</t>
        </is>
      </c>
      <c r="E147" s="223" t="n"/>
      <c r="F147" s="229" t="inlineStr">
        <is>
          <t>ASS_CST_UNIT_PRICE_UGX_NR</t>
        </is>
      </c>
      <c r="G147" s="229" t="inlineStr">
        <is>
          <t>if(ASS_CST_UNIT_PRICE_UGX_NR&lt;&gt;0,ASS_CST_UNIT_PRICE_UGX_NR,"")</t>
        </is>
      </c>
      <c r="H147" s="224" t="inlineStr">
        <is>
          <t>if(and(Manual&lt;&gt;0,ASS_CST_UNIT_PRICE_UGX_NR&lt;&gt;0),Manual*ASS_CST_UNIT_PRICE_UGX_NR,"")</t>
        </is>
      </c>
      <c r="I147" s="223" t="inlineStr">
        <is>
          <t>Sprinklers/Pipes</t>
        </is>
      </c>
      <c r="J147" s="223" t="inlineStr">
        <is>
          <t>BOQ-FLS-Sprinklers</t>
        </is>
      </c>
      <c r="K147" s="223" t="inlineStr">
        <is>
          <t>"Sprinkler pump set " + if(HVC_CAP_KW&lt;&gt;"",HVC_CAP_KW+"kW ","") + "complete with duty/standby pumps, jockey pump and starters."</t>
        </is>
      </c>
      <c r="L147" s="223" t="inlineStr">
        <is>
          <t>HVC_CAP_KW, ASS_DESCRIPTION_TXT</t>
        </is>
      </c>
      <c r="M147" s="223" t="inlineStr">
        <is>
          <t>BOQ-FLS-PumpSet</t>
        </is>
      </c>
      <c r="N147" s="223" t="inlineStr"/>
      <c r="O147" s="223" t="inlineStr">
        <is>
          <t>CST_SUP_PREFERRED_SUPPLIER_TXT</t>
        </is>
      </c>
      <c r="P147" s="223" t="inlineStr">
        <is>
          <t>CST_SUP_PROCUREMENT_LEAD_TIME_DAYS</t>
        </is>
      </c>
      <c r="Q147" s="223" t="inlineStr">
        <is>
          <t>Manufacturer: Grundfos, Lowara or equal.</t>
        </is>
      </c>
      <c r="R147" s="223" t="inlineStr"/>
    </row>
    <row r="148">
      <c r="A148" s="223" t="inlineStr"/>
      <c r="B148" s="223" t="inlineStr"/>
      <c r="C148" s="223" t="inlineStr"/>
      <c r="D148" s="223" t="inlineStr"/>
      <c r="E148" s="223" t="n"/>
      <c r="F148" s="223" t="inlineStr"/>
      <c r="G148" s="223" t="n"/>
      <c r="H148" s="223" t="n"/>
      <c r="I148" s="223" t="inlineStr"/>
      <c r="J148" s="223" t="inlineStr"/>
      <c r="K148" s="223" t="inlineStr"/>
      <c r="L148" s="223" t="inlineStr"/>
      <c r="M148" s="223" t="inlineStr"/>
      <c r="N148" s="223" t="inlineStr"/>
      <c r="O148" s="223" t="inlineStr">
        <is>
          <t>CST_SUP_PREFERRED_SUPPLIER_TXT</t>
        </is>
      </c>
      <c r="P148" s="223" t="inlineStr">
        <is>
          <t>CST_SUP_PROCUREMENT_LEAD_TIME_DAYS</t>
        </is>
      </c>
      <c r="Q148" s="223" t="inlineStr"/>
      <c r="R148" s="223" t="inlineStr"/>
    </row>
    <row r="149">
      <c r="A149" s="265" t="inlineStr">
        <is>
          <t>BILL No.7  —  HVAC INSTALLATIONS</t>
        </is>
      </c>
      <c r="B149" s="269" t="n"/>
      <c r="C149" s="269" t="n"/>
      <c r="D149" s="269" t="n"/>
      <c r="E149" s="269" t="n"/>
      <c r="F149" s="269" t="n"/>
      <c r="G149" s="269" t="n"/>
      <c r="H149" s="269" t="n"/>
      <c r="I149" s="269" t="n"/>
      <c r="J149" s="269" t="n"/>
      <c r="K149" s="269" t="n"/>
      <c r="L149" s="269" t="n"/>
      <c r="M149" s="269" t="n"/>
      <c r="N149" s="269" t="n"/>
      <c r="O149" s="269" t="n"/>
      <c r="P149" s="269" t="n"/>
      <c r="Q149" s="269" t="n"/>
      <c r="R149" s="270" t="n"/>
    </row>
    <row r="150">
      <c r="A150" s="223" t="inlineStr">
        <is>
          <t>Preamble: Provide all materials, install, connect and set to work the following all as described in the Specifications and Drawings. All works to ASHRAE 90.1 tropical edition. Refrigerant pipework by certified F-Gas engineer. BMS interface points as Section 9. Uganda: NEMA refrigerant compliance.</t>
        </is>
      </c>
      <c r="B150" s="223" t="inlineStr"/>
      <c r="C150" s="223" t="inlineStr"/>
      <c r="D150" s="223" t="inlineStr"/>
      <c r="E150" s="223" t="n"/>
      <c r="F150" s="223" t="inlineStr"/>
      <c r="G150" s="223" t="n"/>
      <c r="H150" s="223" t="n"/>
      <c r="I150" s="223" t="inlineStr"/>
      <c r="J150" s="223" t="inlineStr"/>
      <c r="K150" s="223" t="inlineStr"/>
      <c r="L150" s="223" t="inlineStr"/>
      <c r="M150" s="223" t="inlineStr"/>
      <c r="N150" s="223" t="inlineStr"/>
      <c r="O150" s="223" t="inlineStr">
        <is>
          <t>CST_SUP_PREFERRED_SUPPLIER_TXT</t>
        </is>
      </c>
      <c r="P150" s="223" t="inlineStr">
        <is>
          <t>CST_SUP_PROCUREMENT_LEAD_TIME_DAYS</t>
        </is>
      </c>
      <c r="Q150" s="223" t="inlineStr"/>
      <c r="R150" s="223" t="inlineStr"/>
    </row>
    <row r="151">
      <c r="A151" s="223" t="inlineStr">
        <is>
          <t>7.1  VRF/VRV SPLIT SYSTEM EQUIPMENT</t>
        </is>
      </c>
      <c r="B151" s="223" t="inlineStr"/>
      <c r="C151" s="223" t="inlineStr"/>
      <c r="D151" s="223" t="inlineStr"/>
      <c r="E151" s="223" t="n"/>
      <c r="F151" s="223" t="inlineStr"/>
      <c r="G151" s="223" t="n"/>
      <c r="H151" s="223" t="n"/>
      <c r="I151" s="223" t="inlineStr"/>
      <c r="J151" s="223" t="inlineStr"/>
      <c r="K151" s="223" t="inlineStr"/>
      <c r="L151" s="223" t="inlineStr"/>
      <c r="M151" s="223" t="inlineStr"/>
      <c r="N151" s="223" t="inlineStr"/>
      <c r="O151" s="223" t="inlineStr">
        <is>
          <t>CST_SUP_PREFERRED_SUPPLIER_TXT</t>
        </is>
      </c>
      <c r="P151" s="223" t="inlineStr">
        <is>
          <t>CST_SUP_PROCUREMENT_LEAD_TIME_DAYS</t>
        </is>
      </c>
      <c r="Q151" s="223" t="inlineStr"/>
      <c r="R151" s="223" t="inlineStr"/>
    </row>
    <row r="152">
      <c r="A152" s="223" t="inlineStr">
        <is>
          <t>7.1.1</t>
        </is>
      </c>
      <c r="B152" s="223" t="inlineStr">
        <is>
          <t>[BRAND] VRF outdoor condensing unit(s) [CAPACITY]kW total cooling capacity, [REFRIGERANT] refrigerant, [PHASE]-phase [VLT]V power supply, including frame and vibration isolators</t>
        </is>
      </c>
      <c r="C152" s="223" t="inlineStr">
        <is>
          <t>No.</t>
        </is>
      </c>
      <c r="D152" s="223" t="inlineStr">
        <is>
          <t>BOQ-HVC-Equipment — Count (Outdoor)</t>
        </is>
      </c>
      <c r="E152" s="223" t="inlineStr">
        <is>
          <t>BOQ-HVC-Equipment — Count (Outdoor)</t>
        </is>
      </c>
      <c r="F152" s="229" t="inlineStr">
        <is>
          <t>ASS_CST_UNIT_PRICE_UGX_NR</t>
        </is>
      </c>
      <c r="G152" s="229" t="inlineStr">
        <is>
          <t>if(ASS_CST_UNIT_PRICE_UGX_NR&lt;&gt;0,ASS_CST_UNIT_PRICE_UGX_NR,"")</t>
        </is>
      </c>
      <c r="H152" s="224" t="inlineStr">
        <is>
          <t>if(and(BOQ-HVC-Equipment — Count (Outdoor)&lt;&gt;0,ASS_CST_UNIT_PRICE_UGX_NR&lt;&gt;0),BOQ-HVC-Equipment — Count (Outdoor)*ASS_CST_UNIT_PRICE_UGX_NR,"")</t>
        </is>
      </c>
      <c r="I152" s="223" t="inlineStr">
        <is>
          <t>Mechanical Equipment</t>
        </is>
      </c>
      <c r="J152" s="223" t="inlineStr">
        <is>
          <t>BOQ-HVC-Equipment</t>
        </is>
      </c>
      <c r="K152" s="223" t="inlineStr">
        <is>
          <t>"if(ASS_MANUFACTURER_TXT&lt;&gt;"",ASS_MANUFACTURER_TXT,"VRF") + " outdoor condensing unit " + if(HVC_CAP_KW&lt;&gt;"",HVC_CAP_KW+"kW cooling, ","TBC kW, ") + if(HVC_REFRIGERANT_TXT&lt;&gt;"",HVC_REFRIGERANT_TXT+" refrigerant, ","R410A, ") + if(HVC_EFF_RATIO_NR&lt;&gt;"",HVC_EFF_RATIO_NR+" COP, ","") + if(HVC_PWR_KW&lt;&gt;"",HVC_PWR_KW+"kW power.","as drawings.")</t>
        </is>
      </c>
      <c r="L152" s="223" t="inlineStr">
        <is>
          <t>ASS_MANUFACTURER_TXT, HVC_CAP_KW, HVC_REFRIGERANT_TXT, HVC_EFF_RATIO_NR, HVC_PWR_KW</t>
        </is>
      </c>
      <c r="M152" s="223" t="inlineStr">
        <is>
          <t>BOQ-HVC-Equipment</t>
        </is>
      </c>
      <c r="N152" s="223" t="inlineStr">
        <is>
          <t>HVC_CAP_KW — check per floor schedule
HVC_EFF_RATIO_NR &lt; 2.8 → [!COP LOW]</t>
        </is>
      </c>
      <c r="O152" s="223" t="inlineStr">
        <is>
          <t>CST_SUP_PREFERRED_SUPPLIER_TXT</t>
        </is>
      </c>
      <c r="P152" s="223" t="inlineStr">
        <is>
          <t>CST_SUP_PROCUREMENT_LEAD_TIME_DAYS</t>
        </is>
      </c>
      <c r="Q152" s="223" t="inlineStr">
        <is>
          <t>Group by system mark. Mitsubishi, Daikin, LG standard Uganda.</t>
        </is>
      </c>
      <c r="R152" s="223" t="inlineStr"/>
    </row>
    <row r="153">
      <c r="A153" s="223" t="inlineStr">
        <is>
          <t>7.1.2</t>
        </is>
      </c>
      <c r="B153" s="223" t="inlineStr">
        <is>
          <t>[BRAND] VRF indoor [TYPE] unit [CAPACITY]kW cooling, [REFRIGERANT], including drain, controls, and all accessories</t>
        </is>
      </c>
      <c r="C153" s="223" t="inlineStr">
        <is>
          <t>No.</t>
        </is>
      </c>
      <c r="D153" s="223" t="inlineStr">
        <is>
          <t>BOQ-HVC-Equipment — Count (Indoor)</t>
        </is>
      </c>
      <c r="E153" s="223" t="inlineStr">
        <is>
          <t>BOQ-HVC-Equipment — Count (Indoor)</t>
        </is>
      </c>
      <c r="F153" s="229" t="inlineStr">
        <is>
          <t>ASS_CST_UNIT_PRICE_UGX_NR</t>
        </is>
      </c>
      <c r="G153" s="229" t="inlineStr">
        <is>
          <t>if(ASS_CST_UNIT_PRICE_UGX_NR&lt;&gt;0,ASS_CST_UNIT_PRICE_UGX_NR,"")</t>
        </is>
      </c>
      <c r="H153" s="224" t="inlineStr">
        <is>
          <t>if(and(BOQ-HVC-Equipment — Count (Indoor)&lt;&gt;0,ASS_CST_UNIT_PRICE_UGX_NR&lt;&gt;0),BOQ-HVC-Equipment — Count (Indoor)*ASS_CST_UNIT_PRICE_UGX_NR,"")</t>
        </is>
      </c>
      <c r="I153" s="223" t="inlineStr">
        <is>
          <t>Mechanical Equipment</t>
        </is>
      </c>
      <c r="J153" s="223" t="inlineStr">
        <is>
          <t>BOQ-HVC-Equipment</t>
        </is>
      </c>
      <c r="K153" s="223" t="inlineStr">
        <is>
          <t>"if(ASS_MANUFACTURER_TXT&lt;&gt;"",ASS_MANUFACTURER_TXT,"VRF") + " indoor " + if(HVC_UNIT_TYPE_TXT&lt;&gt;"",HVC_UNIT_TYPE_TXT,"cassette") + " unit " + if(HVC_CAP_KW&lt;&gt;"",HVC_CAP_KW+"kW cooling, ","TBC kW, ") + "complete with drain, remote control and accessories."</t>
        </is>
      </c>
      <c r="L153" s="223" t="inlineStr">
        <is>
          <t>ASS_MANUFACTURER_TXT, HVC_CAP_KW, HVC_UNIT_TYPE_TXT</t>
        </is>
      </c>
      <c r="M153" s="223" t="inlineStr">
        <is>
          <t>BOQ-HVC-Equipment</t>
        </is>
      </c>
      <c r="N153" s="223" t="inlineStr">
        <is>
          <t>HVC_CAP_KW — verify per room design load</t>
        </is>
      </c>
      <c r="O153" s="223" t="inlineStr">
        <is>
          <t>CST_SUP_PREFERRED_SUPPLIER_TXT</t>
        </is>
      </c>
      <c r="P153" s="223" t="inlineStr">
        <is>
          <t>CST_SUP_PROCUREMENT_LEAD_TIME_DAYS</t>
        </is>
      </c>
      <c r="Q153" s="223" t="inlineStr">
        <is>
          <t>Group by indoor unit type.</t>
        </is>
      </c>
      <c r="R153" s="223" t="inlineStr"/>
    </row>
    <row r="154">
      <c r="A154" s="223" t="inlineStr">
        <is>
          <t>7.1.3</t>
        </is>
      </c>
      <c r="B154" s="223" t="inlineStr">
        <is>
          <t>Split/package window/wall air conditioning unit [CAPACITY]kW cooling, [REFRIGERANT], [PHASE]-phase supply, complete with all accessories (non-VRF buildings)</t>
        </is>
      </c>
      <c r="C154" s="223" t="inlineStr">
        <is>
          <t>No.</t>
        </is>
      </c>
      <c r="D154" s="223" t="inlineStr">
        <is>
          <t>BOQ-HVC-Equipment — Count (Split)</t>
        </is>
      </c>
      <c r="E154" s="223" t="inlineStr">
        <is>
          <t>BOQ-HVC-Equipment — Count (Split)</t>
        </is>
      </c>
      <c r="F154" s="229" t="inlineStr">
        <is>
          <t>ASS_CST_UNIT_PRICE_UGX_NR</t>
        </is>
      </c>
      <c r="G154" s="229" t="inlineStr">
        <is>
          <t>if(ASS_CST_UNIT_PRICE_UGX_NR&lt;&gt;0,ASS_CST_UNIT_PRICE_UGX_NR,"")</t>
        </is>
      </c>
      <c r="H154" s="224" t="inlineStr">
        <is>
          <t>if(and(BOQ-HVC-Equipment — Count (Split)&lt;&gt;0,ASS_CST_UNIT_PRICE_UGX_NR&lt;&gt;0),BOQ-HVC-Equipment — Count (Split)*ASS_CST_UNIT_PRICE_UGX_NR,"")</t>
        </is>
      </c>
      <c r="I154" s="223" t="inlineStr">
        <is>
          <t>Mechanical Equipment</t>
        </is>
      </c>
      <c r="J154" s="223" t="inlineStr">
        <is>
          <t>BOQ-HVC-Equipment</t>
        </is>
      </c>
      <c r="K154" s="223" t="inlineStr">
        <is>
          <t>"if(HVC_CAP_KW&lt;&gt;"",HVC_CAP_KW+"kW ","") + "split AC unit " + if(HVC_REFRIGERANT_TXT&lt;&gt;"",HVC_REFRIGERANT_TXT,"R410A") + " complete with all accessories."</t>
        </is>
      </c>
      <c r="L154" s="223" t="inlineStr">
        <is>
          <t>HVC_CAP_KW, HVC_REFRIGERANT_TXT, HVC_EFF_RATIO_NR</t>
        </is>
      </c>
      <c r="M154" s="223" t="inlineStr">
        <is>
          <t>BOQ-HVC-Equipment</t>
        </is>
      </c>
      <c r="N154" s="223" t="inlineStr"/>
      <c r="O154" s="223" t="inlineStr">
        <is>
          <t>CST_SUP_PREFERRED_SUPPLIER_TXT</t>
        </is>
      </c>
      <c r="P154" s="223" t="inlineStr">
        <is>
          <t>CST_SUP_PROCUREMENT_LEAD_TIME_DAYS</t>
        </is>
      </c>
      <c r="Q154" s="223" t="inlineStr">
        <is>
          <t>For smaller buildings without VRF.</t>
        </is>
      </c>
      <c r="R154" s="223" t="inlineStr"/>
    </row>
    <row r="155">
      <c r="A155" s="223" t="inlineStr">
        <is>
          <t>7.2  REFRIGERANT PIPEWORK</t>
        </is>
      </c>
      <c r="B155" s="223" t="inlineStr"/>
      <c r="C155" s="223" t="inlineStr"/>
      <c r="D155" s="223" t="inlineStr"/>
      <c r="E155" s="223" t="n"/>
      <c r="F155" s="223" t="inlineStr"/>
      <c r="G155" s="223" t="n"/>
      <c r="H155" s="223" t="n"/>
      <c r="I155" s="223" t="inlineStr"/>
      <c r="J155" s="223" t="inlineStr"/>
      <c r="K155" s="223" t="inlineStr"/>
      <c r="L155" s="223" t="inlineStr"/>
      <c r="M155" s="223" t="inlineStr"/>
      <c r="N155" s="223" t="inlineStr"/>
      <c r="O155" s="223" t="inlineStr">
        <is>
          <t>CST_SUP_PREFERRED_SUPPLIER_TXT</t>
        </is>
      </c>
      <c r="P155" s="223" t="inlineStr">
        <is>
          <t>CST_SUP_PROCUREMENT_LEAD_TIME_DAYS</t>
        </is>
      </c>
      <c r="Q155" s="223" t="inlineStr"/>
      <c r="R155" s="223" t="inlineStr"/>
    </row>
    <row r="156">
      <c r="A156" s="223" t="inlineStr">
        <is>
          <t>7.2.1</t>
        </is>
      </c>
      <c r="B156" s="223" t="inlineStr">
        <is>
          <t>[DIA]mm dia. refrigerant liquid/suction copper pipework insulated complete with all fittings and supports</t>
        </is>
      </c>
      <c r="C156" s="223" t="inlineStr">
        <is>
          <t>LM</t>
        </is>
      </c>
      <c r="D156" s="223" t="inlineStr">
        <is>
          <t>BOQ-HVC-RefrigPipework — Length</t>
        </is>
      </c>
      <c r="E156" s="223" t="inlineStr">
        <is>
          <t>BOQ-HVC-RefrigPipework — Length</t>
        </is>
      </c>
      <c r="F156" s="229" t="inlineStr">
        <is>
          <t>ASS_CST_UNIT_PRICE_UGX_NR</t>
        </is>
      </c>
      <c r="G156" s="229" t="inlineStr">
        <is>
          <t>if(ASS_CST_UNIT_PRICE_UGX_NR&lt;&gt;0,ASS_CST_UNIT_PRICE_UGX_NR,"")</t>
        </is>
      </c>
      <c r="H156" s="224" t="inlineStr">
        <is>
          <t>if(and(BOQ-HVC-RefrigPipework — Length&lt;&gt;0,ASS_CST_UNIT_PRICE_UGX_NR&lt;&gt;0),BOQ-HVC-RefrigPipework — Length*ASS_CST_UNIT_PRICE_UGX_NR,"")</t>
        </is>
      </c>
      <c r="I156" s="223" t="inlineStr">
        <is>
          <t>Pipes</t>
        </is>
      </c>
      <c r="J156" s="223" t="inlineStr">
        <is>
          <t>BOQ-HVC-RefrigPipework</t>
        </is>
      </c>
      <c r="K156" s="223" t="inlineStr">
        <is>
          <t>"if(PLM_PPE_SZ_MM&lt;&gt;"",PLM_PPE_SZ_MM+"mm ","") + "copper refrigerant " + if(ASS_DESCRIPTION_TXT&lt;&gt;"",ASS_DESCRIPTION_TXT,"liquid/suction") + " pipe insulated, complete with fittings."</t>
        </is>
      </c>
      <c r="L156" s="223" t="inlineStr">
        <is>
          <t>PLM_PPE_SZ_MM, ASS_DESCRIPTION_TXT</t>
        </is>
      </c>
      <c r="M156" s="223" t="inlineStr">
        <is>
          <t>BOQ-HVC-RefrigPipework</t>
        </is>
      </c>
      <c r="N156" s="223" t="inlineStr"/>
      <c r="O156" s="223" t="inlineStr">
        <is>
          <t>CST_SUP_PREFERRED_SUPPLIER_TXT</t>
        </is>
      </c>
      <c r="P156" s="223" t="inlineStr">
        <is>
          <t>CST_SUP_PROCUREMENT_LEAD_TIME_DAYS</t>
        </is>
      </c>
      <c r="Q156" s="223" t="inlineStr">
        <is>
          <t>By F-Gas certified engineer.</t>
        </is>
      </c>
      <c r="R156" s="223" t="inlineStr"/>
    </row>
    <row r="157">
      <c r="A157" s="223" t="inlineStr">
        <is>
          <t>7.2.2</t>
        </is>
      </c>
      <c r="B157" s="223" t="inlineStr">
        <is>
          <t>Refrigerant branch distributor / Y-joint / header set including all fittings</t>
        </is>
      </c>
      <c r="C157" s="223" t="inlineStr">
        <is>
          <t>No.</t>
        </is>
      </c>
      <c r="D157" s="223" t="inlineStr">
        <is>
          <t>BOQ-HVC-RefrigFittings — Count</t>
        </is>
      </c>
      <c r="E157" s="223" t="inlineStr">
        <is>
          <t>BOQ-HVC-RefrigFittings — Count</t>
        </is>
      </c>
      <c r="F157" s="229" t="inlineStr">
        <is>
          <t>ASS_CST_UNIT_PRICE_UGX_NR</t>
        </is>
      </c>
      <c r="G157" s="229" t="inlineStr">
        <is>
          <t>if(ASS_CST_UNIT_PRICE_UGX_NR&lt;&gt;0,ASS_CST_UNIT_PRICE_UGX_NR,"")</t>
        </is>
      </c>
      <c r="H157" s="224" t="inlineStr">
        <is>
          <t>if(and(BOQ-HVC-RefrigFittings — Count&lt;&gt;0,ASS_CST_UNIT_PRICE_UGX_NR&lt;&gt;0),BOQ-HVC-RefrigFittings — Count*ASS_CST_UNIT_PRICE_UGX_NR,"")</t>
        </is>
      </c>
      <c r="I157" s="223" t="inlineStr">
        <is>
          <t>Pipes</t>
        </is>
      </c>
      <c r="J157" s="223" t="inlineStr">
        <is>
          <t>BOQ-HVC-RefrigPipework</t>
        </is>
      </c>
      <c r="K157" s="223" t="inlineStr">
        <is>
          <t>"Refrigerant " + if(ASS_DESCRIPTION_TXT&lt;&gt;"",ASS_DESCRIPTION_TXT,"branch distributor") + " complete with all fittings."</t>
        </is>
      </c>
      <c r="L157" s="223" t="inlineStr">
        <is>
          <t>ASS_DESCRIPTION_TXT</t>
        </is>
      </c>
      <c r="M157" s="223" t="inlineStr">
        <is>
          <t>BOQ-HVC-RefrigFittings</t>
        </is>
      </c>
      <c r="N157" s="223" t="inlineStr"/>
      <c r="O157" s="223" t="inlineStr">
        <is>
          <t>CST_SUP_PREFERRED_SUPPLIER_TXT</t>
        </is>
      </c>
      <c r="P157" s="223" t="inlineStr">
        <is>
          <t>CST_SUP_PROCUREMENT_LEAD_TIME_DAYS</t>
        </is>
      </c>
      <c r="Q157" s="223" t="inlineStr"/>
      <c r="R157" s="223" t="inlineStr"/>
    </row>
    <row r="158">
      <c r="A158" s="223" t="inlineStr">
        <is>
          <t>7.3  DUCTWORK &amp; DISTRIBUTION</t>
        </is>
      </c>
      <c r="B158" s="223" t="inlineStr"/>
      <c r="C158" s="223" t="inlineStr"/>
      <c r="D158" s="223" t="inlineStr"/>
      <c r="E158" s="223" t="n"/>
      <c r="F158" s="223" t="inlineStr"/>
      <c r="G158" s="223" t="n"/>
      <c r="H158" s="223" t="n"/>
      <c r="I158" s="223" t="inlineStr"/>
      <c r="J158" s="223" t="inlineStr"/>
      <c r="K158" s="223" t="inlineStr"/>
      <c r="L158" s="223" t="inlineStr"/>
      <c r="M158" s="223" t="inlineStr"/>
      <c r="N158" s="223" t="inlineStr"/>
      <c r="O158" s="223" t="inlineStr">
        <is>
          <t>CST_SUP_PREFERRED_SUPPLIER_TXT</t>
        </is>
      </c>
      <c r="P158" s="223" t="inlineStr">
        <is>
          <t>CST_SUP_PROCUREMENT_LEAD_TIME_DAYS</t>
        </is>
      </c>
      <c r="Q158" s="223" t="inlineStr"/>
      <c r="R158" s="223" t="inlineStr"/>
    </row>
    <row r="159">
      <c r="A159" s="223" t="inlineStr">
        <is>
          <t>7.3.1</t>
        </is>
      </c>
      <c r="B159" s="223" t="inlineStr">
        <is>
          <t>Galvanised mild steel [CLASS] rectangular ductwork [W]mm x [H]mm insulated [THICK]mm complete with all flanges, hangers, supports, and sealant</t>
        </is>
      </c>
      <c r="C159" s="223" t="inlineStr">
        <is>
          <t>LM</t>
        </is>
      </c>
      <c r="D159" s="223" t="inlineStr">
        <is>
          <t>BOQ-HVC-Ducts — Length</t>
        </is>
      </c>
      <c r="E159" s="223" t="inlineStr">
        <is>
          <t>BOQ-HVC-Ducts — Length</t>
        </is>
      </c>
      <c r="F159" s="229" t="inlineStr">
        <is>
          <t>ASS_CST_UNIT_PRICE_UGX_NR</t>
        </is>
      </c>
      <c r="G159" s="229" t="inlineStr">
        <is>
          <t>if(ASS_CST_UNIT_PRICE_UGX_NR&lt;&gt;0,ASS_CST_UNIT_PRICE_UGX_NR,"")</t>
        </is>
      </c>
      <c r="H159" s="224" t="inlineStr">
        <is>
          <t>if(and(BOQ-HVC-Ducts — Length&lt;&gt;0,ASS_CST_UNIT_PRICE_UGX_NR&lt;&gt;0),BOQ-HVC-Ducts — Length*ASS_CST_UNIT_PRICE_UGX_NR,"")</t>
        </is>
      </c>
      <c r="I159" s="223" t="inlineStr">
        <is>
          <t>Ducts/Flex Ducts/Air Terminals</t>
        </is>
      </c>
      <c r="J159" s="223" t="inlineStr">
        <is>
          <t>BOQ-HVC-Ducts</t>
        </is>
      </c>
      <c r="K159" s="223" t="inlineStr">
        <is>
          <t>"GMS " + if(HVC_DUCT_CLASS_TXT&lt;&gt;"",HVC_DUCT_CLASS_TXT,"Class B") + " duct " + if(HVC_DCT_SZ_W_MM&lt;&gt;"",HVC_DCT_SZ_W_MM+"W","?W") + "x" + if(HVC_DCT_SZ_H_MM&lt;&gt;"",HVC_DCT_SZ_H_MM+"H mm ","?H mm ") + "insulated, complete with hangers."</t>
        </is>
      </c>
      <c r="L159" s="223" t="inlineStr">
        <is>
          <t>HVC_DUCT_CLASS_TXT, HVC_DCT_SZ_W_MM, HVC_DCT_SZ_H_MM, HVC_DCT_LINING_TXT</t>
        </is>
      </c>
      <c r="M159" s="223" t="inlineStr">
        <is>
          <t>BOQ-HVC-Ducts</t>
        </is>
      </c>
      <c r="N159" s="223" t="inlineStr">
        <is>
          <t>HVC_VEL_MPS &gt; 8.0 → [!VEL &gt; 8.0 m/s]</t>
        </is>
      </c>
      <c r="O159" s="223" t="inlineStr">
        <is>
          <t>CST_SUP_PREFERRED_SUPPLIER_TXT</t>
        </is>
      </c>
      <c r="P159" s="223" t="inlineStr">
        <is>
          <t>CST_SUP_PROCUREMENT_LEAD_TIME_DAYS</t>
        </is>
      </c>
      <c r="Q159" s="223" t="inlineStr">
        <is>
          <t>Group by size. Uganda: GMS standard. Max vel 8m/s supply, 6m/s return.</t>
        </is>
      </c>
      <c r="R159" s="223" t="inlineStr"/>
    </row>
    <row r="160">
      <c r="A160" s="223" t="inlineStr">
        <is>
          <t>7.3.2</t>
        </is>
      </c>
      <c r="B160" s="223" t="inlineStr">
        <is>
          <t>[DIA]mm dia. GMS circular ductwork insulated [THICK]mm complete with all fittings, hangers, and supports</t>
        </is>
      </c>
      <c r="C160" s="223" t="inlineStr">
        <is>
          <t>LM</t>
        </is>
      </c>
      <c r="D160" s="223" t="inlineStr">
        <is>
          <t>BOQ-HVC-Ducts — Length (circular)</t>
        </is>
      </c>
      <c r="E160" s="223" t="inlineStr">
        <is>
          <t>BOQ-HVC-Ducts — Length (circular)</t>
        </is>
      </c>
      <c r="F160" s="229" t="inlineStr">
        <is>
          <t>ASS_CST_UNIT_PRICE_UGX_NR</t>
        </is>
      </c>
      <c r="G160" s="229" t="inlineStr">
        <is>
          <t>if(ASS_CST_UNIT_PRICE_UGX_NR&lt;&gt;0,ASS_CST_UNIT_PRICE_UGX_NR,"")</t>
        </is>
      </c>
      <c r="H160" s="224" t="inlineStr">
        <is>
          <t>if(and(BOQ-HVC-Ducts — Length (circular)&lt;&gt;0,ASS_CST_UNIT_PRICE_UGX_NR&lt;&gt;0),BOQ-HVC-Ducts — Length (circular)*ASS_CST_UNIT_PRICE_UGX_NR,"")</t>
        </is>
      </c>
      <c r="I160" s="223" t="inlineStr">
        <is>
          <t>Ducts/Flex Ducts/Air Terminals</t>
        </is>
      </c>
      <c r="J160" s="223" t="inlineStr">
        <is>
          <t>BOQ-HVC-Ducts</t>
        </is>
      </c>
      <c r="K160" s="223" t="inlineStr">
        <is>
          <t>"if(HVC_DCT_SZ_W_MM&lt;&gt;"",HVC_DCT_SZ_W_MM+"mm dia ","") + "GMS circular duct insulated complete with fittings."</t>
        </is>
      </c>
      <c r="L160" s="223" t="inlineStr">
        <is>
          <t>HVC_DCT_SZ_W_MM</t>
        </is>
      </c>
      <c r="M160" s="223" t="inlineStr">
        <is>
          <t>BOQ-HVC-Ducts</t>
        </is>
      </c>
      <c r="N160" s="223" t="inlineStr">
        <is>
          <t>HVC_VEL_MPS &gt; 8.0 → [!VEL]</t>
        </is>
      </c>
      <c r="O160" s="223" t="inlineStr">
        <is>
          <t>CST_SUP_PREFERRED_SUPPLIER_TXT</t>
        </is>
      </c>
      <c r="P160" s="223" t="inlineStr">
        <is>
          <t>CST_SUP_PROCUREMENT_LEAD_TIME_DAYS</t>
        </is>
      </c>
      <c r="Q160" s="223" t="inlineStr"/>
      <c r="R160" s="223" t="inlineStr"/>
    </row>
    <row r="161">
      <c r="A161" s="223" t="inlineStr">
        <is>
          <t>7.3.3</t>
        </is>
      </c>
      <c r="B161" s="223" t="inlineStr">
        <is>
          <t>[DIA]mm dia. flexible duct [LENGTH]mm long connecting rigid duct to terminal complete with clamps</t>
        </is>
      </c>
      <c r="C161" s="223" t="inlineStr">
        <is>
          <t>No.</t>
        </is>
      </c>
      <c r="D161" s="223" t="inlineStr">
        <is>
          <t>BOQ-HVC-FlexDucts — Count</t>
        </is>
      </c>
      <c r="E161" s="223" t="inlineStr">
        <is>
          <t>BOQ-HVC-FlexDucts — Count</t>
        </is>
      </c>
      <c r="F161" s="229" t="inlineStr">
        <is>
          <t>ASS_CST_UNIT_PRICE_UGX_NR</t>
        </is>
      </c>
      <c r="G161" s="229" t="inlineStr">
        <is>
          <t>if(ASS_CST_UNIT_PRICE_UGX_NR&lt;&gt;0,ASS_CST_UNIT_PRICE_UGX_NR,"")</t>
        </is>
      </c>
      <c r="H161" s="224" t="inlineStr">
        <is>
          <t>if(and(BOQ-HVC-FlexDucts — Count&lt;&gt;0,ASS_CST_UNIT_PRICE_UGX_NR&lt;&gt;0),BOQ-HVC-FlexDucts — Count*ASS_CST_UNIT_PRICE_UGX_NR,"")</t>
        </is>
      </c>
      <c r="I161" s="223" t="inlineStr">
        <is>
          <t>Ducts/Flex Ducts/Air Terminals</t>
        </is>
      </c>
      <c r="J161" s="223" t="inlineStr">
        <is>
          <t>BOQ-HVC-Ducts</t>
        </is>
      </c>
      <c r="K161" s="223" t="inlineStr">
        <is>
          <t>"if(HVC_DCT_FLEX_DIA_MM&lt;&gt;"",HVC_DCT_FLEX_DIA_MM+"mm dia ","") + "flexible duct " + if(HVC_DCT_FLEX_MAX_LEN_MM&lt;&gt;"",HVC_DCT_FLEX_MAX_LEN_MM+"mm long ","") + "complete with clamps."</t>
        </is>
      </c>
      <c r="L161" s="223" t="inlineStr">
        <is>
          <t>HVC_DCT_FLEX_DIA_MM, HVC_DCT_FLEX_MAX_LEN_MM</t>
        </is>
      </c>
      <c r="M161" s="223" t="inlineStr">
        <is>
          <t>BOQ-HVC-FlexDucts</t>
        </is>
      </c>
      <c r="N161" s="223" t="inlineStr">
        <is>
          <t>HVC_DCT_FLEX_MAX_LEN_MM &gt; 1500 → [!FLEX &gt; 1500mm]</t>
        </is>
      </c>
      <c r="O161" s="223" t="inlineStr">
        <is>
          <t>CST_SUP_PREFERRED_SUPPLIER_TXT</t>
        </is>
      </c>
      <c r="P161" s="223" t="inlineStr">
        <is>
          <t>CST_SUP_PROCUREMENT_LEAD_TIME_DAYS</t>
        </is>
      </c>
      <c r="Q161" s="223" t="inlineStr">
        <is>
          <t>Max 1500mm per SMACNA. One per terminal.</t>
        </is>
      </c>
      <c r="R161" s="223" t="inlineStr"/>
    </row>
    <row r="162">
      <c r="A162" s="223" t="inlineStr">
        <is>
          <t>7.3.4</t>
        </is>
      </c>
      <c r="B162" s="223" t="inlineStr">
        <is>
          <t>[TYPE] [SIZE]mm x [SIZE]mm supply/return air grille/diffuser/louvre complete with opposed blade damper and all accessories</t>
        </is>
      </c>
      <c r="C162" s="223" t="inlineStr">
        <is>
          <t>No.</t>
        </is>
      </c>
      <c r="D162" s="223" t="inlineStr">
        <is>
          <t>BOQ-HVC-AirTerminals — Count</t>
        </is>
      </c>
      <c r="E162" s="223" t="inlineStr">
        <is>
          <t>BOQ-HVC-AirTerminals — Count</t>
        </is>
      </c>
      <c r="F162" s="229" t="inlineStr">
        <is>
          <t>ASS_CST_UNIT_PRICE_UGX_NR</t>
        </is>
      </c>
      <c r="G162" s="229" t="inlineStr">
        <is>
          <t>if(ASS_CST_UNIT_PRICE_UGX_NR&lt;&gt;0,ASS_CST_UNIT_PRICE_UGX_NR,"")</t>
        </is>
      </c>
      <c r="H162" s="224" t="inlineStr">
        <is>
          <t>if(and(BOQ-HVC-AirTerminals — Count&lt;&gt;0,ASS_CST_UNIT_PRICE_UGX_NR&lt;&gt;0),BOQ-HVC-AirTerminals — Count*ASS_CST_UNIT_PRICE_UGX_NR,"")</t>
        </is>
      </c>
      <c r="I162" s="223" t="inlineStr">
        <is>
          <t>Ducts/Flex Ducts/Air Terminals</t>
        </is>
      </c>
      <c r="J162" s="223" t="inlineStr">
        <is>
          <t>BOQ-HVC-Ducts</t>
        </is>
      </c>
      <c r="K162" s="223" t="inlineStr">
        <is>
          <t>"if(HVC_TERMINAL_TYPE_TXT&lt;&gt;"",HVC_TERMINAL_TYPE_TXT,"Supply grille") + " " + if(HVC_DCT_SZ_W_MM&lt;&gt;"",HVC_DCT_SZ_W_MM+"x","") + if(HVC_DCT_SZ_H_MM&lt;&gt;"",HVC_DCT_SZ_H_MM+"mm ","") + "complete with OBD and accessories."</t>
        </is>
      </c>
      <c r="L162" s="223" t="inlineStr">
        <is>
          <t>HVC_TERMINAL_TYPE_TXT, HVC_DCT_SZ_W_MM, HVC_DCT_SZ_H_MM</t>
        </is>
      </c>
      <c r="M162" s="223" t="inlineStr">
        <is>
          <t>BOQ-HVC-AirTerminals</t>
        </is>
      </c>
      <c r="N162" s="223" t="inlineStr">
        <is>
          <t>HVC_DCT_TERMINAL_SOUND_DB_NR &gt; 35 → [!NOISE]</t>
        </is>
      </c>
      <c r="O162" s="223" t="inlineStr">
        <is>
          <t>CST_SUP_PREFERRED_SUPPLIER_TXT</t>
        </is>
      </c>
      <c r="P162" s="223" t="inlineStr">
        <is>
          <t>CST_SUP_PROCUREMENT_LEAD_TIME_DAYS</t>
        </is>
      </c>
      <c r="Q162" s="223" t="inlineStr">
        <is>
          <t>Group by type and size.</t>
        </is>
      </c>
      <c r="R162" s="223" t="inlineStr"/>
    </row>
    <row r="163">
      <c r="A163" s="223" t="inlineStr"/>
      <c r="B163" s="223" t="inlineStr"/>
      <c r="C163" s="223" t="inlineStr"/>
      <c r="D163" s="223" t="inlineStr"/>
      <c r="E163" s="223" t="n"/>
      <c r="F163" s="223" t="inlineStr"/>
      <c r="G163" s="223" t="n"/>
      <c r="H163" s="223" t="n"/>
      <c r="I163" s="223" t="inlineStr"/>
      <c r="J163" s="223" t="inlineStr"/>
      <c r="K163" s="223" t="inlineStr"/>
      <c r="L163" s="223" t="inlineStr"/>
      <c r="M163" s="223" t="inlineStr"/>
      <c r="N163" s="223" t="inlineStr"/>
      <c r="O163" s="223" t="inlineStr">
        <is>
          <t>CST_SUP_PREFERRED_SUPPLIER_TXT</t>
        </is>
      </c>
      <c r="P163" s="223" t="inlineStr">
        <is>
          <t>CST_SUP_PROCUREMENT_LEAD_TIME_DAYS</t>
        </is>
      </c>
      <c r="Q163" s="223" t="inlineStr"/>
      <c r="R163" s="223" t="inlineStr"/>
    </row>
    <row r="164">
      <c r="A164" s="265" t="inlineStr">
        <is>
          <t>BILL No.8  —  LIFT INSTALLATIONS</t>
        </is>
      </c>
      <c r="B164" s="269" t="n"/>
      <c r="C164" s="269" t="n"/>
      <c r="D164" s="269" t="n"/>
      <c r="E164" s="269" t="n"/>
      <c r="F164" s="269" t="n"/>
      <c r="G164" s="269" t="n"/>
      <c r="H164" s="269" t="n"/>
      <c r="I164" s="269" t="n"/>
      <c r="J164" s="269" t="n"/>
      <c r="K164" s="269" t="n"/>
      <c r="L164" s="269" t="n"/>
      <c r="M164" s="269" t="n"/>
      <c r="N164" s="269" t="n"/>
      <c r="O164" s="269" t="n"/>
      <c r="P164" s="269" t="n"/>
      <c r="Q164" s="269" t="n"/>
      <c r="R164" s="270" t="n"/>
    </row>
    <row r="165">
      <c r="A165" s="223" t="inlineStr">
        <is>
          <t>Preamble: Provide and install [NR] lifts all as described in the Specifications and Drawings. All works to BS EN 81-20 and Uganda Government Lift Inspector requirements. Include all builder's works, pit ladder, machine room, and fireman's switch. KCCA/Government lift inspection certificate required before commissioning.</t>
        </is>
      </c>
      <c r="B165" s="223" t="inlineStr"/>
      <c r="C165" s="223" t="inlineStr"/>
      <c r="D165" s="223" t="inlineStr"/>
      <c r="E165" s="223" t="n"/>
      <c r="F165" s="223" t="inlineStr"/>
      <c r="G165" s="223" t="n"/>
      <c r="H165" s="223" t="n"/>
      <c r="I165" s="223" t="inlineStr"/>
      <c r="J165" s="223" t="inlineStr"/>
      <c r="K165" s="223" t="inlineStr"/>
      <c r="L165" s="223" t="inlineStr"/>
      <c r="M165" s="223" t="inlineStr"/>
      <c r="N165" s="223" t="inlineStr"/>
      <c r="O165" s="223" t="inlineStr">
        <is>
          <t>CST_SUP_PREFERRED_SUPPLIER_TXT</t>
        </is>
      </c>
      <c r="P165" s="223" t="inlineStr">
        <is>
          <t>CST_SUP_PROCUREMENT_LEAD_TIME_DAYS</t>
        </is>
      </c>
      <c r="Q165" s="223" t="inlineStr"/>
      <c r="R165" s="223" t="inlineStr"/>
    </row>
    <row r="166">
      <c r="A166" s="223" t="inlineStr">
        <is>
          <t>8.1  PASSENGER &amp; GOODS LIFTS</t>
        </is>
      </c>
      <c r="B166" s="223" t="inlineStr"/>
      <c r="C166" s="223" t="inlineStr"/>
      <c r="D166" s="223" t="inlineStr"/>
      <c r="E166" s="223" t="n"/>
      <c r="F166" s="223" t="inlineStr"/>
      <c r="G166" s="223" t="n"/>
      <c r="H166" s="223" t="n"/>
      <c r="I166" s="223" t="inlineStr"/>
      <c r="J166" s="223" t="inlineStr"/>
      <c r="K166" s="223" t="inlineStr"/>
      <c r="L166" s="223" t="inlineStr"/>
      <c r="M166" s="223" t="inlineStr"/>
      <c r="N166" s="223" t="inlineStr"/>
      <c r="O166" s="223" t="inlineStr">
        <is>
          <t>CST_SUP_PREFERRED_SUPPLIER_TXT</t>
        </is>
      </c>
      <c r="P166" s="223" t="inlineStr">
        <is>
          <t>CST_SUP_PROCUREMENT_LEAD_TIME_DAYS</t>
        </is>
      </c>
      <c r="Q166" s="223" t="inlineStr"/>
      <c r="R166" s="223" t="inlineStr"/>
    </row>
    <row r="167">
      <c r="A167" s="223" t="inlineStr">
        <is>
          <t>8.1.1</t>
        </is>
      </c>
      <c r="B167" s="223" t="inlineStr">
        <is>
          <t>[BRAND] [CAPACITY]kg capacity [STOPS]-stop passenger lift, [SPEED]m/s, [DRIVE] drive, [FINISHES] car interior finish, complete with landing doors, controls, emergency phone, and all accessories as specification</t>
        </is>
      </c>
      <c r="C167" s="223" t="inlineStr">
        <is>
          <t>No.</t>
        </is>
      </c>
      <c r="D167" s="223" t="inlineStr">
        <is>
          <t>BOQ-LIFT-Equipment — Count</t>
        </is>
      </c>
      <c r="E167" s="223" t="inlineStr">
        <is>
          <t>BOQ-LIFT-Equipment — Count</t>
        </is>
      </c>
      <c r="F167" s="229" t="inlineStr">
        <is>
          <t>ASS_CST_UNIT_PRICE_UGX_NR</t>
        </is>
      </c>
      <c r="G167" s="229" t="inlineStr">
        <is>
          <t>if(ASS_CST_UNIT_PRICE_UGX_NR&lt;&gt;0,ASS_CST_UNIT_PRICE_UGX_NR,"")</t>
        </is>
      </c>
      <c r="H167" s="224" t="inlineStr">
        <is>
          <t>if(and(BOQ-LIFT-Equipment — Count&lt;&gt;0,ASS_CST_UNIT_PRICE_UGX_NR&lt;&gt;0),BOQ-LIFT-Equipment — Count*ASS_CST_UNIT_PRICE_UGX_NR,"")</t>
        </is>
      </c>
      <c r="I167" s="223" t="inlineStr">
        <is>
          <t>Specialty Equipment</t>
        </is>
      </c>
      <c r="J167" s="223" t="inlineStr">
        <is>
          <t>BOQ-LIFT-Equipment</t>
        </is>
      </c>
      <c r="K167" s="223" t="inlineStr">
        <is>
          <t>"if(ASS_MANUFACTURER_TXT&lt;&gt;"",ASS_MANUFACTURER_TXT,"Otis/KONE or equal") + " " + if(ASS_CAPACITY_TXT&lt;&gt;"",ASS_CAPACITY_TXT,"1000kg") + " passenger lift, " + if(ASS_DESCRIPTION_TXT&lt;&gt;"",ASS_DESCRIPTION_TXT,"") + " complete with all accessories and controls."</t>
        </is>
      </c>
      <c r="L167" s="223" t="inlineStr">
        <is>
          <t>ASS_MANUFACTURER_TXT, ASS_CAPACITY_TXT, ASS_DESCRIPTION_TXT</t>
        </is>
      </c>
      <c r="M167" s="223" t="inlineStr">
        <is>
          <t>BOQ-LIFT-Equipment</t>
        </is>
      </c>
      <c r="N167" s="223" t="inlineStr"/>
      <c r="O167" s="223" t="inlineStr">
        <is>
          <t>CST_SUP_PREFERRED_SUPPLIER_TXT</t>
        </is>
      </c>
      <c r="P167" s="223" t="inlineStr">
        <is>
          <t>CST_SUP_PROCUREMENT_LEAD_TIME_DAYS</t>
        </is>
      </c>
      <c r="Q167" s="223" t="inlineStr">
        <is>
          <t>Uganda: 1000kg (13 person) standard. BS EN 81-20.</t>
        </is>
      </c>
      <c r="R167" s="223" t="inlineStr"/>
    </row>
    <row r="168">
      <c r="A168" s="223" t="inlineStr">
        <is>
          <t>8.1.2</t>
        </is>
      </c>
      <c r="B168" s="223" t="inlineStr">
        <is>
          <t>Voltage stabiliser [KVA]kVA for lift power supply complete with all connections and accessories</t>
        </is>
      </c>
      <c r="C168" s="223" t="inlineStr">
        <is>
          <t>No.</t>
        </is>
      </c>
      <c r="D168" s="223" t="inlineStr">
        <is>
          <t>BOQ-LIFT-VoltageStabiliser — Count</t>
        </is>
      </c>
      <c r="E168" s="223" t="inlineStr">
        <is>
          <t>BOQ-LIFT-VoltageStabiliser — Count</t>
        </is>
      </c>
      <c r="F168" s="229" t="inlineStr">
        <is>
          <t>ASS_CST_UNIT_PRICE_UGX_NR</t>
        </is>
      </c>
      <c r="G168" s="229" t="inlineStr">
        <is>
          <t>if(ASS_CST_UNIT_PRICE_UGX_NR&lt;&gt;0,ASS_CST_UNIT_PRICE_UGX_NR,"")</t>
        </is>
      </c>
      <c r="H168" s="224" t="inlineStr">
        <is>
          <t>if(and(BOQ-LIFT-VoltageStabiliser — Count&lt;&gt;0,ASS_CST_UNIT_PRICE_UGX_NR&lt;&gt;0),BOQ-LIFT-VoltageStabiliser — Count*ASS_CST_UNIT_PRICE_UGX_NR,"")</t>
        </is>
      </c>
      <c r="I168" s="223" t="inlineStr">
        <is>
          <t>Specialty Equipment</t>
        </is>
      </c>
      <c r="J168" s="223" t="inlineStr">
        <is>
          <t>BOQ-LIFT-Equipment</t>
        </is>
      </c>
      <c r="K168" s="223" t="inlineStr">
        <is>
          <t>"if(ASS_CAPACITY_TXT&lt;&gt;"",ASS_CAPACITY_TXT,"15kVA") + " voltage stabiliser for lift power supply complete with connections."</t>
        </is>
      </c>
      <c r="L168" s="223" t="inlineStr">
        <is>
          <t>ASS_CAPACITY_TXT, ASS_DESCRIPTION_TXT</t>
        </is>
      </c>
      <c r="M168" s="223" t="inlineStr">
        <is>
          <t>BOQ-LIFT-Equipment</t>
        </is>
      </c>
      <c r="N168" s="223" t="inlineStr"/>
      <c r="O168" s="223" t="inlineStr">
        <is>
          <t>CST_SUP_PREFERRED_SUPPLIER_TXT</t>
        </is>
      </c>
      <c r="P168" s="223" t="inlineStr">
        <is>
          <t>CST_SUP_PROCUREMENT_LEAD_TIME_DAYS</t>
        </is>
      </c>
      <c r="Q168" s="223" t="inlineStr">
        <is>
          <t>Uganda: UMEME voltage fluctuation mitigation.</t>
        </is>
      </c>
      <c r="R168" s="223" t="inlineStr"/>
    </row>
    <row r="169">
      <c r="A169" s="223" t="inlineStr">
        <is>
          <t>8.1.3</t>
        </is>
      </c>
      <c r="B169" s="223" t="inlineStr">
        <is>
          <t>Fireman's switch and emergency recall controls complete with all accessories</t>
        </is>
      </c>
      <c r="C169" s="223" t="inlineStr">
        <is>
          <t>No.</t>
        </is>
      </c>
      <c r="D169" s="223" t="inlineStr">
        <is>
          <t>BOQ-LIFT-Equipment</t>
        </is>
      </c>
      <c r="E169" s="223" t="inlineStr">
        <is>
          <t>BOQ-LIFT-Equipment</t>
        </is>
      </c>
      <c r="F169" s="229" t="inlineStr">
        <is>
          <t>ASS_CST_UNIT_PRICE_UGX_NR</t>
        </is>
      </c>
      <c r="G169" s="229" t="inlineStr">
        <is>
          <t>if(ASS_CST_UNIT_PRICE_UGX_NR&lt;&gt;0,ASS_CST_UNIT_PRICE_UGX_NR,"")</t>
        </is>
      </c>
      <c r="H169" s="224" t="inlineStr">
        <is>
          <t>if(and(BOQ-LIFT-Equipment&lt;&gt;0,ASS_CST_UNIT_PRICE_UGX_NR&lt;&gt;0),BOQ-LIFT-Equipment*ASS_CST_UNIT_PRICE_UGX_NR,"")</t>
        </is>
      </c>
      <c r="I169" s="223" t="inlineStr">
        <is>
          <t>Specialty Equipment</t>
        </is>
      </c>
      <c r="J169" s="223" t="inlineStr">
        <is>
          <t>BOQ-LIFT-Equipment</t>
        </is>
      </c>
      <c r="K169" s="223" t="inlineStr">
        <is>
          <t>"Fireman's switch and emergency recall controls complete with accessories."</t>
        </is>
      </c>
      <c r="L169" s="223" t="inlineStr">
        <is>
          <t>ASS_DESCRIPTION_TXT</t>
        </is>
      </c>
      <c r="M169" s="223" t="inlineStr">
        <is>
          <t>BOQ-LIFT-Equipment</t>
        </is>
      </c>
      <c r="N169" s="223" t="inlineStr"/>
      <c r="O169" s="223" t="inlineStr">
        <is>
          <t>CST_SUP_PREFERRED_SUPPLIER_TXT</t>
        </is>
      </c>
      <c r="P169" s="223" t="inlineStr">
        <is>
          <t>CST_SUP_PROCUREMENT_LEAD_TIME_DAYS</t>
        </is>
      </c>
      <c r="Q169" s="223" t="inlineStr">
        <is>
          <t>Required by Uganda NBC fire code.</t>
        </is>
      </c>
      <c r="R169" s="223" t="inlineStr"/>
    </row>
    <row r="170">
      <c r="A170" s="223" t="inlineStr">
        <is>
          <t>8.1.4</t>
        </is>
      </c>
      <c r="B170" s="223" t="inlineStr">
        <is>
          <t>Builder's work in connection with lift installation including pit, shaft, machine room slab penetrations, fixings, and making good</t>
        </is>
      </c>
      <c r="C170" s="223" t="inlineStr">
        <is>
          <t>Item</t>
        </is>
      </c>
      <c r="D170" s="223" t="inlineStr">
        <is>
          <t>Manual</t>
        </is>
      </c>
      <c r="E170" s="223" t="n"/>
      <c r="F170" s="229" t="inlineStr">
        <is>
          <t>ASS_CST_UNIT_PRICE_UGX_NR</t>
        </is>
      </c>
      <c r="G170" s="229" t="inlineStr">
        <is>
          <t>if(ASS_CST_UNIT_PRICE_UGX_NR&lt;&gt;0,ASS_CST_UNIT_PRICE_UGX_NR,"")</t>
        </is>
      </c>
      <c r="H170" s="224" t="inlineStr">
        <is>
          <t>if(and(Manual&lt;&gt;0,ASS_CST_UNIT_PRICE_UGX_NR&lt;&gt;0),Manual*ASS_CST_UNIT_PRICE_UGX_NR,"")</t>
        </is>
      </c>
      <c r="I170" s="223" t="inlineStr">
        <is>
          <t>Specialty Equipment</t>
        </is>
      </c>
      <c r="J170" s="223" t="inlineStr">
        <is>
          <t>BOQ-LIFT-Equipment</t>
        </is>
      </c>
      <c r="K170" s="223" t="inlineStr">
        <is>
          <t>"Builder's work in connection with lift installation."</t>
        </is>
      </c>
      <c r="L170" s="223" t="inlineStr"/>
      <c r="M170" s="223" t="inlineStr">
        <is>
          <t>BOQ-LIFT-BuildersWork</t>
        </is>
      </c>
      <c r="N170" s="223" t="inlineStr"/>
      <c r="O170" s="223" t="inlineStr">
        <is>
          <t>CST_SUP_PREFERRED_SUPPLIER_TXT</t>
        </is>
      </c>
      <c r="P170" s="223" t="inlineStr">
        <is>
          <t>CST_SUP_PROCUREMENT_LEAD_TIME_DAYS</t>
        </is>
      </c>
      <c r="Q170" s="223" t="inlineStr">
        <is>
          <t>Allow 5–8% of lift value.</t>
        </is>
      </c>
      <c r="R170" s="223" t="inlineStr"/>
    </row>
    <row r="171">
      <c r="A171" s="223" t="inlineStr">
        <is>
          <t>8.1.5</t>
        </is>
      </c>
      <c r="B171" s="223" t="inlineStr">
        <is>
          <t>Government lift inspector initial commissioning inspection fee and certification</t>
        </is>
      </c>
      <c r="C171" s="223" t="inlineStr">
        <is>
          <t>Item</t>
        </is>
      </c>
      <c r="D171" s="223" t="inlineStr">
        <is>
          <t>Manual</t>
        </is>
      </c>
      <c r="E171" s="223" t="n"/>
      <c r="F171" s="229" t="inlineStr">
        <is>
          <t>ASS_CST_UNIT_PRICE_UGX_NR</t>
        </is>
      </c>
      <c r="G171" s="229" t="inlineStr">
        <is>
          <t>if(ASS_CST_UNIT_PRICE_UGX_NR&lt;&gt;0,ASS_CST_UNIT_PRICE_UGX_NR,"")</t>
        </is>
      </c>
      <c r="H171" s="224" t="inlineStr">
        <is>
          <t>if(and(Manual&lt;&gt;0,ASS_CST_UNIT_PRICE_UGX_NR&lt;&gt;0),Manual*ASS_CST_UNIT_PRICE_UGX_NR,"")</t>
        </is>
      </c>
      <c r="I171" s="223" t="inlineStr">
        <is>
          <t>Specialty Equipment</t>
        </is>
      </c>
      <c r="J171" s="223" t="inlineStr">
        <is>
          <t>BOQ-LIFT-Equipment</t>
        </is>
      </c>
      <c r="K171" s="223" t="inlineStr">
        <is>
          <t>"Government lift inspector commissioning fee."</t>
        </is>
      </c>
      <c r="L171" s="223" t="inlineStr"/>
      <c r="M171" s="223" t="inlineStr">
        <is>
          <t>BOQ-LIFT-Inspection</t>
        </is>
      </c>
      <c r="N171" s="223" t="inlineStr"/>
      <c r="O171" s="223" t="inlineStr">
        <is>
          <t>CST_SUP_PREFERRED_SUPPLIER_TXT</t>
        </is>
      </c>
      <c r="P171" s="223" t="inlineStr">
        <is>
          <t>CST_SUP_PROCUREMENT_LEAD_TIME_DAYS</t>
        </is>
      </c>
      <c r="Q171" s="223" t="inlineStr">
        <is>
          <t>Uganda: Director of Industrial Training. Annual inspection thereafter.</t>
        </is>
      </c>
      <c r="R171" s="223" t="inlineStr"/>
    </row>
    <row r="172">
      <c r="A172" s="223" t="inlineStr"/>
      <c r="B172" s="223" t="inlineStr"/>
      <c r="C172" s="223" t="inlineStr"/>
      <c r="D172" s="223" t="inlineStr"/>
      <c r="E172" s="223" t="n"/>
      <c r="F172" s="223" t="inlineStr"/>
      <c r="G172" s="223" t="n"/>
      <c r="H172" s="223" t="n"/>
      <c r="I172" s="223" t="inlineStr"/>
      <c r="J172" s="223" t="inlineStr"/>
      <c r="K172" s="223" t="inlineStr"/>
      <c r="L172" s="223" t="inlineStr"/>
      <c r="M172" s="223" t="inlineStr"/>
      <c r="N172" s="223" t="inlineStr"/>
      <c r="O172" s="223" t="inlineStr">
        <is>
          <t>CST_SUP_PREFERRED_SUPPLIER_TXT</t>
        </is>
      </c>
      <c r="P172" s="223" t="inlineStr">
        <is>
          <t>CST_SUP_PROCUREMENT_LEAD_TIME_DAYS</t>
        </is>
      </c>
      <c r="Q172" s="223" t="inlineStr"/>
      <c r="R172" s="223" t="inlineStr"/>
    </row>
    <row r="173">
      <c r="A173" s="265" t="inlineStr">
        <is>
          <t>BILL No.9  —  ICT &amp; SPECIALIST SYSTEMS</t>
        </is>
      </c>
      <c r="B173" s="269" t="n"/>
      <c r="C173" s="269" t="n"/>
      <c r="D173" s="269" t="n"/>
      <c r="E173" s="269" t="n"/>
      <c r="F173" s="269" t="n"/>
      <c r="G173" s="269" t="n"/>
      <c r="H173" s="269" t="n"/>
      <c r="I173" s="269" t="n"/>
      <c r="J173" s="269" t="n"/>
      <c r="K173" s="269" t="n"/>
      <c r="L173" s="269" t="n"/>
      <c r="M173" s="269" t="n"/>
      <c r="N173" s="269" t="n"/>
      <c r="O173" s="269" t="n"/>
      <c r="P173" s="269" t="n"/>
      <c r="Q173" s="269" t="n"/>
      <c r="R173" s="270" t="n"/>
    </row>
    <row r="174">
      <c r="A174" s="223" t="inlineStr">
        <is>
          <t>Preamble: Provide all materials, install, connect and set to work the following ICT, BMS, nurse call, and specialist systems all as described in the Specifications and Drawings. All structured cabling to TIA-568-C. BACnet/IP protocol for BMS. CCTV NVR/DVR 30-day retention minimum.</t>
        </is>
      </c>
      <c r="B174" s="223" t="inlineStr"/>
      <c r="C174" s="223" t="inlineStr"/>
      <c r="D174" s="223" t="inlineStr"/>
      <c r="E174" s="223" t="n"/>
      <c r="F174" s="223" t="inlineStr"/>
      <c r="G174" s="223" t="n"/>
      <c r="H174" s="223" t="n"/>
      <c r="I174" s="223" t="inlineStr"/>
      <c r="J174" s="223" t="inlineStr"/>
      <c r="K174" s="223" t="inlineStr"/>
      <c r="L174" s="223" t="inlineStr"/>
      <c r="M174" s="223" t="inlineStr"/>
      <c r="N174" s="223" t="inlineStr"/>
      <c r="O174" s="223" t="inlineStr">
        <is>
          <t>CST_SUP_PREFERRED_SUPPLIER_TXT</t>
        </is>
      </c>
      <c r="P174" s="223" t="inlineStr">
        <is>
          <t>CST_SUP_PROCUREMENT_LEAD_TIME_DAYS</t>
        </is>
      </c>
      <c r="Q174" s="223" t="inlineStr"/>
      <c r="R174" s="223" t="inlineStr"/>
    </row>
    <row r="175">
      <c r="A175" s="223" t="inlineStr">
        <is>
          <t>9.1  STRUCTURED DATA &amp; VOICE CABLING</t>
        </is>
      </c>
      <c r="B175" s="223" t="inlineStr"/>
      <c r="C175" s="223" t="inlineStr"/>
      <c r="D175" s="223" t="inlineStr"/>
      <c r="E175" s="223" t="n"/>
      <c r="F175" s="223" t="inlineStr"/>
      <c r="G175" s="223" t="n"/>
      <c r="H175" s="223" t="n"/>
      <c r="I175" s="223" t="inlineStr"/>
      <c r="J175" s="223" t="inlineStr"/>
      <c r="K175" s="223" t="inlineStr"/>
      <c r="L175" s="223" t="inlineStr"/>
      <c r="M175" s="223" t="inlineStr"/>
      <c r="N175" s="223" t="inlineStr"/>
      <c r="O175" s="223" t="inlineStr">
        <is>
          <t>CST_SUP_PREFERRED_SUPPLIER_TXT</t>
        </is>
      </c>
      <c r="P175" s="223" t="inlineStr">
        <is>
          <t>CST_SUP_PROCUREMENT_LEAD_TIME_DAYS</t>
        </is>
      </c>
      <c r="Q175" s="223" t="inlineStr"/>
      <c r="R175" s="223" t="inlineStr"/>
    </row>
    <row r="176">
      <c r="A176" s="223" t="inlineStr">
        <is>
          <t>9.1.1</t>
        </is>
      </c>
      <c r="B176" s="223" t="inlineStr">
        <is>
          <t>Cat [RATING] data outlet points in [CDT_SZ]mm heavy gauge PVC [METHOD] conduit, [MFR] keystone jack, complete with faceplates and all accessories</t>
        </is>
      </c>
      <c r="C176" s="223" t="inlineStr">
        <is>
          <t>No.</t>
        </is>
      </c>
      <c r="D176" s="223" t="inlineStr">
        <is>
          <t>BOQ-ICT-DataOutlets — Count</t>
        </is>
      </c>
      <c r="E176" s="223" t="inlineStr">
        <is>
          <t>BOQ-ICT-DataOutlets — Count</t>
        </is>
      </c>
      <c r="F176" s="229" t="inlineStr">
        <is>
          <t>ASS_CST_UNIT_PRICE_UGX_NR</t>
        </is>
      </c>
      <c r="G176" s="229" t="inlineStr">
        <is>
          <t>if(ASS_CST_UNIT_PRICE_UGX_NR&lt;&gt;0,ASS_CST_UNIT_PRICE_UGX_NR,"")</t>
        </is>
      </c>
      <c r="H176" s="224" t="inlineStr">
        <is>
          <t>if(and(BOQ-ICT-DataOutlets — Count&lt;&gt;0,ASS_CST_UNIT_PRICE_UGX_NR&lt;&gt;0),BOQ-ICT-DataOutlets — Count*ASS_CST_UNIT_PRICE_UGX_NR,"")</t>
        </is>
      </c>
      <c r="I176" s="223" t="inlineStr">
        <is>
          <t>Data/Telephone Devices</t>
        </is>
      </c>
      <c r="J176" s="223" t="inlineStr">
        <is>
          <t>BOQ-ICT-DataOutlets</t>
        </is>
      </c>
      <c r="K176" s="223" t="inlineStr">
        <is>
          <t>"Cat " + if(ICT_CAT_RATING_TXT&lt;&gt;"",ICT_CAT_RATING_TXT,"6") + " data outlet in " + if(ELC_CDT_SZ_MM&lt;&gt;"",ELC_CDT_SZ_MM+"mm","25mm") + " PVC " + if(ELC_CDT_INSTALL_METHOD_TXT&lt;&gt;"",ELC_CDT_INSTALL_METHOD_TXT,"concealed") + " conduit, " + if(ASS_MANUFACTURER_TXT&lt;&gt;"",ASS_MANUFACTURER_TXT,"Panduit or equal") + " complete with faceplate and accessories."</t>
        </is>
      </c>
      <c r="L176" s="223" t="inlineStr">
        <is>
          <t>ICT_CAT_RATING_TXT, ELC_CDT_SZ_MM, ELC_CDT_INSTALL_METHOD_TXT, ASS_MANUFACTURER_TXT</t>
        </is>
      </c>
      <c r="M176" s="223" t="inlineStr">
        <is>
          <t>BOQ-ICT-DataOutlets</t>
        </is>
      </c>
      <c r="N176" s="223" t="inlineStr"/>
      <c r="O176" s="223" t="inlineStr">
        <is>
          <t>CST_SUP_PREFERRED_SUPPLIER_TXT</t>
        </is>
      </c>
      <c r="P176" s="223" t="inlineStr">
        <is>
          <t>CST_SUP_PROCUREMENT_LEAD_TIME_DAYS</t>
        </is>
      </c>
      <c r="Q176" s="223" t="inlineStr">
        <is>
          <t>TIA-568-C.2. Group by floor.</t>
        </is>
      </c>
      <c r="R176" s="223" t="inlineStr"/>
    </row>
    <row r="177">
      <c r="A177" s="223" t="inlineStr">
        <is>
          <t>9.1.2</t>
        </is>
      </c>
      <c r="B177" s="223" t="inlineStr">
        <is>
          <t>Telephone outlet points in [CDT_SZ]mm heavy gauge PVC [METHOD] conduit complete with faceplate and all accessories</t>
        </is>
      </c>
      <c r="C177" s="223" t="inlineStr">
        <is>
          <t>No.</t>
        </is>
      </c>
      <c r="D177" s="223" t="inlineStr">
        <is>
          <t>BOQ-ICT-DataOutlets — Count (Tel)</t>
        </is>
      </c>
      <c r="E177" s="223" t="inlineStr">
        <is>
          <t>BOQ-ICT-DataOutlets — Count (Tel)</t>
        </is>
      </c>
      <c r="F177" s="229" t="inlineStr">
        <is>
          <t>ASS_CST_UNIT_PRICE_UGX_NR</t>
        </is>
      </c>
      <c r="G177" s="229" t="inlineStr">
        <is>
          <t>if(ASS_CST_UNIT_PRICE_UGX_NR&lt;&gt;0,ASS_CST_UNIT_PRICE_UGX_NR,"")</t>
        </is>
      </c>
      <c r="H177" s="224" t="inlineStr">
        <is>
          <t>if(and(BOQ-ICT-DataOutlets — Count (Tel)&lt;&gt;0,ASS_CST_UNIT_PRICE_UGX_NR&lt;&gt;0),BOQ-ICT-DataOutlets — Count (Tel)*ASS_CST_UNIT_PRICE_UGX_NR,"")</t>
        </is>
      </c>
      <c r="I177" s="223" t="inlineStr">
        <is>
          <t>Data/Telephone Devices</t>
        </is>
      </c>
      <c r="J177" s="223" t="inlineStr">
        <is>
          <t>BOQ-ICT-DataOutlets</t>
        </is>
      </c>
      <c r="K177" s="223" t="inlineStr">
        <is>
          <t>"Telephone outlet in " + if(ELC_CDT_SZ_MM&lt;&gt;"",ELC_CDT_SZ_MM+"mm","20mm") + " PVC conduit complete with faceplate."</t>
        </is>
      </c>
      <c r="L177" s="223" t="inlineStr">
        <is>
          <t>ELC_CDT_SZ_MM, ICT_OUTLET_TYPE_TXT</t>
        </is>
      </c>
      <c r="M177" s="223" t="inlineStr">
        <is>
          <t>BOQ-ICT-DataOutlets</t>
        </is>
      </c>
      <c r="N177" s="223" t="inlineStr"/>
      <c r="O177" s="223" t="inlineStr">
        <is>
          <t>CST_SUP_PREFERRED_SUPPLIER_TXT</t>
        </is>
      </c>
      <c r="P177" s="223" t="inlineStr">
        <is>
          <t>CST_SUP_PROCUREMENT_LEAD_TIME_DAYS</t>
        </is>
      </c>
      <c r="Q177" s="223" t="inlineStr"/>
      <c r="R177" s="223" t="inlineStr"/>
    </row>
    <row r="178">
      <c r="A178" s="223" t="inlineStr">
        <is>
          <t>9.1.3</t>
        </is>
      </c>
      <c r="B178" s="223" t="inlineStr">
        <is>
          <t>[NR]-port network patch panel Cat [RATING] in [U]-U rack including all patch leads and accessories</t>
        </is>
      </c>
      <c r="C178" s="223" t="inlineStr">
        <is>
          <t>No.</t>
        </is>
      </c>
      <c r="D178" s="223" t="inlineStr">
        <is>
          <t>BOQ-ICT-PatchPanel — Count</t>
        </is>
      </c>
      <c r="E178" s="223" t="inlineStr">
        <is>
          <t>BOQ-ICT-PatchPanel — Count</t>
        </is>
      </c>
      <c r="F178" s="229" t="inlineStr">
        <is>
          <t>ASS_CST_UNIT_PRICE_UGX_NR</t>
        </is>
      </c>
      <c r="G178" s="229" t="inlineStr">
        <is>
          <t>if(ASS_CST_UNIT_PRICE_UGX_NR&lt;&gt;0,ASS_CST_UNIT_PRICE_UGX_NR,"")</t>
        </is>
      </c>
      <c r="H178" s="224" t="inlineStr">
        <is>
          <t>if(and(BOQ-ICT-PatchPanel — Count&lt;&gt;0,ASS_CST_UNIT_PRICE_UGX_NR&lt;&gt;0),BOQ-ICT-PatchPanel — Count*ASS_CST_UNIT_PRICE_UGX_NR,"")</t>
        </is>
      </c>
      <c r="I178" s="223" t="inlineStr">
        <is>
          <t>Data/Telephone Devices</t>
        </is>
      </c>
      <c r="J178" s="223" t="inlineStr">
        <is>
          <t>BOQ-ICT-DataOutlets</t>
        </is>
      </c>
      <c r="K178" s="223" t="inlineStr">
        <is>
          <t>"if(ICT_PORT_NR&lt;&gt;"",ICT_PORT_NR+"-port ","24-port ") + "patch panel Cat " + if(ICT_CAT_RATING_TXT&lt;&gt;"",ICT_CAT_RATING_TXT,"6") + " complete with patch leads."</t>
        </is>
      </c>
      <c r="L178" s="223" t="inlineStr">
        <is>
          <t>ICT_PORT_NR, ICT_CAT_RATING_TXT, ICT_PATCH_PANEL_TXT</t>
        </is>
      </c>
      <c r="M178" s="223" t="inlineStr">
        <is>
          <t>BOQ-ICT-PatchPanel</t>
        </is>
      </c>
      <c r="N178" s="223" t="inlineStr"/>
      <c r="O178" s="223" t="inlineStr">
        <is>
          <t>CST_SUP_PREFERRED_SUPPLIER_TXT</t>
        </is>
      </c>
      <c r="P178" s="223" t="inlineStr">
        <is>
          <t>CST_SUP_PROCUREMENT_LEAD_TIME_DAYS</t>
        </is>
      </c>
      <c r="Q178" s="223" t="inlineStr"/>
      <c r="R178" s="223" t="inlineStr"/>
    </row>
    <row r="179">
      <c r="A179" s="223" t="inlineStr">
        <is>
          <t>9.1.4</t>
        </is>
      </c>
      <c r="B179" s="223" t="inlineStr">
        <is>
          <t>[NR]-U network rack complete with PDU, cable management, blanking panels, and ventilated top panel</t>
        </is>
      </c>
      <c r="C179" s="223" t="inlineStr">
        <is>
          <t>No.</t>
        </is>
      </c>
      <c r="D179" s="223" t="inlineStr">
        <is>
          <t>BOQ-ICT-Rack — Count</t>
        </is>
      </c>
      <c r="E179" s="223" t="inlineStr">
        <is>
          <t>BOQ-ICT-Rack — Count</t>
        </is>
      </c>
      <c r="F179" s="229" t="inlineStr">
        <is>
          <t>ASS_CST_UNIT_PRICE_UGX_NR</t>
        </is>
      </c>
      <c r="G179" s="229" t="inlineStr">
        <is>
          <t>if(ASS_CST_UNIT_PRICE_UGX_NR&lt;&gt;0,ASS_CST_UNIT_PRICE_UGX_NR,"")</t>
        </is>
      </c>
      <c r="H179" s="224" t="inlineStr">
        <is>
          <t>if(and(BOQ-ICT-Rack — Count&lt;&gt;0,ASS_CST_UNIT_PRICE_UGX_NR&lt;&gt;0),BOQ-ICT-Rack — Count*ASS_CST_UNIT_PRICE_UGX_NR,"")</t>
        </is>
      </c>
      <c r="I179" s="223" t="inlineStr">
        <is>
          <t>Data/Telephone Devices</t>
        </is>
      </c>
      <c r="J179" s="223" t="inlineStr">
        <is>
          <t>BOQ-ICT-DataOutlets</t>
        </is>
      </c>
      <c r="K179" s="223" t="inlineStr">
        <is>
          <t>"if(ASS_DESCRIPTION_TXT&lt;&gt;"",ASS_DESCRIPTION_TXT,"19-inch") + " network rack complete with PDU, cable management and blanking."</t>
        </is>
      </c>
      <c r="L179" s="223" t="inlineStr">
        <is>
          <t>ASS_DESCRIPTION_TXT</t>
        </is>
      </c>
      <c r="M179" s="223" t="inlineStr">
        <is>
          <t>BOQ-ICT-Rack</t>
        </is>
      </c>
      <c r="N179" s="223" t="inlineStr"/>
      <c r="O179" s="223" t="inlineStr">
        <is>
          <t>CST_SUP_PREFERRED_SUPPLIER_TXT</t>
        </is>
      </c>
      <c r="P179" s="223" t="inlineStr">
        <is>
          <t>CST_SUP_PROCUREMENT_LEAD_TIME_DAYS</t>
        </is>
      </c>
      <c r="Q179" s="223" t="inlineStr"/>
      <c r="R179" s="223" t="inlineStr"/>
    </row>
    <row r="180">
      <c r="A180" s="223" t="inlineStr">
        <is>
          <t>9.2  BMS CONTROLS</t>
        </is>
      </c>
      <c r="B180" s="223" t="inlineStr"/>
      <c r="C180" s="223" t="inlineStr"/>
      <c r="D180" s="223" t="inlineStr"/>
      <c r="E180" s="223" t="n"/>
      <c r="F180" s="223" t="inlineStr"/>
      <c r="G180" s="223" t="n"/>
      <c r="H180" s="223" t="n"/>
      <c r="I180" s="223" t="inlineStr"/>
      <c r="J180" s="223" t="inlineStr"/>
      <c r="K180" s="223" t="inlineStr"/>
      <c r="L180" s="223" t="inlineStr"/>
      <c r="M180" s="223" t="inlineStr"/>
      <c r="N180" s="223" t="inlineStr"/>
      <c r="O180" s="223" t="inlineStr">
        <is>
          <t>CST_SUP_PREFERRED_SUPPLIER_TXT</t>
        </is>
      </c>
      <c r="P180" s="223" t="inlineStr">
        <is>
          <t>CST_SUP_PROCUREMENT_LEAD_TIME_DAYS</t>
        </is>
      </c>
      <c r="Q180" s="223" t="inlineStr"/>
      <c r="R180" s="223" t="inlineStr"/>
    </row>
    <row r="181">
      <c r="A181" s="223" t="inlineStr">
        <is>
          <t>9.2.1</t>
        </is>
      </c>
      <c r="B181" s="223" t="inlineStr">
        <is>
          <t>BMS [TYPE] controller [BACNET_ID], [PROTOCOL] protocol, [POINTS] I/O points, complete with power supply, housing, and all accessories</t>
        </is>
      </c>
      <c r="C181" s="223" t="inlineStr">
        <is>
          <t>No.</t>
        </is>
      </c>
      <c r="D181" s="223" t="inlineStr">
        <is>
          <t>BOQ-ICT-BMS — Count</t>
        </is>
      </c>
      <c r="E181" s="223" t="inlineStr">
        <is>
          <t>BOQ-ICT-BMS — Count</t>
        </is>
      </c>
      <c r="F181" s="229" t="inlineStr">
        <is>
          <t>ASS_CST_UNIT_PRICE_UGX_NR</t>
        </is>
      </c>
      <c r="G181" s="229" t="inlineStr">
        <is>
          <t>if(ASS_CST_UNIT_PRICE_UGX_NR&lt;&gt;0,ASS_CST_UNIT_PRICE_UGX_NR,"")</t>
        </is>
      </c>
      <c r="H181" s="224" t="inlineStr">
        <is>
          <t>if(and(BOQ-ICT-BMS — Count&lt;&gt;0,ASS_CST_UNIT_PRICE_UGX_NR&lt;&gt;0),BOQ-ICT-BMS — Count*ASS_CST_UNIT_PRICE_UGX_NR,"")</t>
        </is>
      </c>
      <c r="I181" s="223" t="inlineStr">
        <is>
          <t>Communication Devices</t>
        </is>
      </c>
      <c r="J181" s="223" t="inlineStr">
        <is>
          <t>BOQ-ICT-BMS</t>
        </is>
      </c>
      <c r="K181" s="223" t="inlineStr">
        <is>
          <t>"if(COM_C_DEV_TYPE_TXT&lt;&gt;"",COM_C_DEV_TYPE_TXT,"BMS controller") + " BACnet/IP, instance " + if(COM_C_DEV_BACNET_INSTANCE_INT&lt;&gt;"",COM_C_DEV_BACNET_INSTANCE_INT,"?") + " complete with I/O, power supply and housing."</t>
        </is>
      </c>
      <c r="L181" s="223" t="inlineStr">
        <is>
          <t>COM_C_DEV_TYPE_TXT, COM_C_DEV_BACNET_INSTANCE_INT, COM_C_NETWORK_ADDRESS_TXT</t>
        </is>
      </c>
      <c r="M181" s="223" t="inlineStr">
        <is>
          <t>BOQ-ICT-BMS</t>
        </is>
      </c>
      <c r="N181" s="223" t="inlineStr"/>
      <c r="O181" s="223" t="inlineStr">
        <is>
          <t>CST_SUP_PREFERRED_SUPPLIER_TXT</t>
        </is>
      </c>
      <c r="P181" s="223" t="inlineStr">
        <is>
          <t>CST_SUP_PROCUREMENT_LEAD_TIME_DAYS</t>
        </is>
      </c>
      <c r="Q181" s="223" t="inlineStr">
        <is>
          <t>Vendor: Honeywell, Siemens, Schneider or equal.</t>
        </is>
      </c>
      <c r="R181" s="223" t="inlineStr"/>
    </row>
    <row r="182">
      <c r="A182" s="223" t="inlineStr">
        <is>
          <t>9.2.2</t>
        </is>
      </c>
      <c r="B182" s="223" t="inlineStr">
        <is>
          <t>BMS field device [TYPE] sensor/actuator complete with wiring, mounting, and commissioning</t>
        </is>
      </c>
      <c r="C182" s="223" t="inlineStr">
        <is>
          <t>No.</t>
        </is>
      </c>
      <c r="D182" s="223" t="inlineStr">
        <is>
          <t>BOQ-ICT-BMS — Count (sensors)</t>
        </is>
      </c>
      <c r="E182" s="223" t="inlineStr">
        <is>
          <t>BOQ-ICT-BMS — Count (sensors)</t>
        </is>
      </c>
      <c r="F182" s="229" t="inlineStr">
        <is>
          <t>ASS_CST_UNIT_PRICE_UGX_NR</t>
        </is>
      </c>
      <c r="G182" s="229" t="inlineStr">
        <is>
          <t>if(ASS_CST_UNIT_PRICE_UGX_NR&lt;&gt;0,ASS_CST_UNIT_PRICE_UGX_NR,"")</t>
        </is>
      </c>
      <c r="H182" s="224" t="inlineStr">
        <is>
          <t>if(and(BOQ-ICT-BMS — Count (sensors)&lt;&gt;0,ASS_CST_UNIT_PRICE_UGX_NR&lt;&gt;0),BOQ-ICT-BMS — Count (sensors)*ASS_CST_UNIT_PRICE_UGX_NR,"")</t>
        </is>
      </c>
      <c r="I182" s="223" t="inlineStr">
        <is>
          <t>Communication Devices</t>
        </is>
      </c>
      <c r="J182" s="223" t="inlineStr">
        <is>
          <t>BOQ-ICT-BMS</t>
        </is>
      </c>
      <c r="K182" s="223" t="inlineStr">
        <is>
          <t>"BMS " + if(COM_C_DEV_TYPE_TXT&lt;&gt;"",COM_C_DEV_TYPE_TXT,"sensor") + " complete with wiring and commissioning."</t>
        </is>
      </c>
      <c r="L182" s="223" t="inlineStr">
        <is>
          <t>COM_C_DEV_TYPE_TXT, COM_C_MEAS_RANGE_TXT</t>
        </is>
      </c>
      <c r="M182" s="223" t="inlineStr">
        <is>
          <t>BOQ-ICT-BMS</t>
        </is>
      </c>
      <c r="N182" s="223" t="inlineStr"/>
      <c r="O182" s="223" t="inlineStr">
        <is>
          <t>CST_SUP_PREFERRED_SUPPLIER_TXT</t>
        </is>
      </c>
      <c r="P182" s="223" t="inlineStr">
        <is>
          <t>CST_SUP_PROCUREMENT_LEAD_TIME_DAYS</t>
        </is>
      </c>
      <c r="Q182" s="223" t="inlineStr"/>
      <c r="R182" s="223" t="inlineStr"/>
    </row>
    <row r="183">
      <c r="A183" s="223" t="inlineStr">
        <is>
          <t>9.2.3</t>
        </is>
      </c>
      <c r="B183" s="223" t="inlineStr">
        <is>
          <t>BMS workstation software licence, operator interface, and commissioning complete as specified</t>
        </is>
      </c>
      <c r="C183" s="223" t="inlineStr">
        <is>
          <t>Item</t>
        </is>
      </c>
      <c r="D183" s="223" t="inlineStr">
        <is>
          <t>Manual</t>
        </is>
      </c>
      <c r="E183" s="223" t="n"/>
      <c r="F183" s="229" t="inlineStr">
        <is>
          <t>ASS_CST_UNIT_PRICE_UGX_NR</t>
        </is>
      </c>
      <c r="G183" s="229" t="inlineStr">
        <is>
          <t>if(ASS_CST_UNIT_PRICE_UGX_NR&lt;&gt;0,ASS_CST_UNIT_PRICE_UGX_NR,"")</t>
        </is>
      </c>
      <c r="H183" s="224" t="inlineStr">
        <is>
          <t>if(and(Manual&lt;&gt;0,ASS_CST_UNIT_PRICE_UGX_NR&lt;&gt;0),Manual*ASS_CST_UNIT_PRICE_UGX_NR,"")</t>
        </is>
      </c>
      <c r="I183" s="223" t="inlineStr">
        <is>
          <t>Communication Devices</t>
        </is>
      </c>
      <c r="J183" s="223" t="inlineStr">
        <is>
          <t>BOQ-ICT-BMS</t>
        </is>
      </c>
      <c r="K183" s="223" t="inlineStr">
        <is>
          <t>"BMS operator workstation, software licence and commissioning."</t>
        </is>
      </c>
      <c r="L183" s="223" t="inlineStr"/>
      <c r="M183" s="223" t="inlineStr">
        <is>
          <t>BOQ-ICT-BMS</t>
        </is>
      </c>
      <c r="N183" s="223" t="inlineStr"/>
      <c r="O183" s="223" t="inlineStr">
        <is>
          <t>CST_SUP_PREFERRED_SUPPLIER_TXT</t>
        </is>
      </c>
      <c r="P183" s="223" t="inlineStr">
        <is>
          <t>CST_SUP_PROCUREMENT_LEAD_TIME_DAYS</t>
        </is>
      </c>
      <c r="Q183" s="223" t="inlineStr">
        <is>
          <t>1 per project.</t>
        </is>
      </c>
      <c r="R183" s="223" t="inlineStr"/>
    </row>
    <row r="184">
      <c r="A184" s="223" t="inlineStr">
        <is>
          <t>9.3  NURSE CALL SYSTEM (HEALTHCARE ONLY)</t>
        </is>
      </c>
      <c r="B184" s="223" t="inlineStr"/>
      <c r="C184" s="223" t="inlineStr"/>
      <c r="D184" s="223" t="inlineStr"/>
      <c r="E184" s="223" t="n"/>
      <c r="F184" s="223" t="inlineStr"/>
      <c r="G184" s="223" t="n"/>
      <c r="H184" s="223" t="n"/>
      <c r="I184" s="223" t="inlineStr"/>
      <c r="J184" s="223" t="inlineStr"/>
      <c r="K184" s="223" t="inlineStr"/>
      <c r="L184" s="223" t="inlineStr"/>
      <c r="M184" s="223" t="inlineStr"/>
      <c r="N184" s="223" t="inlineStr"/>
      <c r="O184" s="223" t="inlineStr">
        <is>
          <t>CST_SUP_PREFERRED_SUPPLIER_TXT</t>
        </is>
      </c>
      <c r="P184" s="223" t="inlineStr">
        <is>
          <t>CST_SUP_PROCUREMENT_LEAD_TIME_DAYS</t>
        </is>
      </c>
      <c r="Q184" s="223" t="inlineStr"/>
      <c r="R184" s="223" t="inlineStr"/>
    </row>
    <row r="185">
      <c r="A185" s="223" t="inlineStr">
        <is>
          <t>9.3.1</t>
        </is>
      </c>
      <c r="B185" s="223" t="inlineStr">
        <is>
          <t>Nurse call [TYPE] call point in ward/bed complete with pull cord, reset, zone indicator light, and all accessories connected to nurse call panel</t>
        </is>
      </c>
      <c r="C185" s="223" t="inlineStr">
        <is>
          <t>No.</t>
        </is>
      </c>
      <c r="D185" s="223" t="inlineStr">
        <is>
          <t>BOQ-ICT-NurseCall — Count</t>
        </is>
      </c>
      <c r="E185" s="223" t="inlineStr">
        <is>
          <t>BOQ-ICT-NurseCall — Count</t>
        </is>
      </c>
      <c r="F185" s="229" t="inlineStr">
        <is>
          <t>ASS_CST_UNIT_PRICE_UGX_NR</t>
        </is>
      </c>
      <c r="G185" s="229" t="inlineStr">
        <is>
          <t>if(ASS_CST_UNIT_PRICE_UGX_NR&lt;&gt;0,ASS_CST_UNIT_PRICE_UGX_NR,"")</t>
        </is>
      </c>
      <c r="H185" s="224" t="inlineStr">
        <is>
          <t>if(and(BOQ-ICT-NurseCall — Count&lt;&gt;0,ASS_CST_UNIT_PRICE_UGX_NR&lt;&gt;0),BOQ-ICT-NurseCall — Count*ASS_CST_UNIT_PRICE_UGX_NR,"")</t>
        </is>
      </c>
      <c r="I185" s="223" t="inlineStr">
        <is>
          <t>Nurse Call Devices</t>
        </is>
      </c>
      <c r="J185" s="223" t="inlineStr">
        <is>
          <t>BOQ-ICT-NurseCall</t>
        </is>
      </c>
      <c r="K185" s="223" t="inlineStr">
        <is>
          <t>"if(NCL_CALL_TYPE_TXT&lt;&gt;"",NCL_CALL_TYPE_TXT,"Nurse call point") + " zone " + if(NCL_ZONE_TXT&lt;&gt;"",NCL_ZONE_TXT,"?") + " complete with pull cord, indicator and accessories."</t>
        </is>
      </c>
      <c r="L185" s="223" t="inlineStr">
        <is>
          <t>NCL_CALL_TYPE_TXT, NCL_ZONE_TXT, COM_C_PROTOCOL_TXT</t>
        </is>
      </c>
      <c r="M185" s="223" t="inlineStr">
        <is>
          <t>BOQ-ICT-NurseCall</t>
        </is>
      </c>
      <c r="N185" s="223" t="inlineStr"/>
      <c r="O185" s="223" t="inlineStr">
        <is>
          <t>CST_SUP_PREFERRED_SUPPLIER_TXT</t>
        </is>
      </c>
      <c r="P185" s="223" t="inlineStr">
        <is>
          <t>CST_SUP_PROCUREMENT_LEAD_TIME_DAYS</t>
        </is>
      </c>
      <c r="Q185" s="223" t="inlineStr">
        <is>
          <t>HTM 08-03. Healthcare projects only.</t>
        </is>
      </c>
      <c r="R185" s="223" t="inlineStr"/>
    </row>
    <row r="186">
      <c r="A186" s="223" t="inlineStr">
        <is>
          <t>9.3.2</t>
        </is>
      </c>
      <c r="B186" s="223" t="inlineStr">
        <is>
          <t>Nurse call master control panel for [ZONES] zones complete with display, repeater panel, and all accessories</t>
        </is>
      </c>
      <c r="C186" s="223" t="inlineStr">
        <is>
          <t>No.</t>
        </is>
      </c>
      <c r="D186" s="223" t="inlineStr">
        <is>
          <t>BOQ-ICT-NurseCall — Count (Panel)</t>
        </is>
      </c>
      <c r="E186" s="223" t="inlineStr">
        <is>
          <t>BOQ-ICT-NurseCall — Count (Panel)</t>
        </is>
      </c>
      <c r="F186" s="229" t="inlineStr">
        <is>
          <t>ASS_CST_UNIT_PRICE_UGX_NR</t>
        </is>
      </c>
      <c r="G186" s="229" t="inlineStr">
        <is>
          <t>if(ASS_CST_UNIT_PRICE_UGX_NR&lt;&gt;0,ASS_CST_UNIT_PRICE_UGX_NR,"")</t>
        </is>
      </c>
      <c r="H186" s="224" t="inlineStr">
        <is>
          <t>if(and(BOQ-ICT-NurseCall — Count (Panel)&lt;&gt;0,ASS_CST_UNIT_PRICE_UGX_NR&lt;&gt;0),BOQ-ICT-NurseCall — Count (Panel)*ASS_CST_UNIT_PRICE_UGX_NR,"")</t>
        </is>
      </c>
      <c r="I186" s="223" t="inlineStr">
        <is>
          <t>Nurse Call Devices</t>
        </is>
      </c>
      <c r="J186" s="223" t="inlineStr">
        <is>
          <t>BOQ-ICT-NurseCall</t>
        </is>
      </c>
      <c r="K186" s="223" t="inlineStr">
        <is>
          <t>"Nurse call master panel for " + if(NCL_ZONE_TXT&lt;&gt;"",NCL_ZONE_TXT,"?") + " zones complete with display and accessories."</t>
        </is>
      </c>
      <c r="L186" s="223" t="inlineStr">
        <is>
          <t>NCL_ZONE_TXT</t>
        </is>
      </c>
      <c r="M186" s="223" t="inlineStr">
        <is>
          <t>BOQ-ICT-NurseCall</t>
        </is>
      </c>
      <c r="N186" s="223" t="inlineStr"/>
      <c r="O186" s="223" t="inlineStr">
        <is>
          <t>CST_SUP_PREFERRED_SUPPLIER_TXT</t>
        </is>
      </c>
      <c r="P186" s="223" t="inlineStr">
        <is>
          <t>CST_SUP_PROCUREMENT_LEAD_TIME_DAYS</t>
        </is>
      </c>
      <c r="Q186" s="223" t="inlineStr"/>
      <c r="R186" s="223" t="inlineStr"/>
    </row>
    <row r="187">
      <c r="A187" s="223" t="inlineStr">
        <is>
          <t>9.4  GENERATOR &amp; STANDBY POWER (WHERE APPLICABLE)</t>
        </is>
      </c>
      <c r="B187" s="223" t="inlineStr"/>
      <c r="C187" s="223" t="inlineStr"/>
      <c r="D187" s="223" t="inlineStr"/>
      <c r="E187" s="223" t="n"/>
      <c r="F187" s="223" t="inlineStr"/>
      <c r="G187" s="223" t="n"/>
      <c r="H187" s="223" t="n"/>
      <c r="I187" s="223" t="inlineStr"/>
      <c r="J187" s="223" t="inlineStr"/>
      <c r="K187" s="223" t="inlineStr"/>
      <c r="L187" s="223" t="inlineStr"/>
      <c r="M187" s="223" t="inlineStr"/>
      <c r="N187" s="223" t="inlineStr"/>
      <c r="O187" s="223" t="inlineStr">
        <is>
          <t>CST_SUP_PREFERRED_SUPPLIER_TXT</t>
        </is>
      </c>
      <c r="P187" s="223" t="inlineStr">
        <is>
          <t>CST_SUP_PROCUREMENT_LEAD_TIME_DAYS</t>
        </is>
      </c>
      <c r="Q187" s="223" t="inlineStr"/>
      <c r="R187" s="223" t="inlineStr"/>
    </row>
    <row r="188">
      <c r="A188" s="223" t="inlineStr">
        <is>
          <t>9.4.1</t>
        </is>
      </c>
      <c r="B188" s="223" t="inlineStr">
        <is>
          <t>[BRAND] [CAPACITY]kVA diesel generator set with canopy, [FUEL]L base tank, [PHASE]-phase, complete with all accessories, ATS panel, wiring, and commissioning</t>
        </is>
      </c>
      <c r="C188" s="223" t="inlineStr">
        <is>
          <t>No.</t>
        </is>
      </c>
      <c r="D188" s="223" t="inlineStr">
        <is>
          <t>BOQ-ELEC-Generator — Count</t>
        </is>
      </c>
      <c r="E188" s="223" t="inlineStr">
        <is>
          <t>BOQ-ELEC-Generator — Count</t>
        </is>
      </c>
      <c r="F188" s="229" t="inlineStr">
        <is>
          <t>ASS_CST_UNIT_PRICE_UGX_NR</t>
        </is>
      </c>
      <c r="G188" s="229" t="inlineStr">
        <is>
          <t>if(ASS_CST_UNIT_PRICE_UGX_NR&lt;&gt;0,ASS_CST_UNIT_PRICE_UGX_NR,"")</t>
        </is>
      </c>
      <c r="H188" s="224" t="inlineStr">
        <is>
          <t>if(and(BOQ-ELEC-Generator — Count&lt;&gt;0,ASS_CST_UNIT_PRICE_UGX_NR&lt;&gt;0),BOQ-ELEC-Generator — Count*ASS_CST_UNIT_PRICE_UGX_NR,"")</t>
        </is>
      </c>
      <c r="I188" s="223" t="inlineStr">
        <is>
          <t>Specialty Equipment</t>
        </is>
      </c>
      <c r="J188" s="223" t="inlineStr">
        <is>
          <t>BOQ-ELEC-Generator</t>
        </is>
      </c>
      <c r="K188" s="223" t="inlineStr">
        <is>
          <t>"if(ASS_MANUFACTURER_TXT&lt;&gt;"",ASS_MANUFACTURER_TXT,"FG Wilson or equal") + " " + if(ASS_CAPACITY_TXT&lt;&gt;"",ASS_CAPACITY_TXT,"100kVA") + " diesel generator with canopy, base tank, ATS, complete with commissioning."</t>
        </is>
      </c>
      <c r="L188" s="223" t="inlineStr">
        <is>
          <t>ASS_MANUFACTURER_TXT, ASS_CAPACITY_TXT, ASS_DESCRIPTION_TXT</t>
        </is>
      </c>
      <c r="M188" s="223" t="inlineStr">
        <is>
          <t>BOQ-ELEC-Generator</t>
        </is>
      </c>
      <c r="N188" s="223" t="inlineStr"/>
      <c r="O188" s="223" t="inlineStr">
        <is>
          <t>CST_SUP_PREFERRED_SUPPLIER_TXT</t>
        </is>
      </c>
      <c r="P188" s="223" t="inlineStr">
        <is>
          <t>CST_SUP_PROCUREMENT_LEAD_TIME_DAYS</t>
        </is>
      </c>
      <c r="Q188" s="223" t="inlineStr">
        <is>
          <t>Uganda: essential for all commercial/institutional buildings.</t>
        </is>
      </c>
      <c r="R188" s="223" t="inlineStr"/>
    </row>
    <row r="189">
      <c r="A189" s="223" t="inlineStr">
        <is>
          <t>9.4.2</t>
        </is>
      </c>
      <c r="B189" s="223" t="inlineStr">
        <is>
          <t>Automatic Transfer Switch (ATS) panel [RATING]A for [PHASES]-phase mains/generator changeover complete with all accessories</t>
        </is>
      </c>
      <c r="C189" s="223" t="inlineStr">
        <is>
          <t>No.</t>
        </is>
      </c>
      <c r="D189" s="223" t="inlineStr">
        <is>
          <t>BOQ-ELEC-ATS — Count</t>
        </is>
      </c>
      <c r="E189" s="223" t="inlineStr">
        <is>
          <t>BOQ-ELEC-ATS — Count</t>
        </is>
      </c>
      <c r="F189" s="229" t="inlineStr">
        <is>
          <t>ASS_CST_UNIT_PRICE_UGX_NR</t>
        </is>
      </c>
      <c r="G189" s="229" t="inlineStr">
        <is>
          <t>if(ASS_CST_UNIT_PRICE_UGX_NR&lt;&gt;0,ASS_CST_UNIT_PRICE_UGX_NR,"")</t>
        </is>
      </c>
      <c r="H189" s="224" t="inlineStr">
        <is>
          <t>if(and(BOQ-ELEC-ATS — Count&lt;&gt;0,ASS_CST_UNIT_PRICE_UGX_NR&lt;&gt;0),BOQ-ELEC-ATS — Count*ASS_CST_UNIT_PRICE_UGX_NR,"")</t>
        </is>
      </c>
      <c r="I189" s="223" t="inlineStr">
        <is>
          <t>Specialty Equipment</t>
        </is>
      </c>
      <c r="J189" s="223" t="inlineStr">
        <is>
          <t>BOQ-ELEC-Generator</t>
        </is>
      </c>
      <c r="K189" s="223" t="inlineStr">
        <is>
          <t>"ATS panel " + if(ELC_PNL_MAIN_BRK_A&lt;&gt;"",ELC_PNL_MAIN_BRK_A+"A ","?A ") + if(ELC_PNL_PHS_COUNT_NR&lt;&gt;"",ELC_PNL_PHS_COUNT_NR+"-phase ","") + "mains/generator changeover complete."</t>
        </is>
      </c>
      <c r="L189" s="223" t="inlineStr">
        <is>
          <t>ELC_PNL_MAIN_BRK_A, ELC_PNL_PHS_COUNT_NR</t>
        </is>
      </c>
      <c r="M189" s="223" t="inlineStr">
        <is>
          <t>BOQ-ELEC-ATS</t>
        </is>
      </c>
      <c r="N189" s="223" t="inlineStr"/>
      <c r="O189" s="223" t="inlineStr">
        <is>
          <t>CST_SUP_PREFERRED_SUPPLIER_TXT</t>
        </is>
      </c>
      <c r="P189" s="223" t="inlineStr">
        <is>
          <t>CST_SUP_PROCUREMENT_LEAD_TIME_DAYS</t>
        </is>
      </c>
      <c r="Q189" s="223" t="inlineStr"/>
      <c r="R189" s="223" t="inlineStr"/>
    </row>
    <row r="190">
      <c r="A190" s="223" t="inlineStr"/>
      <c r="B190" s="223" t="inlineStr"/>
      <c r="C190" s="223" t="inlineStr"/>
      <c r="D190" s="223" t="inlineStr"/>
      <c r="E190" s="223" t="n"/>
      <c r="F190" s="223" t="inlineStr"/>
      <c r="G190" s="223" t="n"/>
      <c r="H190" s="223" t="n"/>
      <c r="I190" s="223" t="inlineStr"/>
      <c r="J190" s="223" t="inlineStr"/>
      <c r="K190" s="223" t="inlineStr"/>
      <c r="L190" s="223" t="inlineStr"/>
      <c r="M190" s="223" t="inlineStr"/>
      <c r="N190" s="223" t="inlineStr"/>
      <c r="O190" s="223" t="inlineStr">
        <is>
          <t>CST_SUP_PREFERRED_SUPPLIER_TXT</t>
        </is>
      </c>
      <c r="P190" s="223" t="inlineStr">
        <is>
          <t>CST_SUP_PROCUREMENT_LEAD_TIME_DAYS</t>
        </is>
      </c>
      <c r="Q190" s="223" t="inlineStr"/>
      <c r="R190" s="223" t="inlineStr"/>
    </row>
    <row r="191">
      <c r="A191" s="223" t="inlineStr"/>
      <c r="B191" s="223" t="inlineStr"/>
      <c r="C191" s="223" t="inlineStr"/>
      <c r="D191" s="223" t="inlineStr"/>
      <c r="E191" s="223" t="n"/>
      <c r="F191" s="223" t="inlineStr"/>
      <c r="G191" s="223" t="n"/>
      <c r="H191" s="223" t="n"/>
      <c r="I191" s="223" t="inlineStr"/>
      <c r="J191" s="223" t="inlineStr"/>
      <c r="K191" s="223" t="inlineStr"/>
      <c r="L191" s="223" t="inlineStr"/>
      <c r="M191" s="223" t="inlineStr"/>
      <c r="N191" s="223" t="inlineStr"/>
      <c r="O191" s="223" t="inlineStr">
        <is>
          <t>CST_SUP_PREFERRED_SUPPLIER_TXT</t>
        </is>
      </c>
      <c r="P191" s="223" t="inlineStr">
        <is>
          <t>CST_SUP_PROCUREMENT_LEAD_TIME_DAYS</t>
        </is>
      </c>
      <c r="Q191" s="223" t="inlineStr"/>
      <c r="R191" s="223" t="inlineStr"/>
    </row>
    <row r="192">
      <c r="A192" s="223" t="inlineStr">
        <is>
          <t>REVIT SCHEDULE NAMES — Quick Reference</t>
        </is>
      </c>
      <c r="B192" s="223" t="inlineStr"/>
      <c r="C192" s="223" t="inlineStr"/>
      <c r="D192" s="223" t="inlineStr"/>
      <c r="E192" s="223" t="n"/>
      <c r="F192" s="223" t="inlineStr"/>
      <c r="G192" s="223" t="n"/>
      <c r="H192" s="223" t="n"/>
      <c r="I192" s="223" t="inlineStr"/>
      <c r="J192" s="223" t="inlineStr"/>
      <c r="K192" s="223" t="inlineStr"/>
      <c r="L192" s="223" t="inlineStr"/>
      <c r="M192" s="223" t="inlineStr"/>
      <c r="N192" s="223" t="inlineStr"/>
      <c r="O192" s="223" t="inlineStr">
        <is>
          <t>CST_SUP_PREFERRED_SUPPLIER_TXT</t>
        </is>
      </c>
      <c r="P192" s="223" t="inlineStr">
        <is>
          <t>CST_SUP_PROCUREMENT_LEAD_TIME_DAYS</t>
        </is>
      </c>
      <c r="Q192" s="223" t="inlineStr"/>
      <c r="R192" s="223" t="inlineStr"/>
    </row>
    <row r="193">
      <c r="A193" s="267" t="inlineStr">
        <is>
          <t>BOQ-STR-Foundations</t>
        </is>
      </c>
      <c r="B193" s="223" t="inlineStr">
        <is>
          <t>Structural Foundations</t>
        </is>
      </c>
      <c r="C193" s="223" t="n"/>
      <c r="D193" s="223" t="n"/>
      <c r="E193" s="223" t="n"/>
      <c r="F193" s="223" t="n"/>
      <c r="G193" s="223" t="n"/>
      <c r="H193" s="223" t="n"/>
      <c r="I193" s="223" t="inlineStr"/>
      <c r="J193" s="223" t="inlineStr"/>
      <c r="K193" s="223" t="n"/>
      <c r="L193" s="223" t="n"/>
      <c r="M193" s="223" t="n"/>
      <c r="N193" s="223" t="n"/>
      <c r="O193" s="223" t="n"/>
      <c r="P193" s="223" t="n"/>
      <c r="Q193" s="223" t="n"/>
      <c r="R193" s="223" t="n"/>
    </row>
    <row r="194">
      <c r="A194" s="267" t="inlineStr">
        <is>
          <t>BOQ-STR-Framing</t>
        </is>
      </c>
      <c r="B194" s="223" t="inlineStr">
        <is>
          <t>Structural Framing / Beams / Columns</t>
        </is>
      </c>
      <c r="C194" s="223" t="n"/>
      <c r="D194" s="223" t="n"/>
      <c r="E194" s="223" t="n"/>
      <c r="F194" s="223" t="n"/>
      <c r="G194" s="223" t="n"/>
      <c r="H194" s="223" t="n"/>
      <c r="I194" s="223" t="inlineStr"/>
      <c r="J194" s="223" t="inlineStr"/>
      <c r="K194" s="223" t="n"/>
      <c r="L194" s="223" t="n"/>
      <c r="M194" s="223" t="n"/>
      <c r="N194" s="223" t="n"/>
      <c r="O194" s="223" t="n"/>
      <c r="P194" s="223" t="n"/>
      <c r="Q194" s="223" t="n"/>
      <c r="R194" s="223" t="n"/>
    </row>
    <row r="195">
      <c r="A195" s="267" t="inlineStr">
        <is>
          <t>BOQ-ARCH-Walling</t>
        </is>
      </c>
      <c r="B195" s="223" t="inlineStr">
        <is>
          <t>Walls by type mark</t>
        </is>
      </c>
      <c r="C195" s="223" t="n"/>
      <c r="D195" s="223" t="n"/>
      <c r="E195" s="223" t="n"/>
      <c r="F195" s="223" t="n"/>
      <c r="G195" s="223" t="n"/>
      <c r="H195" s="223" t="n"/>
      <c r="I195" s="223" t="inlineStr"/>
      <c r="J195" s="223" t="inlineStr"/>
      <c r="K195" s="223" t="n"/>
      <c r="L195" s="223" t="n"/>
      <c r="M195" s="223" t="n"/>
      <c r="N195" s="223" t="n"/>
      <c r="O195" s="223" t="n"/>
      <c r="P195" s="223" t="n"/>
      <c r="Q195" s="223" t="n"/>
      <c r="R195" s="223" t="n"/>
    </row>
    <row r="196">
      <c r="A196" s="267" t="inlineStr">
        <is>
          <t>BOQ-ARCH-Ceilings</t>
        </is>
      </c>
      <c r="B196" s="223" t="inlineStr">
        <is>
          <t>Ceilings by type mark</t>
        </is>
      </c>
      <c r="C196" s="223" t="n"/>
      <c r="D196" s="223" t="n"/>
      <c r="E196" s="223" t="n"/>
      <c r="F196" s="223" t="n"/>
      <c r="G196" s="223" t="n"/>
      <c r="H196" s="223" t="n"/>
      <c r="I196" s="223" t="inlineStr"/>
      <c r="J196" s="223" t="inlineStr"/>
      <c r="K196" s="223" t="n"/>
      <c r="L196" s="223" t="n"/>
      <c r="M196" s="223" t="n"/>
      <c r="N196" s="223" t="n"/>
      <c r="O196" s="223" t="n"/>
      <c r="P196" s="223" t="n"/>
      <c r="Q196" s="223" t="n"/>
      <c r="R196" s="223" t="n"/>
    </row>
    <row r="197">
      <c r="A197" s="267" t="inlineStr">
        <is>
          <t>BOQ-ARCH-FloorFinishes</t>
        </is>
      </c>
      <c r="B197" s="223" t="inlineStr">
        <is>
          <t>Floors by type mark</t>
        </is>
      </c>
      <c r="C197" s="223" t="n"/>
      <c r="D197" s="223" t="n"/>
      <c r="E197" s="223" t="n"/>
      <c r="F197" s="223" t="n"/>
      <c r="G197" s="223" t="n"/>
      <c r="H197" s="223" t="n"/>
      <c r="I197" s="223" t="inlineStr"/>
      <c r="J197" s="223" t="inlineStr"/>
      <c r="K197" s="223" t="n"/>
      <c r="L197" s="223" t="n"/>
      <c r="M197" s="223" t="n"/>
      <c r="N197" s="223" t="n"/>
      <c r="O197" s="223" t="n"/>
      <c r="P197" s="223" t="n"/>
      <c r="Q197" s="223" t="n"/>
      <c r="R197" s="223" t="n"/>
    </row>
    <row r="198">
      <c r="A198" s="267" t="inlineStr">
        <is>
          <t>BOQ-ARCH-Roofing</t>
        </is>
      </c>
      <c r="B198" s="223" t="inlineStr">
        <is>
          <t>Roofs by type mark</t>
        </is>
      </c>
      <c r="C198" s="223" t="n"/>
      <c r="D198" s="223" t="n"/>
      <c r="E198" s="223" t="n"/>
      <c r="F198" s="223" t="n"/>
      <c r="G198" s="223" t="n"/>
      <c r="H198" s="223" t="n"/>
      <c r="I198" s="223" t="inlineStr"/>
      <c r="J198" s="223" t="inlineStr"/>
      <c r="K198" s="223" t="n"/>
      <c r="L198" s="223" t="n"/>
      <c r="M198" s="223" t="n"/>
      <c r="N198" s="223" t="n"/>
      <c r="O198" s="223" t="n"/>
      <c r="P198" s="223" t="n"/>
      <c r="Q198" s="223" t="n"/>
      <c r="R198" s="223" t="n"/>
    </row>
    <row r="199">
      <c r="A199" s="267" t="inlineStr">
        <is>
          <t>BOQ-ARCH-Doors</t>
        </is>
      </c>
      <c r="B199" s="223" t="inlineStr">
        <is>
          <t>Doors by type mark</t>
        </is>
      </c>
      <c r="C199" s="223" t="n"/>
      <c r="D199" s="223" t="n"/>
      <c r="E199" s="223" t="n"/>
      <c r="F199" s="223" t="n"/>
      <c r="G199" s="223" t="n"/>
      <c r="H199" s="223" t="n"/>
      <c r="I199" s="223" t="inlineStr"/>
      <c r="J199" s="223" t="inlineStr"/>
      <c r="K199" s="223" t="n"/>
      <c r="L199" s="223" t="n"/>
      <c r="M199" s="223" t="n"/>
      <c r="N199" s="223" t="n"/>
      <c r="O199" s="223" t="n"/>
      <c r="P199" s="223" t="n"/>
      <c r="Q199" s="223" t="n"/>
      <c r="R199" s="223" t="n"/>
    </row>
    <row r="200">
      <c r="A200" s="267" t="inlineStr">
        <is>
          <t>BOQ-ARCH-Windows</t>
        </is>
      </c>
      <c r="B200" s="223" t="inlineStr">
        <is>
          <t>Windows by type mark</t>
        </is>
      </c>
      <c r="C200" s="223" t="n"/>
      <c r="D200" s="223" t="n"/>
      <c r="E200" s="223" t="n"/>
      <c r="F200" s="223" t="n"/>
      <c r="G200" s="223" t="n"/>
      <c r="H200" s="223" t="n"/>
      <c r="I200" s="223" t="inlineStr"/>
      <c r="J200" s="223" t="inlineStr"/>
      <c r="K200" s="223" t="n"/>
      <c r="L200" s="223" t="n"/>
      <c r="M200" s="223" t="n"/>
      <c r="N200" s="223" t="n"/>
      <c r="O200" s="223" t="n"/>
      <c r="P200" s="223" t="n"/>
      <c r="Q200" s="223" t="n"/>
      <c r="R200" s="223" t="n"/>
    </row>
    <row r="201">
      <c r="A201" s="267" t="inlineStr">
        <is>
          <t>BOQ-ARCH-Stairs</t>
        </is>
      </c>
      <c r="B201" s="223" t="inlineStr">
        <is>
          <t>Stairs</t>
        </is>
      </c>
      <c r="C201" s="223" t="n"/>
      <c r="D201" s="223" t="n"/>
      <c r="E201" s="223" t="n"/>
      <c r="F201" s="223" t="n"/>
      <c r="G201" s="223" t="n"/>
      <c r="H201" s="223" t="n"/>
      <c r="I201" s="223" t="inlineStr"/>
      <c r="J201" s="223" t="inlineStr"/>
      <c r="K201" s="223" t="n"/>
      <c r="L201" s="223" t="n"/>
      <c r="M201" s="223" t="n"/>
      <c r="N201" s="223" t="n"/>
      <c r="O201" s="223" t="n"/>
      <c r="P201" s="223" t="n"/>
      <c r="Q201" s="223" t="n"/>
      <c r="R201" s="223" t="n"/>
    </row>
    <row r="202">
      <c r="A202" s="267" t="inlineStr">
        <is>
          <t>BOQ-ELC-Lighting-Points</t>
        </is>
      </c>
      <c r="B202" s="223" t="inlineStr">
        <is>
          <t>Electrical Fixtures — lighting circuits</t>
        </is>
      </c>
      <c r="C202" s="223" t="n"/>
      <c r="D202" s="223" t="n"/>
      <c r="E202" s="223" t="n"/>
      <c r="F202" s="223" t="n"/>
      <c r="G202" s="223" t="n"/>
      <c r="H202" s="223" t="n"/>
      <c r="I202" s="223" t="inlineStr"/>
      <c r="J202" s="223" t="inlineStr"/>
      <c r="K202" s="223" t="n"/>
      <c r="L202" s="223" t="n"/>
      <c r="M202" s="223" t="n"/>
      <c r="N202" s="223" t="n"/>
      <c r="O202" s="223" t="n"/>
      <c r="P202" s="223" t="n"/>
      <c r="Q202" s="223" t="n"/>
      <c r="R202" s="223" t="n"/>
    </row>
    <row r="203">
      <c r="A203" s="267" t="inlineStr">
        <is>
          <t>BOQ-ELC-Socket-Points</t>
        </is>
      </c>
      <c r="B203" s="223" t="inlineStr">
        <is>
          <t>Electrical Fixtures — socket circuits</t>
        </is>
      </c>
      <c r="C203" s="223" t="n"/>
      <c r="D203" s="223" t="n"/>
      <c r="E203" s="223" t="n"/>
      <c r="F203" s="223" t="n"/>
      <c r="G203" s="223" t="n"/>
      <c r="H203" s="223" t="n"/>
      <c r="I203" s="223" t="inlineStr"/>
      <c r="J203" s="223" t="inlineStr"/>
      <c r="K203" s="223" t="n"/>
      <c r="L203" s="223" t="n"/>
      <c r="M203" s="223" t="n"/>
      <c r="N203" s="223" t="n"/>
      <c r="O203" s="223" t="n"/>
      <c r="P203" s="223" t="n"/>
      <c r="Q203" s="223" t="n"/>
      <c r="R203" s="223" t="n"/>
    </row>
    <row r="204">
      <c r="A204" s="267" t="inlineStr">
        <is>
          <t>BOQ-ELC-Luminaires</t>
        </is>
      </c>
      <c r="B204" s="223" t="inlineStr">
        <is>
          <t>Lighting Fixtures by type mark</t>
        </is>
      </c>
      <c r="C204" s="223" t="n"/>
      <c r="D204" s="223" t="n"/>
      <c r="E204" s="223" t="n"/>
      <c r="F204" s="223" t="n"/>
      <c r="G204" s="223" t="n"/>
      <c r="H204" s="223" t="n"/>
      <c r="I204" s="223" t="inlineStr"/>
      <c r="J204" s="223" t="inlineStr"/>
      <c r="K204" s="223" t="n"/>
      <c r="L204" s="223" t="n"/>
      <c r="M204" s="223" t="n"/>
      <c r="N204" s="223" t="n"/>
      <c r="O204" s="223" t="n"/>
      <c r="P204" s="223" t="n"/>
      <c r="Q204" s="223" t="n"/>
      <c r="R204" s="223" t="n"/>
    </row>
    <row r="205">
      <c r="A205" s="267" t="inlineStr">
        <is>
          <t>BOQ-ELC-Switches</t>
        </is>
      </c>
      <c r="B205" s="223" t="inlineStr">
        <is>
          <t>Electrical Fixtures — switches</t>
        </is>
      </c>
      <c r="C205" s="223" t="n"/>
      <c r="D205" s="223" t="n"/>
      <c r="E205" s="223" t="n"/>
      <c r="F205" s="223" t="n"/>
      <c r="G205" s="223" t="n"/>
      <c r="H205" s="223" t="n"/>
      <c r="I205" s="223" t="inlineStr"/>
      <c r="J205" s="223" t="inlineStr"/>
      <c r="K205" s="223" t="n"/>
      <c r="L205" s="223" t="n"/>
      <c r="M205" s="223" t="n"/>
      <c r="N205" s="223" t="n"/>
      <c r="O205" s="223" t="n"/>
      <c r="P205" s="223" t="n"/>
      <c r="Q205" s="223" t="n"/>
      <c r="R205" s="223" t="n"/>
    </row>
    <row r="206">
      <c r="A206" s="267" t="inlineStr">
        <is>
          <t>BOQ-ELC-Sockets</t>
        </is>
      </c>
      <c r="B206" s="223" t="inlineStr">
        <is>
          <t>Electrical Fixtures — sockets</t>
        </is>
      </c>
      <c r="C206" s="223" t="n"/>
      <c r="D206" s="223" t="n"/>
      <c r="E206" s="223" t="n"/>
      <c r="F206" s="223" t="n"/>
      <c r="G206" s="223" t="n"/>
      <c r="H206" s="223" t="n"/>
      <c r="I206" s="223" t="inlineStr"/>
      <c r="J206" s="223" t="inlineStr"/>
      <c r="K206" s="223" t="n"/>
      <c r="L206" s="223" t="n"/>
      <c r="M206" s="223" t="n"/>
      <c r="N206" s="223" t="n"/>
      <c r="O206" s="223" t="n"/>
      <c r="P206" s="223" t="n"/>
      <c r="Q206" s="223" t="n"/>
      <c r="R206" s="223" t="n"/>
    </row>
    <row r="207">
      <c r="A207" s="267" t="inlineStr">
        <is>
          <t>BOQ-ELC-Conduits</t>
        </is>
      </c>
      <c r="B207" s="223" t="inlineStr">
        <is>
          <t>Conduits by size/material</t>
        </is>
      </c>
      <c r="C207" s="223" t="n"/>
      <c r="D207" s="223" t="n"/>
      <c r="E207" s="223" t="n"/>
      <c r="F207" s="223" t="n"/>
      <c r="G207" s="223" t="n"/>
      <c r="H207" s="223" t="n"/>
      <c r="I207" s="223" t="inlineStr"/>
      <c r="J207" s="223" t="inlineStr"/>
      <c r="K207" s="223" t="n"/>
      <c r="L207" s="223" t="n"/>
      <c r="M207" s="223" t="n"/>
      <c r="N207" s="223" t="n"/>
      <c r="O207" s="223" t="n"/>
      <c r="P207" s="223" t="n"/>
      <c r="Q207" s="223" t="n"/>
      <c r="R207" s="223" t="n"/>
    </row>
    <row r="208">
      <c r="A208" s="267" t="inlineStr">
        <is>
          <t>BOQ-ELC-CableTrays</t>
        </is>
      </c>
      <c r="B208" s="223" t="inlineStr">
        <is>
          <t>Cable Trays by size</t>
        </is>
      </c>
      <c r="C208" s="223" t="n"/>
      <c r="D208" s="223" t="n"/>
      <c r="E208" s="223" t="n"/>
      <c r="F208" s="223" t="n"/>
      <c r="G208" s="223" t="n"/>
      <c r="H208" s="223" t="n"/>
      <c r="I208" s="223" t="inlineStr"/>
      <c r="J208" s="223" t="inlineStr"/>
      <c r="K208" s="223" t="n"/>
      <c r="L208" s="223" t="n"/>
      <c r="M208" s="223" t="n"/>
      <c r="N208" s="223" t="n"/>
      <c r="O208" s="223" t="n"/>
      <c r="P208" s="223" t="n"/>
      <c r="Q208" s="223" t="n"/>
      <c r="R208" s="223" t="n"/>
    </row>
    <row r="209">
      <c r="A209" s="267" t="inlineStr">
        <is>
          <t>BOQ-ELC-DBPanels</t>
        </is>
      </c>
      <c r="B209" s="223" t="inlineStr">
        <is>
          <t>Electrical Equipment (panels)</t>
        </is>
      </c>
      <c r="C209" s="223" t="n"/>
      <c r="D209" s="223" t="n"/>
      <c r="E209" s="223" t="n"/>
      <c r="F209" s="223" t="n"/>
      <c r="G209" s="223" t="n"/>
      <c r="H209" s="223" t="n"/>
      <c r="I209" s="223" t="inlineStr"/>
      <c r="J209" s="223" t="inlineStr"/>
      <c r="K209" s="223" t="n"/>
      <c r="L209" s="223" t="n"/>
      <c r="M209" s="223" t="n"/>
      <c r="N209" s="223" t="n"/>
      <c r="O209" s="223" t="n"/>
      <c r="P209" s="223" t="n"/>
      <c r="Q209" s="223" t="n"/>
      <c r="R209" s="223" t="n"/>
    </row>
    <row r="210">
      <c r="A210" s="267" t="inlineStr">
        <is>
          <t>BOQ-ELC-FireAlarm</t>
        </is>
      </c>
      <c r="B210" s="223" t="inlineStr">
        <is>
          <t>Fire Alarm Devices by type</t>
        </is>
      </c>
      <c r="C210" s="223" t="n"/>
      <c r="D210" s="223" t="n"/>
      <c r="E210" s="223" t="n"/>
      <c r="F210" s="223" t="n"/>
      <c r="G210" s="223" t="n"/>
      <c r="H210" s="223" t="n"/>
      <c r="I210" s="223" t="inlineStr"/>
      <c r="J210" s="223" t="inlineStr"/>
      <c r="K210" s="223" t="n"/>
      <c r="L210" s="223" t="n"/>
      <c r="M210" s="223" t="n"/>
      <c r="N210" s="223" t="n"/>
      <c r="O210" s="223" t="n"/>
      <c r="P210" s="223" t="n"/>
      <c r="Q210" s="223" t="n"/>
      <c r="R210" s="223" t="n"/>
    </row>
    <row r="211">
      <c r="A211" s="267" t="inlineStr">
        <is>
          <t>BOQ-ELC-Security</t>
        </is>
      </c>
      <c r="B211" s="223" t="inlineStr">
        <is>
          <t>Security Devices by type</t>
        </is>
      </c>
      <c r="C211" s="223" t="n"/>
      <c r="D211" s="223" t="n"/>
      <c r="E211" s="223" t="n"/>
      <c r="F211" s="223" t="n"/>
      <c r="G211" s="223" t="n"/>
      <c r="H211" s="223" t="n"/>
      <c r="I211" s="223" t="inlineStr"/>
      <c r="J211" s="223" t="inlineStr"/>
      <c r="K211" s="223" t="n"/>
      <c r="L211" s="223" t="n"/>
      <c r="M211" s="223" t="n"/>
      <c r="N211" s="223" t="n"/>
      <c r="O211" s="223" t="n"/>
      <c r="P211" s="223" t="n"/>
      <c r="Q211" s="223" t="n"/>
      <c r="R211" s="223" t="n"/>
    </row>
    <row r="212">
      <c r="A212" s="267" t="inlineStr">
        <is>
          <t>BOQ-PLM-SanitaryWC</t>
        </is>
      </c>
      <c r="B212" s="223" t="inlineStr">
        <is>
          <t>Plumbing Fixtures — WC</t>
        </is>
      </c>
      <c r="C212" s="223" t="n"/>
      <c r="D212" s="223" t="n"/>
      <c r="E212" s="223" t="n"/>
      <c r="F212" s="223" t="n"/>
      <c r="G212" s="223" t="n"/>
      <c r="H212" s="223" t="n"/>
      <c r="I212" s="223" t="inlineStr"/>
      <c r="J212" s="223" t="inlineStr"/>
      <c r="K212" s="223" t="n"/>
      <c r="L212" s="223" t="n"/>
      <c r="M212" s="223" t="n"/>
      <c r="N212" s="223" t="n"/>
      <c r="O212" s="223" t="n"/>
      <c r="P212" s="223" t="n"/>
      <c r="Q212" s="223" t="n"/>
      <c r="R212" s="223" t="n"/>
    </row>
    <row r="213">
      <c r="A213" s="267" t="inlineStr">
        <is>
          <t>BOQ-PLM-SanitaryWHB</t>
        </is>
      </c>
      <c r="B213" s="223" t="inlineStr">
        <is>
          <t>Plumbing Fixtures — WHB</t>
        </is>
      </c>
      <c r="C213" s="223" t="n"/>
      <c r="D213" s="223" t="n"/>
      <c r="E213" s="223" t="n"/>
      <c r="F213" s="223" t="n"/>
      <c r="G213" s="223" t="n"/>
      <c r="H213" s="223" t="n"/>
      <c r="I213" s="223" t="inlineStr"/>
      <c r="J213" s="223" t="inlineStr"/>
      <c r="K213" s="223" t="n"/>
      <c r="L213" s="223" t="n"/>
      <c r="M213" s="223" t="n"/>
      <c r="N213" s="223" t="n"/>
      <c r="O213" s="223" t="n"/>
      <c r="P213" s="223" t="n"/>
      <c r="Q213" s="223" t="n"/>
      <c r="R213" s="223" t="n"/>
    </row>
    <row r="214">
      <c r="A214" s="267" t="inlineStr">
        <is>
          <t>BOQ-PLM-Pipework</t>
        </is>
      </c>
      <c r="B214" s="223" t="inlineStr">
        <is>
          <t>Pipes by size/material</t>
        </is>
      </c>
      <c r="C214" s="223" t="n"/>
      <c r="D214" s="223" t="n"/>
      <c r="E214" s="223" t="n"/>
      <c r="F214" s="223" t="n"/>
      <c r="G214" s="223" t="n"/>
      <c r="H214" s="223" t="n"/>
      <c r="I214" s="223" t="inlineStr"/>
      <c r="J214" s="223" t="inlineStr"/>
      <c r="K214" s="223" t="n"/>
      <c r="L214" s="223" t="n"/>
      <c r="M214" s="223" t="n"/>
      <c r="N214" s="223" t="n"/>
      <c r="O214" s="223" t="n"/>
      <c r="P214" s="223" t="n"/>
      <c r="Q214" s="223" t="n"/>
      <c r="R214" s="223" t="n"/>
    </row>
    <row r="215">
      <c r="A215" s="267" t="inlineStr">
        <is>
          <t>BOQ-PLM-Valves</t>
        </is>
      </c>
      <c r="B215" s="223" t="inlineStr">
        <is>
          <t>Pipe Accessories — valves</t>
        </is>
      </c>
      <c r="C215" s="223" t="n"/>
      <c r="D215" s="223" t="n"/>
      <c r="E215" s="223" t="n"/>
      <c r="F215" s="223" t="n"/>
      <c r="G215" s="223" t="n"/>
      <c r="H215" s="223" t="n"/>
      <c r="I215" s="223" t="inlineStr"/>
      <c r="J215" s="223" t="inlineStr"/>
      <c r="K215" s="223" t="n"/>
      <c r="L215" s="223" t="n"/>
      <c r="M215" s="223" t="n"/>
      <c r="N215" s="223" t="n"/>
      <c r="O215" s="223" t="n"/>
      <c r="P215" s="223" t="n"/>
      <c r="Q215" s="223" t="n"/>
      <c r="R215" s="223" t="n"/>
    </row>
    <row r="216">
      <c r="A216" s="267" t="inlineStr">
        <is>
          <t>BOQ-FLS-Extinguishers</t>
        </is>
      </c>
      <c r="B216" s="223" t="inlineStr">
        <is>
          <t>Sprinklers (category) — extinguishers</t>
        </is>
      </c>
      <c r="C216" s="223" t="n"/>
      <c r="D216" s="223" t="n"/>
      <c r="E216" s="223" t="n"/>
      <c r="F216" s="223" t="n"/>
      <c r="G216" s="223" t="n"/>
      <c r="H216" s="223" t="n"/>
      <c r="I216" s="223" t="inlineStr"/>
      <c r="J216" s="223" t="inlineStr"/>
      <c r="K216" s="223" t="n"/>
      <c r="L216" s="223" t="n"/>
      <c r="M216" s="223" t="n"/>
      <c r="N216" s="223" t="n"/>
      <c r="O216" s="223" t="n"/>
      <c r="P216" s="223" t="n"/>
      <c r="Q216" s="223" t="n"/>
      <c r="R216" s="223" t="n"/>
    </row>
    <row r="217">
      <c r="A217" s="267" t="inlineStr">
        <is>
          <t>BOQ-FLS-HoseReels</t>
        </is>
      </c>
      <c r="B217" s="223" t="inlineStr">
        <is>
          <t>Sprinklers (category) — hose reels</t>
        </is>
      </c>
      <c r="C217" s="223" t="n"/>
      <c r="D217" s="223" t="n"/>
      <c r="E217" s="223" t="n"/>
      <c r="F217" s="223" t="n"/>
      <c r="G217" s="223" t="n"/>
      <c r="H217" s="223" t="n"/>
      <c r="I217" s="223" t="inlineStr"/>
      <c r="J217" s="223" t="inlineStr"/>
      <c r="K217" s="223" t="n"/>
      <c r="L217" s="223" t="n"/>
      <c r="M217" s="223" t="n"/>
      <c r="N217" s="223" t="n"/>
      <c r="O217" s="223" t="n"/>
      <c r="P217" s="223" t="n"/>
      <c r="Q217" s="223" t="n"/>
      <c r="R217" s="223" t="n"/>
    </row>
    <row r="218">
      <c r="A218" s="267" t="inlineStr">
        <is>
          <t>BOQ-FLS-Sprinklers</t>
        </is>
      </c>
      <c r="B218" s="223" t="inlineStr">
        <is>
          <t>Sprinklers by type</t>
        </is>
      </c>
      <c r="C218" s="223" t="n"/>
      <c r="D218" s="223" t="n"/>
      <c r="E218" s="223" t="n"/>
      <c r="F218" s="223" t="n"/>
      <c r="G218" s="223" t="n"/>
      <c r="H218" s="223" t="n"/>
      <c r="I218" s="223" t="inlineStr"/>
      <c r="J218" s="223" t="inlineStr"/>
      <c r="K218" s="223" t="n"/>
      <c r="L218" s="223" t="n"/>
      <c r="M218" s="223" t="n"/>
      <c r="N218" s="223" t="n"/>
      <c r="O218" s="223" t="n"/>
      <c r="P218" s="223" t="n"/>
      <c r="Q218" s="223" t="n"/>
      <c r="R218" s="223" t="n"/>
    </row>
    <row r="219">
      <c r="A219" s="267" t="inlineStr">
        <is>
          <t>BOQ-HVC-Equipment</t>
        </is>
      </c>
      <c r="B219" s="223" t="inlineStr">
        <is>
          <t>Mechanical Equipment by type mark</t>
        </is>
      </c>
      <c r="C219" s="223" t="n"/>
      <c r="D219" s="223" t="n"/>
      <c r="E219" s="223" t="n"/>
      <c r="F219" s="223" t="n"/>
      <c r="G219" s="223" t="n"/>
      <c r="H219" s="223" t="n"/>
      <c r="I219" s="223" t="inlineStr"/>
      <c r="J219" s="223" t="inlineStr"/>
      <c r="K219" s="223" t="n"/>
      <c r="L219" s="223" t="n"/>
      <c r="M219" s="223" t="n"/>
      <c r="N219" s="223" t="n"/>
      <c r="O219" s="223" t="n"/>
      <c r="P219" s="223" t="n"/>
      <c r="Q219" s="223" t="n"/>
      <c r="R219" s="223" t="n"/>
    </row>
    <row r="220">
      <c r="A220" s="267" t="inlineStr">
        <is>
          <t>BOQ-HVC-Ducts</t>
        </is>
      </c>
      <c r="B220" s="223" t="inlineStr">
        <is>
          <t>Ducts by size</t>
        </is>
      </c>
      <c r="C220" s="223" t="n"/>
      <c r="D220" s="223" t="n"/>
      <c r="E220" s="223" t="n"/>
      <c r="F220" s="223" t="n"/>
      <c r="G220" s="223" t="n"/>
      <c r="H220" s="223" t="n"/>
      <c r="I220" s="223" t="inlineStr"/>
      <c r="J220" s="223" t="inlineStr"/>
      <c r="K220" s="223" t="n"/>
      <c r="L220" s="223" t="n"/>
      <c r="M220" s="223" t="n"/>
      <c r="N220" s="223" t="n"/>
      <c r="O220" s="223" t="n"/>
      <c r="P220" s="223" t="n"/>
      <c r="Q220" s="223" t="n"/>
      <c r="R220" s="223" t="n"/>
    </row>
    <row r="221">
      <c r="A221" s="267" t="inlineStr">
        <is>
          <t>BOQ-HVC-FlexDucts</t>
        </is>
      </c>
      <c r="B221" s="223" t="inlineStr">
        <is>
          <t>Flex Ducts</t>
        </is>
      </c>
      <c r="C221" s="223" t="n"/>
      <c r="D221" s="223" t="n"/>
      <c r="E221" s="223" t="n"/>
      <c r="F221" s="223" t="n"/>
      <c r="G221" s="223" t="n"/>
      <c r="H221" s="223" t="n"/>
      <c r="I221" s="223" t="inlineStr"/>
      <c r="J221" s="223" t="inlineStr"/>
      <c r="K221" s="223" t="n"/>
      <c r="L221" s="223" t="n"/>
      <c r="M221" s="223" t="n"/>
      <c r="N221" s="223" t="n"/>
      <c r="O221" s="223" t="n"/>
      <c r="P221" s="223" t="n"/>
      <c r="Q221" s="223" t="n"/>
      <c r="R221" s="223" t="n"/>
    </row>
    <row r="222">
      <c r="A222" s="267" t="inlineStr">
        <is>
          <t>BOQ-HVC-AirTerminals</t>
        </is>
      </c>
      <c r="B222" s="223" t="inlineStr">
        <is>
          <t>Air Terminals by type</t>
        </is>
      </c>
      <c r="C222" s="223" t="n"/>
      <c r="D222" s="223" t="n"/>
      <c r="E222" s="223" t="n"/>
      <c r="F222" s="223" t="n"/>
      <c r="G222" s="223" t="n"/>
      <c r="H222" s="223" t="n"/>
      <c r="I222" s="223" t="inlineStr"/>
      <c r="J222" s="223" t="inlineStr"/>
      <c r="K222" s="223" t="n"/>
      <c r="L222" s="223" t="n"/>
      <c r="M222" s="223" t="n"/>
      <c r="N222" s="223" t="n"/>
      <c r="O222" s="223" t="n"/>
      <c r="P222" s="223" t="n"/>
      <c r="Q222" s="223" t="n"/>
      <c r="R222" s="223" t="n"/>
    </row>
    <row r="223">
      <c r="A223" s="267" t="inlineStr">
        <is>
          <t>BOQ-LIFT-Equipment</t>
        </is>
      </c>
      <c r="B223" s="223" t="inlineStr">
        <is>
          <t>Specialty Equipment — lifts</t>
        </is>
      </c>
      <c r="C223" s="223" t="n"/>
      <c r="D223" s="223" t="n"/>
      <c r="E223" s="223" t="n"/>
      <c r="F223" s="223" t="n"/>
      <c r="G223" s="223" t="n"/>
      <c r="H223" s="223" t="n"/>
      <c r="I223" s="223" t="inlineStr"/>
      <c r="J223" s="223" t="inlineStr"/>
      <c r="K223" s="223" t="n"/>
      <c r="L223" s="223" t="n"/>
      <c r="M223" s="223" t="n"/>
      <c r="N223" s="223" t="n"/>
      <c r="O223" s="223" t="n"/>
      <c r="P223" s="223" t="n"/>
      <c r="Q223" s="223" t="n"/>
      <c r="R223" s="223" t="n"/>
    </row>
    <row r="224">
      <c r="A224" s="267" t="inlineStr">
        <is>
          <t>BOQ-ICT-DataOutlets</t>
        </is>
      </c>
      <c r="B224" s="223" t="inlineStr">
        <is>
          <t>Data/Telephone Devices</t>
        </is>
      </c>
      <c r="C224" s="223" t="n"/>
      <c r="D224" s="223" t="n"/>
      <c r="E224" s="223" t="n"/>
      <c r="F224" s="223" t="n"/>
      <c r="G224" s="223" t="n"/>
      <c r="H224" s="223" t="n"/>
      <c r="I224" s="223" t="inlineStr"/>
      <c r="J224" s="223" t="inlineStr"/>
      <c r="K224" s="223" t="n"/>
      <c r="L224" s="223" t="n"/>
      <c r="M224" s="223" t="n"/>
      <c r="N224" s="223" t="n"/>
      <c r="O224" s="223" t="n"/>
      <c r="P224" s="223" t="n"/>
      <c r="Q224" s="223" t="n"/>
      <c r="R224" s="223" t="n"/>
    </row>
    <row r="225">
      <c r="A225" s="267" t="inlineStr">
        <is>
          <t>BOQ-ICT-BMS</t>
        </is>
      </c>
      <c r="B225" s="223" t="inlineStr">
        <is>
          <t>Communication Devices — BMS</t>
        </is>
      </c>
      <c r="C225" s="223" t="n"/>
      <c r="D225" s="223" t="n"/>
      <c r="E225" s="223" t="n"/>
      <c r="F225" s="223" t="n"/>
      <c r="G225" s="223" t="n"/>
      <c r="H225" s="223" t="n"/>
      <c r="I225" s="223" t="inlineStr"/>
      <c r="J225" s="223" t="inlineStr"/>
      <c r="K225" s="223" t="n"/>
      <c r="L225" s="223" t="n"/>
      <c r="M225" s="223" t="n"/>
      <c r="N225" s="223" t="n"/>
      <c r="O225" s="223" t="n"/>
      <c r="P225" s="223" t="n"/>
      <c r="Q225" s="223" t="n"/>
      <c r="R225" s="223" t="n"/>
    </row>
    <row r="226">
      <c r="A226" s="267" t="inlineStr">
        <is>
          <t>BOQ-ICT-NurseCall</t>
        </is>
      </c>
      <c r="B226" s="223" t="inlineStr">
        <is>
          <t>Nurse Call Devices</t>
        </is>
      </c>
      <c r="C226" s="223" t="n"/>
      <c r="D226" s="223" t="n"/>
      <c r="E226" s="223" t="n"/>
      <c r="F226" s="223" t="n"/>
      <c r="G226" s="223" t="n"/>
      <c r="H226" s="223" t="n"/>
      <c r="I226" s="223" t="inlineStr"/>
      <c r="J226" s="223" t="inlineStr"/>
      <c r="K226" s="223" t="n"/>
      <c r="L226" s="223" t="n"/>
      <c r="M226" s="223" t="n"/>
      <c r="N226" s="223" t="n"/>
      <c r="O226" s="223" t="n"/>
      <c r="P226" s="223" t="n"/>
      <c r="Q226" s="223" t="n"/>
      <c r="R226" s="223" t="n"/>
    </row>
    <row r="227">
      <c r="A227" s="267" t="inlineStr">
        <is>
          <t>BOQ-ELEC-Generator</t>
        </is>
      </c>
      <c r="B227" s="223" t="inlineStr">
        <is>
          <t>Specialty Equipment — generator</t>
        </is>
      </c>
      <c r="C227" s="223" t="n"/>
      <c r="D227" s="223" t="n"/>
      <c r="E227" s="223" t="n"/>
      <c r="F227" s="223" t="n"/>
      <c r="G227" s="223" t="n"/>
      <c r="H227" s="223" t="n"/>
      <c r="I227" s="223" t="inlineStr"/>
      <c r="J227" s="223" t="inlineStr"/>
      <c r="K227" s="223" t="n"/>
      <c r="L227" s="223" t="n"/>
      <c r="M227" s="223" t="n"/>
      <c r="N227" s="223" t="n"/>
      <c r="O227" s="223" t="n"/>
      <c r="P227" s="223" t="n"/>
      <c r="Q227" s="223" t="n"/>
      <c r="R227" s="223" t="n"/>
    </row>
    <row r="229">
      <c r="A229" s="261" t="inlineStr">
        <is>
          <t>SECTION 10  —  MATERIAL SUMMARY (auto-calculated from model, for procurement planning)</t>
        </is>
      </c>
      <c r="B229" s="269" t="n"/>
      <c r="C229" s="269" t="n"/>
      <c r="D229" s="269" t="n"/>
      <c r="E229" s="269" t="n"/>
      <c r="F229" s="269" t="n"/>
      <c r="G229" s="269" t="n"/>
      <c r="H229" s="269" t="n"/>
      <c r="I229" s="269" t="n"/>
      <c r="J229" s="269" t="n"/>
      <c r="K229" s="269" t="n"/>
      <c r="L229" s="269" t="n"/>
      <c r="M229" s="269" t="n"/>
      <c r="N229" s="269" t="n"/>
      <c r="O229" s="269" t="n"/>
      <c r="P229" s="269" t="n"/>
      <c r="Q229" s="269" t="n"/>
      <c r="R229" s="270" t="n"/>
    </row>
    <row r="230">
      <c r="A230" s="263" t="inlineStr">
        <is>
          <t>10.1  Concrete &amp; aggregate materials</t>
        </is>
      </c>
      <c r="B230" s="269" t="n"/>
      <c r="C230" s="269" t="n"/>
      <c r="D230" s="269" t="n"/>
      <c r="E230" s="269" t="n"/>
      <c r="F230" s="269" t="n"/>
      <c r="G230" s="269" t="n"/>
      <c r="H230" s="269" t="n"/>
      <c r="I230" s="269" t="n"/>
      <c r="J230" s="269" t="n"/>
      <c r="K230" s="269" t="n"/>
      <c r="L230" s="269" t="n"/>
      <c r="M230" s="269" t="n"/>
      <c r="N230" s="269" t="n"/>
      <c r="O230" s="269" t="n"/>
      <c r="P230" s="269" t="n"/>
      <c r="Q230" s="269" t="n"/>
      <c r="R230" s="270" t="n"/>
    </row>
    <row r="231">
      <c r="A231" s="223" t="inlineStr">
        <is>
          <t>10.1.1</t>
        </is>
      </c>
      <c r="B231" s="223" t="inlineStr">
        <is>
          <t>Concrete total volume</t>
        </is>
      </c>
      <c r="C231" s="223" t="inlineStr">
        <is>
          <t>m3</t>
        </is>
      </c>
      <c r="D231" s="230" t="inlineStr">
        <is>
          <t>CST_CALC_CONCRETE_M3</t>
        </is>
      </c>
      <c r="E231" s="223" t="inlineStr">
        <is>
          <t>if(CST_CALC_CONCRETE_M3&lt;&gt;0,CST_CALC_CONCRETE_M3,"")</t>
        </is>
      </c>
      <c r="F231" s="229" t="inlineStr">
        <is>
          <t>CST_UNIT_PRICE_CEMENT_UGX</t>
        </is>
      </c>
      <c r="G231" s="223" t="inlineStr">
        <is>
          <t>if(CST_UNIT_PRICE_CEMENT_UGX&lt;&gt;0,CST_UNIT_PRICE_CEMENT_UGX,"")</t>
        </is>
      </c>
      <c r="H231" s="223" t="inlineStr">
        <is>
          <t>CST_CALC_CONCRETE_M3*CST_UNIT_PRICE_CEMENT_UGX</t>
        </is>
      </c>
      <c r="I231" s="223" t="n"/>
      <c r="J231" s="223" t="n"/>
      <c r="K231" s="223" t="n"/>
      <c r="L231" s="223" t="n"/>
      <c r="M231" s="223" t="n"/>
      <c r="N231" s="223" t="n"/>
      <c r="O231" s="223" t="inlineStr">
        <is>
          <t>CST_SUP_PREFERRED_SUPPLIER_TXT</t>
        </is>
      </c>
      <c r="P231" s="223" t="inlineStr">
        <is>
          <t>CST_SUP_PROCUREMENT_LEAD_TIME_DAYS</t>
        </is>
      </c>
      <c r="Q231" s="223" t="inlineStr">
        <is>
          <t>Batching plant or ready-mix</t>
        </is>
      </c>
      <c r="R231" s="223" t="n"/>
    </row>
    <row r="232">
      <c r="A232" s="223" t="inlineStr">
        <is>
          <t>10.1.2</t>
        </is>
      </c>
      <c r="B232" s="223" t="inlineStr">
        <is>
          <t>Sand total volume</t>
        </is>
      </c>
      <c r="C232" s="223" t="inlineStr">
        <is>
          <t>m3</t>
        </is>
      </c>
      <c r="D232" s="230" t="inlineStr">
        <is>
          <t>CST_CALC_SAND_M3</t>
        </is>
      </c>
      <c r="E232" s="223" t="inlineStr">
        <is>
          <t>if(CST_CALC_SAND_M3&lt;&gt;0,CST_CALC_SAND_M3,"")</t>
        </is>
      </c>
      <c r="F232" s="229" t="inlineStr">
        <is>
          <t>CST_UNIT_PRICE_SAND_UGX</t>
        </is>
      </c>
      <c r="G232" s="223" t="inlineStr">
        <is>
          <t>if(CST_UNIT_PRICE_SAND_UGX&lt;&gt;0,CST_UNIT_PRICE_SAND_UGX,"")</t>
        </is>
      </c>
      <c r="H232" s="223" t="inlineStr">
        <is>
          <t>CST_CALC_SAND_M3*CST_UNIT_PRICE_SAND_UGX</t>
        </is>
      </c>
      <c r="I232" s="223" t="n"/>
      <c r="J232" s="223" t="n"/>
      <c r="K232" s="223" t="n"/>
      <c r="L232" s="223" t="n"/>
      <c r="M232" s="223" t="n"/>
      <c r="N232" s="223" t="n"/>
      <c r="O232" s="223" t="inlineStr">
        <is>
          <t>CST_SUP_PREFERRED_SUPPLIER_TXT</t>
        </is>
      </c>
      <c r="P232" s="223" t="inlineStr">
        <is>
          <t>CST_SUP_PROCUREMENT_LEAD_TIME_DAYS</t>
        </is>
      </c>
      <c r="Q232" s="223" t="inlineStr">
        <is>
          <t>Lwera / Mukono sand</t>
        </is>
      </c>
      <c r="R232" s="223" t="n"/>
    </row>
    <row r="233">
      <c r="A233" s="223" t="inlineStr">
        <is>
          <t>10.1.3</t>
        </is>
      </c>
      <c r="B233" s="223" t="inlineStr">
        <is>
          <t>Aggregate total volume</t>
        </is>
      </c>
      <c r="C233" s="223" t="inlineStr">
        <is>
          <t>m3</t>
        </is>
      </c>
      <c r="D233" s="230" t="inlineStr">
        <is>
          <t>CST_CALC_AGGREGATE_M3</t>
        </is>
      </c>
      <c r="E233" s="223" t="inlineStr">
        <is>
          <t>if(CST_CALC_AGGREGATE_M3&lt;&gt;0,CST_CALC_AGGREGATE_M3,"")</t>
        </is>
      </c>
      <c r="F233" s="229" t="inlineStr">
        <is>
          <t>CST_UNIT_PRICE_AGGREGATE_UGX</t>
        </is>
      </c>
      <c r="G233" s="223" t="inlineStr">
        <is>
          <t>if(CST_UNIT_PRICE_AGGREGATE_UGX&lt;&gt;0,CST_UNIT_PRICE_AGGREGATE_UGX,"")</t>
        </is>
      </c>
      <c r="H233" s="223" t="inlineStr">
        <is>
          <t>CST_CALC_AGGREGATE_M3*CST_UNIT_PRICE_AGGREGATE_UGX</t>
        </is>
      </c>
      <c r="I233" s="223" t="n"/>
      <c r="J233" s="223" t="n"/>
      <c r="K233" s="223" t="n"/>
      <c r="L233" s="223" t="n"/>
      <c r="M233" s="223" t="n"/>
      <c r="N233" s="223" t="n"/>
      <c r="O233" s="223" t="inlineStr">
        <is>
          <t>CST_SUP_PREFERRED_SUPPLIER_TXT</t>
        </is>
      </c>
      <c r="P233" s="223" t="inlineStr">
        <is>
          <t>CST_SUP_PROCUREMENT_LEAD_TIME_DAYS</t>
        </is>
      </c>
      <c r="Q233" s="223" t="inlineStr">
        <is>
          <t>Crushed stone 20mm</t>
        </is>
      </c>
      <c r="R233" s="223" t="n"/>
    </row>
    <row r="234">
      <c r="A234" s="223" t="inlineStr">
        <is>
          <t>10.1.4</t>
        </is>
      </c>
      <c r="B234" s="223" t="inlineStr">
        <is>
          <t>Cement total (bags)</t>
        </is>
      </c>
      <c r="C234" s="223" t="inlineStr">
        <is>
          <t>bags</t>
        </is>
      </c>
      <c r="D234" s="230" t="inlineStr">
        <is>
          <t>CST_CALC_CEMENT_BAGS_NR</t>
        </is>
      </c>
      <c r="E234" s="223" t="inlineStr">
        <is>
          <t>if(CST_CALC_CEMENT_BAGS_NR&lt;&gt;0,CST_CALC_CEMENT_BAGS_NR,"")</t>
        </is>
      </c>
      <c r="F234" s="229" t="inlineStr">
        <is>
          <t>CST_UNIT_PRICE_CEMENT_UGX</t>
        </is>
      </c>
      <c r="G234" s="223" t="inlineStr">
        <is>
          <t>if(CST_UNIT_PRICE_CEMENT_UGX&lt;&gt;0,CST_UNIT_PRICE_CEMENT_UGX,"")</t>
        </is>
      </c>
      <c r="H234" s="223" t="inlineStr">
        <is>
          <t>CST_CALC_CEMENT_BAGS_NR*CST_UNIT_PRICE_CEMENT_UGX</t>
        </is>
      </c>
      <c r="I234" s="223" t="n"/>
      <c r="J234" s="223" t="n"/>
      <c r="K234" s="223" t="n"/>
      <c r="L234" s="223" t="n"/>
      <c r="M234" s="223" t="n"/>
      <c r="N234" s="223" t="n"/>
      <c r="O234" s="223" t="inlineStr">
        <is>
          <t>CST_SUP_PREFERRED_SUPPLIER_TXT</t>
        </is>
      </c>
      <c r="P234" s="223" t="inlineStr">
        <is>
          <t>CST_SUP_PROCUREMENT_LEAD_TIME_DAYS</t>
        </is>
      </c>
      <c r="Q234" s="223" t="inlineStr">
        <is>
          <t>50kg Hima / Tororo</t>
        </is>
      </c>
      <c r="R234" s="223" t="n"/>
    </row>
    <row r="235">
      <c r="A235" s="223" t="inlineStr">
        <is>
          <t>10.1.5</t>
        </is>
      </c>
      <c r="B235" s="223" t="inlineStr">
        <is>
          <t>Water total volume</t>
        </is>
      </c>
      <c r="C235" s="223" t="inlineStr">
        <is>
          <t>m3</t>
        </is>
      </c>
      <c r="D235" s="230" t="inlineStr">
        <is>
          <t>CST_CALC_WATER_M3</t>
        </is>
      </c>
      <c r="E235" s="223" t="inlineStr">
        <is>
          <t>if(CST_CALC_WATER_M3&lt;&gt;0,CST_CALC_WATER_M3,"")</t>
        </is>
      </c>
      <c r="F235" s="223" t="inlineStr"/>
      <c r="G235" s="223" t="inlineStr"/>
      <c r="H235" s="223" t="inlineStr"/>
      <c r="I235" s="223" t="n"/>
      <c r="J235" s="223" t="n"/>
      <c r="K235" s="223" t="n"/>
      <c r="L235" s="223" t="n"/>
      <c r="M235" s="223" t="n"/>
      <c r="N235" s="223" t="n"/>
      <c r="O235" s="223" t="inlineStr">
        <is>
          <t>CST_SUP_PREFERRED_SUPPLIER_TXT</t>
        </is>
      </c>
      <c r="P235" s="223" t="inlineStr">
        <is>
          <t>CST_SUP_PROCUREMENT_LEAD_TIME_DAYS</t>
        </is>
      </c>
      <c r="Q235" s="223" t="inlineStr">
        <is>
          <t>NWSC connection</t>
        </is>
      </c>
      <c r="R235" s="223" t="n"/>
    </row>
    <row r="236">
      <c r="A236" s="223" t="inlineStr">
        <is>
          <t>10.1.6</t>
        </is>
      </c>
      <c r="B236" s="223" t="inlineStr">
        <is>
          <t>Mortar total volume</t>
        </is>
      </c>
      <c r="C236" s="223" t="inlineStr">
        <is>
          <t>m3</t>
        </is>
      </c>
      <c r="D236" s="230" t="inlineStr">
        <is>
          <t>CST_CALC_MORTAR_M3</t>
        </is>
      </c>
      <c r="E236" s="223" t="inlineStr">
        <is>
          <t>if(CST_CALC_MORTAR_M3&lt;&gt;0,CST_CALC_MORTAR_M3,"")</t>
        </is>
      </c>
      <c r="F236" s="229" t="inlineStr">
        <is>
          <t>CST_UNIT_PRICE_SAND_UGX</t>
        </is>
      </c>
      <c r="G236" s="223" t="inlineStr">
        <is>
          <t>if(CST_UNIT_PRICE_SAND_UGX&lt;&gt;0,CST_UNIT_PRICE_SAND_UGX,"")</t>
        </is>
      </c>
      <c r="H236" s="223" t="inlineStr">
        <is>
          <t>CST_CALC_MORTAR_M3*CST_UNIT_PRICE_SAND_UGX</t>
        </is>
      </c>
      <c r="I236" s="223" t="n"/>
      <c r="J236" s="223" t="n"/>
      <c r="K236" s="223" t="n"/>
      <c r="L236" s="223" t="n"/>
      <c r="M236" s="223" t="n"/>
      <c r="N236" s="223" t="n"/>
      <c r="O236" s="223" t="inlineStr">
        <is>
          <t>CST_SUP_PREFERRED_SUPPLIER_TXT</t>
        </is>
      </c>
      <c r="P236" s="223" t="inlineStr">
        <is>
          <t>CST_SUP_PROCUREMENT_LEAD_TIME_DAYS</t>
        </is>
      </c>
      <c r="Q236" s="223" t="inlineStr">
        <is>
          <t>For blockwork joints</t>
        </is>
      </c>
      <c r="R236" s="223" t="n"/>
    </row>
    <row r="237">
      <c r="A237" s="263" t="inlineStr">
        <is>
          <t>10.2  Masonry materials</t>
        </is>
      </c>
      <c r="B237" s="269" t="n"/>
      <c r="C237" s="269" t="n"/>
      <c r="D237" s="269" t="n"/>
      <c r="E237" s="269" t="n"/>
      <c r="F237" s="269" t="n"/>
      <c r="G237" s="269" t="n"/>
      <c r="H237" s="269" t="n"/>
      <c r="I237" s="269" t="n"/>
      <c r="J237" s="269" t="n"/>
      <c r="K237" s="269" t="n"/>
      <c r="L237" s="269" t="n"/>
      <c r="M237" s="269" t="n"/>
      <c r="N237" s="269" t="n"/>
      <c r="O237" s="269" t="n"/>
      <c r="P237" s="269" t="n"/>
      <c r="Q237" s="269" t="n"/>
      <c r="R237" s="270" t="n"/>
    </row>
    <row r="238">
      <c r="A238" s="223" t="inlineStr">
        <is>
          <t>10.2.1</t>
        </is>
      </c>
      <c r="B238" s="223" t="inlineStr">
        <is>
          <t>Blocks total count</t>
        </is>
      </c>
      <c r="C238" s="223" t="inlineStr">
        <is>
          <t>nr</t>
        </is>
      </c>
      <c r="D238" s="230" t="inlineStr">
        <is>
          <t>CST_CALC_BLOCKS_NR</t>
        </is>
      </c>
      <c r="E238" s="223" t="inlineStr">
        <is>
          <t>if(CST_CALC_BLOCKS_NR&lt;&gt;0,CST_CALC_BLOCKS_NR,"")</t>
        </is>
      </c>
      <c r="F238" s="223" t="inlineStr">
        <is>
          <t>CST_UNIT_PRICE_BLOCK_UGX</t>
        </is>
      </c>
      <c r="G238" s="223" t="inlineStr">
        <is>
          <t>if(CST_UNIT_PRICE_BLOCK_UGX&lt;&gt;0,CST_UNIT_PRICE_BLOCK_UGX,"")</t>
        </is>
      </c>
      <c r="H238" s="223" t="inlineStr">
        <is>
          <t>CST_CALC_BLOCKS_NR*CST_UNIT_PRICE_BLOCK_UGX</t>
        </is>
      </c>
      <c r="I238" s="223" t="n"/>
      <c r="J238" s="223" t="n"/>
      <c r="K238" s="223" t="n"/>
      <c r="L238" s="223" t="n"/>
      <c r="M238" s="223" t="n"/>
      <c r="N238" s="223" t="n"/>
      <c r="O238" s="223" t="inlineStr">
        <is>
          <t>CST_SUP_LOCAL_SUPPLIER_TXT</t>
        </is>
      </c>
      <c r="P238" s="223" t="inlineStr">
        <is>
          <t>CST_DELIVERY_LEAD_TIME_DAYS</t>
        </is>
      </c>
      <c r="Q238" s="223" t="inlineStr">
        <is>
          <t>400x200x200mm hollow</t>
        </is>
      </c>
      <c r="R238" s="223" t="n"/>
    </row>
    <row r="239">
      <c r="A239" s="223" t="inlineStr">
        <is>
          <t>10.2.2</t>
        </is>
      </c>
      <c r="B239" s="223" t="inlineStr">
        <is>
          <t>Plaster volume</t>
        </is>
      </c>
      <c r="C239" s="223" t="inlineStr">
        <is>
          <t>m3</t>
        </is>
      </c>
      <c r="D239" s="230" t="inlineStr">
        <is>
          <t>CST_CALC_PLASTER_M3</t>
        </is>
      </c>
      <c r="E239" s="223" t="inlineStr">
        <is>
          <t>if(CST_CALC_PLASTER_M3&lt;&gt;0,CST_CALC_PLASTER_M3,"")</t>
        </is>
      </c>
      <c r="F239" s="223" t="inlineStr">
        <is>
          <t>CST_UNIT_PRICE_CEMENT_UGX</t>
        </is>
      </c>
      <c r="G239" s="223" t="inlineStr">
        <is>
          <t>if(CST_UNIT_PRICE_CEMENT_UGX&lt;&gt;0,CST_UNIT_PRICE_CEMENT_UGX,"")</t>
        </is>
      </c>
      <c r="H239" s="223" t="inlineStr">
        <is>
          <t>CST_CALC_PLASTER_M3*CST_UNIT_PRICE_CEMENT_UGX</t>
        </is>
      </c>
      <c r="I239" s="223" t="n"/>
      <c r="J239" s="223" t="n"/>
      <c r="K239" s="223" t="n"/>
      <c r="L239" s="223" t="n"/>
      <c r="M239" s="223" t="n"/>
      <c r="N239" s="223" t="n"/>
      <c r="O239" s="223" t="inlineStr">
        <is>
          <t>CST_SUP_LOCAL_SUPPLIER_TXT</t>
        </is>
      </c>
      <c r="P239" s="223" t="inlineStr">
        <is>
          <t>CST_DELIVERY_LEAD_TIME_DAYS</t>
        </is>
      </c>
      <c r="Q239" s="223" t="inlineStr">
        <is>
          <t>Internal + external</t>
        </is>
      </c>
      <c r="R239" s="223" t="n"/>
    </row>
    <row r="240">
      <c r="A240" s="223" t="inlineStr">
        <is>
          <t>10.2.3</t>
        </is>
      </c>
      <c r="B240" s="223" t="inlineStr">
        <is>
          <t>Plaster sand</t>
        </is>
      </c>
      <c r="C240" s="223" t="inlineStr">
        <is>
          <t>m3</t>
        </is>
      </c>
      <c r="D240" s="230" t="inlineStr">
        <is>
          <t>CST_CALC_SAND_PLASTER_M3</t>
        </is>
      </c>
      <c r="E240" s="223" t="inlineStr">
        <is>
          <t>if(CST_CALC_SAND_PLASTER_M3&lt;&gt;0,CST_CALC_SAND_PLASTER_M3,"")</t>
        </is>
      </c>
      <c r="F240" s="223" t="inlineStr">
        <is>
          <t>CST_UNIT_PRICE_SAND_UGX</t>
        </is>
      </c>
      <c r="G240" s="223" t="inlineStr">
        <is>
          <t>if(CST_UNIT_PRICE_SAND_UGX&lt;&gt;0,CST_UNIT_PRICE_SAND_UGX,"")</t>
        </is>
      </c>
      <c r="H240" s="223" t="inlineStr">
        <is>
          <t>CST_CALC_SAND_PLASTER_M3*CST_UNIT_PRICE_SAND_UGX</t>
        </is>
      </c>
      <c r="I240" s="223" t="n"/>
      <c r="J240" s="223" t="n"/>
      <c r="K240" s="223" t="n"/>
      <c r="L240" s="223" t="n"/>
      <c r="M240" s="223" t="n"/>
      <c r="N240" s="223" t="n"/>
      <c r="O240" s="223" t="inlineStr">
        <is>
          <t>CST_SUP_LOCAL_SUPPLIER_TXT</t>
        </is>
      </c>
      <c r="P240" s="223" t="inlineStr">
        <is>
          <t>CST_DELIVERY_LEAD_TIME_DAYS</t>
        </is>
      </c>
      <c r="Q240" s="223" t="inlineStr">
        <is>
          <t>Fine plastering sand</t>
        </is>
      </c>
      <c r="R240" s="223" t="n"/>
    </row>
    <row r="241">
      <c r="A241" s="223" t="inlineStr">
        <is>
          <t>10.2.4</t>
        </is>
      </c>
      <c r="B241" s="223" t="inlineStr">
        <is>
          <t>Cement plaster (bags)</t>
        </is>
      </c>
      <c r="C241" s="223" t="inlineStr">
        <is>
          <t>bags</t>
        </is>
      </c>
      <c r="D241" s="230" t="inlineStr">
        <is>
          <t>CST_CALC_CEMENT_PLASTER_BAGS</t>
        </is>
      </c>
      <c r="E241" s="223" t="inlineStr">
        <is>
          <t>if(CST_CALC_CEMENT_PLASTER_BAGS&lt;&gt;0,CST_CALC_CEMENT_PLASTER_BAGS,"")</t>
        </is>
      </c>
      <c r="F241" s="223" t="inlineStr">
        <is>
          <t>CST_UNIT_PRICE_CEMENT_UGX</t>
        </is>
      </c>
      <c r="G241" s="223" t="inlineStr">
        <is>
          <t>if(CST_UNIT_PRICE_CEMENT_UGX&lt;&gt;0,CST_UNIT_PRICE_CEMENT_UGX,"")</t>
        </is>
      </c>
      <c r="H241" s="223" t="inlineStr">
        <is>
          <t>CST_CALC_CEMENT_PLASTER_BAGS*CST_UNIT_PRICE_CEMENT_UGX</t>
        </is>
      </c>
      <c r="I241" s="223" t="n"/>
      <c r="J241" s="223" t="n"/>
      <c r="K241" s="223" t="n"/>
      <c r="L241" s="223" t="n"/>
      <c r="M241" s="223" t="n"/>
      <c r="N241" s="223" t="n"/>
      <c r="O241" s="223" t="inlineStr">
        <is>
          <t>CST_SUP_LOCAL_SUPPLIER_TXT</t>
        </is>
      </c>
      <c r="P241" s="223" t="inlineStr">
        <is>
          <t>CST_DELIVERY_LEAD_TIME_DAYS</t>
        </is>
      </c>
      <c r="Q241" s="223" t="inlineStr">
        <is>
          <t>For plasterwork</t>
        </is>
      </c>
      <c r="R241" s="223" t="n"/>
    </row>
    <row r="242">
      <c r="A242" s="263" t="inlineStr">
        <is>
          <t>10.3  Steel &amp; reinforcement</t>
        </is>
      </c>
      <c r="B242" s="269" t="n"/>
      <c r="C242" s="269" t="n"/>
      <c r="D242" s="269" t="n"/>
      <c r="E242" s="269" t="n"/>
      <c r="F242" s="269" t="n"/>
      <c r="G242" s="269" t="n"/>
      <c r="H242" s="269" t="n"/>
      <c r="I242" s="269" t="n"/>
      <c r="J242" s="269" t="n"/>
      <c r="K242" s="269" t="n"/>
      <c r="L242" s="269" t="n"/>
      <c r="M242" s="269" t="n"/>
      <c r="N242" s="269" t="n"/>
      <c r="O242" s="269" t="n"/>
      <c r="P242" s="269" t="n"/>
      <c r="Q242" s="269" t="n"/>
      <c r="R242" s="270" t="n"/>
    </row>
    <row r="243">
      <c r="A243" s="223" t="inlineStr">
        <is>
          <t>10.3.1</t>
        </is>
      </c>
      <c r="B243" s="223" t="inlineStr">
        <is>
          <t>Reinforcement steel total</t>
        </is>
      </c>
      <c r="C243" s="223" t="inlineStr">
        <is>
          <t>kg</t>
        </is>
      </c>
      <c r="D243" s="230" t="inlineStr">
        <is>
          <t>CST_CALC_STEEL_KG</t>
        </is>
      </c>
      <c r="E243" s="223" t="n"/>
      <c r="F243" s="223" t="inlineStr">
        <is>
          <t>CST_UNIT_PRICE_STEEL_UGX</t>
        </is>
      </c>
      <c r="G243" s="223" t="n"/>
      <c r="H243" s="223" t="inlineStr">
        <is>
          <t>CST_CALC_STEEL_KG*CST_UNIT_PRICE_STEEL_UGX</t>
        </is>
      </c>
      <c r="I243" s="223" t="n"/>
      <c r="J243" s="223" t="n"/>
      <c r="K243" s="223" t="n"/>
      <c r="L243" s="223" t="n"/>
      <c r="M243" s="223" t="n"/>
      <c r="N243" s="223" t="n"/>
      <c r="O243" s="223" t="inlineStr">
        <is>
          <t>CST_SUP_PREFERRED_SUPPLIER_TXT</t>
        </is>
      </c>
      <c r="P243" s="223" t="inlineStr">
        <is>
          <t>CST_SUP_PROCUREMENT_LEAD_TIME_DAYS</t>
        </is>
      </c>
      <c r="Q243" s="223" t="inlineStr">
        <is>
          <t>Y12, Y16, Y20 combined</t>
        </is>
      </c>
      <c r="R243" s="223" t="n"/>
    </row>
    <row r="244">
      <c r="A244" s="223" t="inlineStr">
        <is>
          <t>10.3.2</t>
        </is>
      </c>
      <c r="B244" s="223" t="inlineStr">
        <is>
          <t>BRC mesh total</t>
        </is>
      </c>
      <c r="C244" s="223" t="inlineStr">
        <is>
          <t>m2</t>
        </is>
      </c>
      <c r="D244" s="230" t="inlineStr">
        <is>
          <t>CST_S_FRM_SLAB_AREA_SQ_M</t>
        </is>
      </c>
      <c r="E244" s="223" t="n"/>
      <c r="F244" s="223" t="inlineStr">
        <is>
          <t>ASS_CST_UNIT_PRICE_UGX_NR</t>
        </is>
      </c>
      <c r="G244" s="223" t="n"/>
      <c r="H244" s="223" t="inlineStr">
        <is>
          <t>CST_S_FRM_SLAB_AREA_SQ_M*ASS_CST_UNIT_PRICE_UGX_NR</t>
        </is>
      </c>
      <c r="I244" s="223" t="n"/>
      <c r="J244" s="223" t="n"/>
      <c r="K244" s="223" t="n"/>
      <c r="L244" s="223" t="n"/>
      <c r="M244" s="223" t="n"/>
      <c r="N244" s="223" t="n"/>
      <c r="O244" s="223" t="inlineStr">
        <is>
          <t>CST_SUP_PREFERRED_SUPPLIER_TXT</t>
        </is>
      </c>
      <c r="P244" s="223" t="inlineStr">
        <is>
          <t>CST_SUP_PROCUREMENT_LEAD_TIME_DAYS</t>
        </is>
      </c>
      <c r="Q244" s="223" t="inlineStr">
        <is>
          <t>A142 / A193</t>
        </is>
      </c>
      <c r="R244" s="223" t="n"/>
    </row>
    <row r="245">
      <c r="A245" s="263" t="inlineStr">
        <is>
          <t>10.4  Finishing materials</t>
        </is>
      </c>
      <c r="B245" s="269" t="n"/>
      <c r="C245" s="269" t="n"/>
      <c r="D245" s="269" t="n"/>
      <c r="E245" s="269" t="n"/>
      <c r="F245" s="269" t="n"/>
      <c r="G245" s="269" t="n"/>
      <c r="H245" s="269" t="n"/>
      <c r="I245" s="269" t="n"/>
      <c r="J245" s="269" t="n"/>
      <c r="K245" s="269" t="n"/>
      <c r="L245" s="269" t="n"/>
      <c r="M245" s="269" t="n"/>
      <c r="N245" s="269" t="n"/>
      <c r="O245" s="269" t="n"/>
      <c r="P245" s="269" t="n"/>
      <c r="Q245" s="269" t="n"/>
      <c r="R245" s="270" t="n"/>
    </row>
    <row r="246">
      <c r="A246" s="223" t="inlineStr">
        <is>
          <t>10.4.1</t>
        </is>
      </c>
      <c r="B246" s="223" t="inlineStr">
        <is>
          <t>Tiles total area</t>
        </is>
      </c>
      <c r="C246" s="223" t="inlineStr">
        <is>
          <t>m2</t>
        </is>
      </c>
      <c r="D246" s="230" t="inlineStr">
        <is>
          <t>CST_CALC_TILE_M2</t>
        </is>
      </c>
      <c r="E246" s="223" t="n"/>
      <c r="F246" s="223" t="inlineStr">
        <is>
          <t>CST_UNIT_PRICE_TILE_UGX</t>
        </is>
      </c>
      <c r="G246" s="223" t="n"/>
      <c r="H246" s="223" t="inlineStr">
        <is>
          <t>CST_CALC_TILE_M2*CST_UNIT_PRICE_TILE_UGX</t>
        </is>
      </c>
      <c r="I246" s="223" t="n"/>
      <c r="J246" s="223" t="n"/>
      <c r="K246" s="223" t="n"/>
      <c r="L246" s="223" t="n"/>
      <c r="M246" s="223" t="n"/>
      <c r="N246" s="223" t="n"/>
      <c r="O246" s="223" t="n"/>
      <c r="P246" s="223" t="n"/>
      <c r="Q246" s="223" t="inlineStr">
        <is>
          <t>Floor + wall tiles</t>
        </is>
      </c>
      <c r="R246" s="223" t="n"/>
    </row>
    <row r="247">
      <c r="A247" s="223" t="inlineStr">
        <is>
          <t>10.4.2</t>
        </is>
      </c>
      <c r="B247" s="223" t="inlineStr">
        <is>
          <t>Adhesive total</t>
        </is>
      </c>
      <c r="C247" s="223" t="inlineStr">
        <is>
          <t>kg</t>
        </is>
      </c>
      <c r="D247" s="230" t="inlineStr">
        <is>
          <t>CST_CALC_ADHESIVE_KG</t>
        </is>
      </c>
      <c r="E247" s="223" t="n"/>
      <c r="F247" s="223" t="inlineStr">
        <is>
          <t>CST_UNIT_PRICE_ADHESIVE_UGX</t>
        </is>
      </c>
      <c r="G247" s="223" t="n"/>
      <c r="H247" s="223" t="inlineStr">
        <is>
          <t>CST_CALC_ADHESIVE_KG*CST_UNIT_PRICE_ADHESIVE_UGX</t>
        </is>
      </c>
      <c r="I247" s="223" t="n"/>
      <c r="J247" s="223" t="n"/>
      <c r="K247" s="223" t="n"/>
      <c r="L247" s="223" t="n"/>
      <c r="M247" s="223" t="n"/>
      <c r="N247" s="223" t="n"/>
      <c r="O247" s="223" t="n"/>
      <c r="P247" s="223" t="n"/>
      <c r="Q247" s="223" t="inlineStr">
        <is>
          <t>Tile adhesive</t>
        </is>
      </c>
      <c r="R247" s="223" t="n"/>
    </row>
    <row r="248">
      <c r="A248" s="223" t="inlineStr">
        <is>
          <t>10.4.3</t>
        </is>
      </c>
      <c r="B248" s="223" t="inlineStr">
        <is>
          <t>Grout total</t>
        </is>
      </c>
      <c r="C248" s="223" t="inlineStr">
        <is>
          <t>kg</t>
        </is>
      </c>
      <c r="D248" s="230" t="inlineStr">
        <is>
          <t>CST_CALC_GROUT_KG</t>
        </is>
      </c>
      <c r="E248" s="223" t="n"/>
      <c r="F248" s="223" t="inlineStr">
        <is>
          <t>CST_UNIT_PRICE_GROUT_UGX</t>
        </is>
      </c>
      <c r="G248" s="223" t="n"/>
      <c r="H248" s="223" t="inlineStr">
        <is>
          <t>CST_CALC_GROUT_KG*CST_UNIT_PRICE_GROUT_UGX</t>
        </is>
      </c>
      <c r="I248" s="223" t="n"/>
      <c r="J248" s="223" t="n"/>
      <c r="K248" s="223" t="n"/>
      <c r="L248" s="223" t="n"/>
      <c r="M248" s="223" t="n"/>
      <c r="N248" s="223" t="n"/>
      <c r="O248" s="223" t="n"/>
      <c r="P248" s="223" t="n"/>
      <c r="Q248" s="223" t="inlineStr">
        <is>
          <t>Tile grout</t>
        </is>
      </c>
      <c r="R248" s="223" t="n"/>
    </row>
    <row r="249">
      <c r="A249" s="223" t="inlineStr">
        <is>
          <t>10.4.4</t>
        </is>
      </c>
      <c r="B249" s="223" t="inlineStr">
        <is>
          <t>Paint total</t>
        </is>
      </c>
      <c r="C249" s="223" t="inlineStr">
        <is>
          <t>litres</t>
        </is>
      </c>
      <c r="D249" s="230" t="inlineStr">
        <is>
          <t>CST_CALC_PAINT_LITERS</t>
        </is>
      </c>
      <c r="E249" s="223" t="n"/>
      <c r="F249" s="223" t="inlineStr">
        <is>
          <t>CST_UNIT_PRICE_PAINT_UGX</t>
        </is>
      </c>
      <c r="G249" s="223" t="n"/>
      <c r="H249" s="223" t="inlineStr">
        <is>
          <t>CST_CALC_PAINT_LITERS*CST_UNIT_PRICE_PAINT_UGX</t>
        </is>
      </c>
      <c r="I249" s="223" t="n"/>
      <c r="J249" s="223" t="n"/>
      <c r="K249" s="223" t="n"/>
      <c r="L249" s="223" t="n"/>
      <c r="M249" s="223" t="n"/>
      <c r="N249" s="223" t="n"/>
      <c r="O249" s="223" t="n"/>
      <c r="P249" s="223" t="n"/>
      <c r="Q249" s="223" t="inlineStr">
        <is>
          <t>2 coats</t>
        </is>
      </c>
      <c r="R249" s="223" t="n"/>
    </row>
    <row r="250">
      <c r="A250" s="223" t="inlineStr">
        <is>
          <t>10.4.5</t>
        </is>
      </c>
      <c r="B250" s="223" t="inlineStr">
        <is>
          <t>Primer total</t>
        </is>
      </c>
      <c r="C250" s="223" t="inlineStr">
        <is>
          <t>litres</t>
        </is>
      </c>
      <c r="D250" s="230" t="inlineStr">
        <is>
          <t>CST_CALC_PRIMER_LITERS</t>
        </is>
      </c>
      <c r="E250" s="223" t="n"/>
      <c r="F250" s="223" t="inlineStr">
        <is>
          <t>CST_UNIT_PRICE_PRIMER_UGX</t>
        </is>
      </c>
      <c r="G250" s="223" t="n"/>
      <c r="H250" s="223" t="inlineStr">
        <is>
          <t>CST_CALC_PRIMER_LITERS*CST_UNIT_PRICE_PRIMER_UGX</t>
        </is>
      </c>
      <c r="I250" s="223" t="n"/>
      <c r="J250" s="223" t="n"/>
      <c r="K250" s="223" t="n"/>
      <c r="L250" s="223" t="n"/>
      <c r="M250" s="223" t="n"/>
      <c r="N250" s="223" t="n"/>
      <c r="O250" s="223" t="n"/>
      <c r="P250" s="223" t="n"/>
      <c r="Q250" s="223" t="inlineStr">
        <is>
          <t>Undercoat</t>
        </is>
      </c>
      <c r="R250" s="223" t="n"/>
    </row>
    <row r="251">
      <c r="A251" s="223" t="inlineStr">
        <is>
          <t>10.4.6</t>
        </is>
      </c>
      <c r="B251" s="223" t="inlineStr">
        <is>
          <t>Putty total</t>
        </is>
      </c>
      <c r="C251" s="223" t="inlineStr">
        <is>
          <t>kg</t>
        </is>
      </c>
      <c r="D251" s="230" t="inlineStr">
        <is>
          <t>CST_CALC_PUTTY_KG</t>
        </is>
      </c>
      <c r="E251" s="223" t="n"/>
      <c r="F251" s="223" t="inlineStr">
        <is>
          <t>ASS_CST_UNIT_PRICE_UGX_NR</t>
        </is>
      </c>
      <c r="G251" s="223" t="n"/>
      <c r="H251" s="223" t="inlineStr">
        <is>
          <t>CST_CALC_PUTTY_KG*ASS_CST_UNIT_PRICE_UGX_NR</t>
        </is>
      </c>
      <c r="I251" s="223" t="n"/>
      <c r="J251" s="223" t="n"/>
      <c r="K251" s="223" t="n"/>
      <c r="L251" s="223" t="n"/>
      <c r="M251" s="223" t="n"/>
      <c r="N251" s="223" t="n"/>
      <c r="O251" s="223" t="n"/>
      <c r="P251" s="223" t="n"/>
      <c r="Q251" s="223" t="inlineStr">
        <is>
          <t>Wall preparation</t>
        </is>
      </c>
      <c r="R251" s="223" t="n"/>
    </row>
    <row r="252">
      <c r="A252" s="263" t="inlineStr">
        <is>
          <t>10.5  Roofing materials</t>
        </is>
      </c>
      <c r="B252" s="269" t="n"/>
      <c r="C252" s="269" t="n"/>
      <c r="D252" s="269" t="n"/>
      <c r="E252" s="269" t="n"/>
      <c r="F252" s="269" t="n"/>
      <c r="G252" s="269" t="n"/>
      <c r="H252" s="269" t="n"/>
      <c r="I252" s="269" t="n"/>
      <c r="J252" s="269" t="n"/>
      <c r="K252" s="269" t="n"/>
      <c r="L252" s="269" t="n"/>
      <c r="M252" s="269" t="n"/>
      <c r="N252" s="269" t="n"/>
      <c r="O252" s="269" t="n"/>
      <c r="P252" s="269" t="n"/>
      <c r="Q252" s="269" t="n"/>
      <c r="R252" s="270" t="n"/>
    </row>
    <row r="253">
      <c r="A253" s="223" t="inlineStr">
        <is>
          <t>10.5.1</t>
        </is>
      </c>
      <c r="B253" s="223" t="inlineStr">
        <is>
          <t>Roofing sheets total</t>
        </is>
      </c>
      <c r="C253" s="223" t="inlineStr">
        <is>
          <t>nr</t>
        </is>
      </c>
      <c r="D253" s="230" t="inlineStr">
        <is>
          <t>CST_CALC_SHEETS_NR</t>
        </is>
      </c>
      <c r="E253" s="223" t="n"/>
      <c r="F253" s="223" t="inlineStr">
        <is>
          <t>CST_UNIT_PRICE_SHEET_UGX</t>
        </is>
      </c>
      <c r="G253" s="223" t="n"/>
      <c r="H253" s="223" t="inlineStr">
        <is>
          <t>CST_CALC_SHEETS_NR*CST_UNIT_PRICE_SHEET_UGX</t>
        </is>
      </c>
      <c r="I253" s="223" t="n"/>
      <c r="J253" s="223" t="n"/>
      <c r="K253" s="223" t="n"/>
      <c r="L253" s="223" t="n"/>
      <c r="M253" s="223" t="n"/>
      <c r="N253" s="223" t="n"/>
      <c r="O253" s="223" t="n"/>
      <c r="P253" s="223" t="n"/>
      <c r="Q253" s="223" t="inlineStr">
        <is>
          <t>GCI / pre-painted</t>
        </is>
      </c>
      <c r="R253" s="223" t="n"/>
    </row>
    <row r="254">
      <c r="A254" s="223" t="inlineStr">
        <is>
          <t>10.5.2</t>
        </is>
      </c>
      <c r="B254" s="223" t="inlineStr">
        <is>
          <t>Purlins total length</t>
        </is>
      </c>
      <c r="C254" s="223" t="inlineStr">
        <is>
          <t>m</t>
        </is>
      </c>
      <c r="D254" s="230" t="inlineStr">
        <is>
          <t>CST_CALC_PURLINS_M</t>
        </is>
      </c>
      <c r="E254" s="223" t="n"/>
      <c r="F254" s="223" t="inlineStr">
        <is>
          <t>CST_UNIT_PRICE_STEEL_UGX</t>
        </is>
      </c>
      <c r="G254" s="223" t="n"/>
      <c r="H254" s="223" t="inlineStr">
        <is>
          <t>CST_CALC_PURLINS_M*CST_UNIT_PRICE_STEEL_UGX</t>
        </is>
      </c>
      <c r="I254" s="223" t="n"/>
      <c r="J254" s="223" t="n"/>
      <c r="K254" s="223" t="n"/>
      <c r="L254" s="223" t="n"/>
      <c r="M254" s="223" t="n"/>
      <c r="N254" s="223" t="n"/>
      <c r="O254" s="223" t="n"/>
      <c r="P254" s="223" t="n"/>
      <c r="Q254" s="223" t="inlineStr">
        <is>
          <t>Steel Z-purlins</t>
        </is>
      </c>
      <c r="R254" s="223" t="n"/>
    </row>
    <row r="255">
      <c r="A255" s="223" t="inlineStr">
        <is>
          <t>10.5.3</t>
        </is>
      </c>
      <c r="B255" s="223" t="inlineStr">
        <is>
          <t>Ridge cap total length</t>
        </is>
      </c>
      <c r="C255" s="223" t="inlineStr">
        <is>
          <t>m</t>
        </is>
      </c>
      <c r="D255" s="230" t="inlineStr">
        <is>
          <t>CST_CALC_RIDGE_CAP_M</t>
        </is>
      </c>
      <c r="E255" s="223" t="n"/>
      <c r="F255" s="223" t="inlineStr">
        <is>
          <t>ASS_CST_UNIT_PRICE_UGX_NR</t>
        </is>
      </c>
      <c r="G255" s="223" t="n"/>
      <c r="H255" s="223" t="inlineStr">
        <is>
          <t>CST_CALC_RIDGE_CAP_M*ASS_CST_UNIT_PRICE_UGX_NR</t>
        </is>
      </c>
      <c r="I255" s="223" t="n"/>
      <c r="J255" s="223" t="n"/>
      <c r="K255" s="223" t="n"/>
      <c r="L255" s="223" t="n"/>
      <c r="M255" s="223" t="n"/>
      <c r="N255" s="223" t="n"/>
      <c r="O255" s="223" t="n"/>
      <c r="P255" s="223" t="n"/>
      <c r="Q255" s="223" t="inlineStr"/>
      <c r="R255" s="223" t="n"/>
    </row>
    <row r="256">
      <c r="A256" s="223" t="inlineStr">
        <is>
          <t>10.5.4</t>
        </is>
      </c>
      <c r="B256" s="223" t="inlineStr">
        <is>
          <t>Roofing fasteners</t>
        </is>
      </c>
      <c r="C256" s="223" t="inlineStr">
        <is>
          <t>nr</t>
        </is>
      </c>
      <c r="D256" s="230" t="inlineStr">
        <is>
          <t>CST_CALC_FASTENERS_NR</t>
        </is>
      </c>
      <c r="E256" s="223" t="n"/>
      <c r="F256" s="223" t="inlineStr">
        <is>
          <t>CST_UNIT_PRICE_FASTENER_UGX</t>
        </is>
      </c>
      <c r="G256" s="223" t="n"/>
      <c r="H256" s="223" t="inlineStr">
        <is>
          <t>CST_CALC_FASTENERS_NR*CST_UNIT_PRICE_FASTENER_UGX</t>
        </is>
      </c>
      <c r="I256" s="223" t="n"/>
      <c r="J256" s="223" t="n"/>
      <c r="K256" s="223" t="n"/>
      <c r="L256" s="223" t="n"/>
      <c r="M256" s="223" t="n"/>
      <c r="N256" s="223" t="n"/>
      <c r="O256" s="223" t="n"/>
      <c r="P256" s="223" t="n"/>
      <c r="Q256" s="223" t="inlineStr">
        <is>
          <t>Self-drilling screws</t>
        </is>
      </c>
      <c r="R256" s="223" t="n"/>
    </row>
    <row r="258">
      <c r="A258" s="261" t="inlineStr">
        <is>
          <t>SECTION 11  —  PROCUREMENT &amp; SUPPLIER TRACKER (auto-populated from Revit shared params)</t>
        </is>
      </c>
      <c r="B258" s="269" t="n"/>
      <c r="C258" s="269" t="n"/>
      <c r="D258" s="269" t="n"/>
      <c r="E258" s="269" t="n"/>
      <c r="F258" s="269" t="n"/>
      <c r="G258" s="269" t="n"/>
      <c r="H258" s="269" t="n"/>
      <c r="I258" s="269" t="n"/>
      <c r="J258" s="269" t="n"/>
      <c r="K258" s="269" t="n"/>
      <c r="L258" s="269" t="n"/>
      <c r="M258" s="269" t="n"/>
      <c r="N258" s="269" t="n"/>
      <c r="O258" s="269" t="n"/>
      <c r="P258" s="269" t="n"/>
      <c r="Q258" s="269" t="n"/>
      <c r="R258" s="270" t="n"/>
    </row>
    <row r="260">
      <c r="A260" s="223" t="inlineStr">
        <is>
          <t>11.1</t>
        </is>
      </c>
      <c r="B260" s="223" t="inlineStr">
        <is>
          <t>Preferred supplier</t>
        </is>
      </c>
      <c r="C260" s="223" t="inlineStr"/>
      <c r="D260" s="229" t="inlineStr">
        <is>
          <t>CST_SUP_PREFERRED_SUPPLIER_TXT</t>
        </is>
      </c>
      <c r="E260" s="223" t="inlineStr">
        <is>
          <t>if(CST_SUP_PREFERRED_SUPPLIER_TXT&lt;&gt;"",CST_SUP_PREFERRED_SUPPLIER_TXT,"[TBC]")</t>
        </is>
      </c>
      <c r="F260" s="223" t="n"/>
      <c r="G260" s="223" t="n"/>
      <c r="H260" s="223" t="n"/>
      <c r="I260" s="223" t="n"/>
      <c r="J260" s="223" t="n"/>
      <c r="K260" s="223" t="n"/>
      <c r="L260" s="223" t="inlineStr">
        <is>
          <t>CST_SUP_PREFERRED_SUPPLIER_TXT</t>
        </is>
      </c>
      <c r="M260" s="223" t="n"/>
      <c r="N260" s="223" t="n"/>
      <c r="O260" s="223" t="n"/>
      <c r="P260" s="223" t="n"/>
      <c r="Q260" s="223" t="inlineStr">
        <is>
          <t>Primary vendor</t>
        </is>
      </c>
      <c r="R260" s="223" t="n"/>
    </row>
    <row r="261">
      <c r="A261" s="223" t="inlineStr">
        <is>
          <t>11.2</t>
        </is>
      </c>
      <c r="B261" s="223" t="inlineStr">
        <is>
          <t>Alternative suppliers</t>
        </is>
      </c>
      <c r="C261" s="223" t="inlineStr"/>
      <c r="D261" s="229" t="inlineStr">
        <is>
          <t>CST_SUP_ALTERNATIVE_SUPPLIERS_TXT</t>
        </is>
      </c>
      <c r="E261" s="223" t="inlineStr">
        <is>
          <t>if(CST_SUP_ALTERNATIVE_SUPPLIERS_TXT&lt;&gt;"",CST_SUP_ALTERNATIVE_SUPPLIERS_TXT,"[TBC]")</t>
        </is>
      </c>
      <c r="F261" s="223" t="n"/>
      <c r="G261" s="223" t="n"/>
      <c r="H261" s="223" t="n"/>
      <c r="I261" s="223" t="n"/>
      <c r="J261" s="223" t="n"/>
      <c r="K261" s="223" t="n"/>
      <c r="L261" s="223" t="inlineStr">
        <is>
          <t>CST_SUP_ALTERNATIVE_SUPPLIERS_TXT</t>
        </is>
      </c>
      <c r="M261" s="223" t="n"/>
      <c r="N261" s="223" t="n"/>
      <c r="O261" s="223" t="n"/>
      <c r="P261" s="223" t="n"/>
      <c r="Q261" s="223" t="inlineStr">
        <is>
          <t>Backup vendors for price comparison</t>
        </is>
      </c>
      <c r="R261" s="223" t="n"/>
    </row>
    <row r="262">
      <c r="A262" s="223" t="inlineStr">
        <is>
          <t>11.3</t>
        </is>
      </c>
      <c r="B262" s="223" t="inlineStr">
        <is>
          <t>Local supplier</t>
        </is>
      </c>
      <c r="C262" s="223" t="inlineStr"/>
      <c r="D262" s="229" t="inlineStr">
        <is>
          <t>CST_SUP_LOCAL_SUPPLIER_TXT</t>
        </is>
      </c>
      <c r="E262" s="223" t="inlineStr">
        <is>
          <t>if(CST_SUP_LOCAL_SUPPLIER_TXT&lt;&gt;"",CST_SUP_LOCAL_SUPPLIER_TXT,"[TBC]")</t>
        </is>
      </c>
      <c r="F262" s="223" t="n"/>
      <c r="G262" s="223" t="n"/>
      <c r="H262" s="223" t="n"/>
      <c r="I262" s="223" t="n"/>
      <c r="J262" s="223" t="n"/>
      <c r="K262" s="223" t="n"/>
      <c r="L262" s="223" t="inlineStr">
        <is>
          <t>CST_SUP_LOCAL_SUPPLIER_TXT</t>
        </is>
      </c>
      <c r="M262" s="223" t="n"/>
      <c r="N262" s="223" t="n"/>
      <c r="O262" s="223" t="n"/>
      <c r="P262" s="223" t="n"/>
      <c r="Q262" s="223" t="inlineStr">
        <is>
          <t>Kampala-area source</t>
        </is>
      </c>
      <c r="R262" s="223" t="n"/>
    </row>
    <row r="263">
      <c r="A263" s="223" t="inlineStr">
        <is>
          <t>11.4</t>
        </is>
      </c>
      <c r="B263" s="223" t="inlineStr">
        <is>
          <t>Country of origin</t>
        </is>
      </c>
      <c r="C263" s="223" t="inlineStr"/>
      <c r="D263" s="229" t="inlineStr">
        <is>
          <t>CST_SUP_COUNTRY_OF_ORIGIN_INT</t>
        </is>
      </c>
      <c r="E263" s="223" t="inlineStr">
        <is>
          <t>if(CST_SUP_COUNTRY_OF_ORIGIN_INT&lt;&gt;"",CST_SUP_COUNTRY_OF_ORIGIN_INT,"[TBC]")</t>
        </is>
      </c>
      <c r="F263" s="223" t="n"/>
      <c r="G263" s="223" t="n"/>
      <c r="H263" s="223" t="n"/>
      <c r="I263" s="223" t="n"/>
      <c r="J263" s="223" t="n"/>
      <c r="K263" s="223" t="n"/>
      <c r="L263" s="223" t="inlineStr">
        <is>
          <t>CST_SUP_COUNTRY_OF_ORIGIN_INT</t>
        </is>
      </c>
      <c r="M263" s="223" t="n"/>
      <c r="N263" s="223" t="n"/>
      <c r="O263" s="223" t="n"/>
      <c r="P263" s="223" t="n"/>
      <c r="Q263" s="223" t="inlineStr">
        <is>
          <t>Import vs local flag</t>
        </is>
      </c>
      <c r="R263" s="223" t="n"/>
    </row>
    <row r="264">
      <c r="A264" s="223" t="inlineStr">
        <is>
          <t>11.5</t>
        </is>
      </c>
      <c r="B264" s="223" t="inlineStr">
        <is>
          <t>Import required?</t>
        </is>
      </c>
      <c r="C264" s="223" t="inlineStr"/>
      <c r="D264" s="229" t="inlineStr">
        <is>
          <t>CST_IMPORT_REQUIRED_BOOL</t>
        </is>
      </c>
      <c r="E264" s="223" t="inlineStr">
        <is>
          <t>if(CST_IMPORT_REQUIRED_BOOL&lt;&gt;"",CST_IMPORT_REQUIRED_BOOL,"[TBC]")</t>
        </is>
      </c>
      <c r="F264" s="223" t="n"/>
      <c r="G264" s="223" t="n"/>
      <c r="H264" s="223" t="n"/>
      <c r="I264" s="223" t="n"/>
      <c r="J264" s="223" t="n"/>
      <c r="K264" s="223" t="n"/>
      <c r="L264" s="223" t="inlineStr">
        <is>
          <t>CST_IMPORT_REQUIRED_BOOL</t>
        </is>
      </c>
      <c r="M264" s="223" t="n"/>
      <c r="N264" s="223" t="n"/>
      <c r="O264" s="223" t="n"/>
      <c r="P264" s="223" t="n"/>
      <c r="Q264" s="223" t="inlineStr">
        <is>
          <t>Customs clearance trigger</t>
        </is>
      </c>
      <c r="R264" s="223" t="n"/>
    </row>
    <row r="265">
      <c r="A265" s="223" t="inlineStr">
        <is>
          <t>11.6</t>
        </is>
      </c>
      <c r="B265" s="223" t="inlineStr">
        <is>
          <t>Shipping method</t>
        </is>
      </c>
      <c r="C265" s="223" t="inlineStr"/>
      <c r="D265" s="229" t="inlineStr">
        <is>
          <t>CST_SUP_SHIPPING_METHOD_TXT</t>
        </is>
      </c>
      <c r="E265" s="223" t="inlineStr">
        <is>
          <t>if(CST_SUP_SHIPPING_METHOD_TXT&lt;&gt;"",CST_SUP_SHIPPING_METHOD_TXT,"[TBC]")</t>
        </is>
      </c>
      <c r="F265" s="223" t="n"/>
      <c r="G265" s="223" t="n"/>
      <c r="H265" s="223" t="n"/>
      <c r="I265" s="223" t="n"/>
      <c r="J265" s="223" t="n"/>
      <c r="K265" s="223" t="n"/>
      <c r="L265" s="223" t="inlineStr">
        <is>
          <t>CST_SUP_SHIPPING_METHOD_TXT</t>
        </is>
      </c>
      <c r="M265" s="223" t="n"/>
      <c r="N265" s="223" t="n"/>
      <c r="O265" s="223" t="n"/>
      <c r="P265" s="223" t="n"/>
      <c r="Q265" s="223" t="inlineStr">
        <is>
          <t>Road / sea / air</t>
        </is>
      </c>
      <c r="R265" s="223" t="n"/>
    </row>
    <row r="266">
      <c r="A266" s="223" t="inlineStr">
        <is>
          <t>11.7</t>
        </is>
      </c>
      <c r="B266" s="223" t="inlineStr">
        <is>
          <t>Customs clearance (days)</t>
        </is>
      </c>
      <c r="C266" s="223" t="inlineStr">
        <is>
          <t>days</t>
        </is>
      </c>
      <c r="D266" s="229" t="inlineStr">
        <is>
          <t>CST_SUP_CUSTOMS_CLEARANCE_DAYS</t>
        </is>
      </c>
      <c r="E266" s="223" t="inlineStr">
        <is>
          <t>if(CST_SUP_CUSTOMS_CLEARANCE_DAYS&lt;&gt;"",CST_SUP_CUSTOMS_CLEARANCE_DAYS,"[TBC]")</t>
        </is>
      </c>
      <c r="F266" s="223" t="n"/>
      <c r="G266" s="223" t="n"/>
      <c r="H266" s="223" t="n"/>
      <c r="I266" s="223" t="n"/>
      <c r="J266" s="223" t="n"/>
      <c r="K266" s="223" t="n"/>
      <c r="L266" s="223" t="inlineStr">
        <is>
          <t>CST_SUP_CUSTOMS_CLEARANCE_DAYS</t>
        </is>
      </c>
      <c r="M266" s="223" t="n"/>
      <c r="N266" s="223" t="n"/>
      <c r="O266" s="223" t="n"/>
      <c r="P266" s="223" t="n"/>
      <c r="Q266" s="223" t="inlineStr">
        <is>
          <t>URA + UNBS clearance</t>
        </is>
      </c>
      <c r="R266" s="223" t="n"/>
    </row>
    <row r="267">
      <c r="A267" s="223" t="inlineStr">
        <is>
          <t>11.8</t>
        </is>
      </c>
      <c r="B267" s="223" t="inlineStr">
        <is>
          <t>Procurement lead time</t>
        </is>
      </c>
      <c r="C267" s="223" t="inlineStr">
        <is>
          <t>days</t>
        </is>
      </c>
      <c r="D267" s="229" t="inlineStr">
        <is>
          <t>CST_SUP_PROCUREMENT_LEAD_TIME_DAYS</t>
        </is>
      </c>
      <c r="E267" s="223" t="inlineStr">
        <is>
          <t>if(CST_SUP_PROCUREMENT_LEAD_TIME_DAYS&lt;&gt;"",CST_SUP_PROCUREMENT_LEAD_TIME_DAYS,"[TBC]")</t>
        </is>
      </c>
      <c r="F267" s="223" t="n"/>
      <c r="G267" s="223" t="n"/>
      <c r="H267" s="223" t="n"/>
      <c r="I267" s="223" t="n"/>
      <c r="J267" s="223" t="n"/>
      <c r="K267" s="223" t="n"/>
      <c r="L267" s="223" t="inlineStr">
        <is>
          <t>CST_SUP_PROCUREMENT_LEAD_TIME_DAYS</t>
        </is>
      </c>
      <c r="M267" s="223" t="n"/>
      <c r="N267" s="223" t="n"/>
      <c r="O267" s="223" t="n"/>
      <c r="P267" s="223" t="n"/>
      <c r="Q267" s="223" t="inlineStr">
        <is>
          <t>Order to site delivery</t>
        </is>
      </c>
      <c r="R267" s="223" t="n"/>
    </row>
    <row r="268">
      <c r="A268" s="223" t="inlineStr">
        <is>
          <t>11.9</t>
        </is>
      </c>
      <c r="B268" s="223" t="inlineStr">
        <is>
          <t>Delivery lead time</t>
        </is>
      </c>
      <c r="C268" s="223" t="inlineStr">
        <is>
          <t>days</t>
        </is>
      </c>
      <c r="D268" s="229" t="inlineStr">
        <is>
          <t>CST_DELIVERY_LEAD_TIME_DAYS</t>
        </is>
      </c>
      <c r="E268" s="223" t="inlineStr">
        <is>
          <t>if(CST_DELIVERY_LEAD_TIME_DAYS&lt;&gt;"",CST_DELIVERY_LEAD_TIME_DAYS,"[TBC]")</t>
        </is>
      </c>
      <c r="F268" s="223" t="n"/>
      <c r="G268" s="223" t="n"/>
      <c r="H268" s="223" t="n"/>
      <c r="I268" s="223" t="n"/>
      <c r="J268" s="223" t="n"/>
      <c r="K268" s="223" t="n"/>
      <c r="L268" s="223" t="inlineStr">
        <is>
          <t>CST_DELIVERY_LEAD_TIME_DAYS</t>
        </is>
      </c>
      <c r="M268" s="223" t="n"/>
      <c r="N268" s="223" t="n"/>
      <c r="O268" s="223" t="n"/>
      <c r="P268" s="223" t="n"/>
      <c r="Q268" s="223" t="inlineStr">
        <is>
          <t>Factory to Kampala</t>
        </is>
      </c>
      <c r="R268" s="223" t="n"/>
    </row>
    <row r="269">
      <c r="A269" s="223" t="inlineStr">
        <is>
          <t>11.10</t>
        </is>
      </c>
      <c r="B269" s="223" t="inlineStr">
        <is>
          <t>Payment terms</t>
        </is>
      </c>
      <c r="C269" s="223" t="inlineStr"/>
      <c r="D269" s="229" t="inlineStr">
        <is>
          <t>CST_SUP_PAYMENT_TERMS_TXT</t>
        </is>
      </c>
      <c r="E269" s="223" t="inlineStr">
        <is>
          <t>if(CST_SUP_PAYMENT_TERMS_TXT&lt;&gt;"",CST_SUP_PAYMENT_TERMS_TXT,"[TBC]")</t>
        </is>
      </c>
      <c r="F269" s="223" t="n"/>
      <c r="G269" s="223" t="n"/>
      <c r="H269" s="223" t="n"/>
      <c r="I269" s="223" t="n"/>
      <c r="J269" s="223" t="n"/>
      <c r="K269" s="223" t="n"/>
      <c r="L269" s="223" t="inlineStr">
        <is>
          <t>CST_SUP_PAYMENT_TERMS_TXT</t>
        </is>
      </c>
      <c r="M269" s="223" t="n"/>
      <c r="N269" s="223" t="n"/>
      <c r="O269" s="223" t="n"/>
      <c r="P269" s="223" t="n"/>
      <c r="Q269" s="223" t="inlineStr">
        <is>
          <t>30/60/90 days or advance</t>
        </is>
      </c>
      <c r="R269" s="223" t="n"/>
    </row>
    <row r="270">
      <c r="A270" s="223" t="inlineStr">
        <is>
          <t>11.11</t>
        </is>
      </c>
      <c r="B270" s="223" t="inlineStr">
        <is>
          <t>Quality inspection required?</t>
        </is>
      </c>
      <c r="C270" s="223" t="inlineStr"/>
      <c r="D270" s="229" t="inlineStr">
        <is>
          <t>CST_SUP_QUALITY_INSP_REQ_BOOL</t>
        </is>
      </c>
      <c r="E270" s="223" t="inlineStr">
        <is>
          <t>if(CST_SUP_QUALITY_INSP_REQ_BOOL&lt;&gt;"",CST_SUP_QUALITY_INSP_REQ_BOOL,"[TBC]")</t>
        </is>
      </c>
      <c r="F270" s="223" t="n"/>
      <c r="G270" s="223" t="n"/>
      <c r="H270" s="223" t="n"/>
      <c r="I270" s="223" t="n"/>
      <c r="J270" s="223" t="n"/>
      <c r="K270" s="223" t="n"/>
      <c r="L270" s="223" t="inlineStr">
        <is>
          <t>CST_SUP_QUALITY_INSP_REQ_BOOL</t>
        </is>
      </c>
      <c r="M270" s="223" t="n"/>
      <c r="N270" s="223" t="n"/>
      <c r="O270" s="223" t="n"/>
      <c r="P270" s="223" t="n"/>
      <c r="Q270" s="223" t="inlineStr">
        <is>
          <t>UNBS cert check</t>
        </is>
      </c>
      <c r="R270" s="223" t="n"/>
    </row>
    <row r="272">
      <c r="A272" s="261" t="inlineStr">
        <is>
          <t>SECTION 12  —  COST SUMMARY &amp; GRAND TOTAL</t>
        </is>
      </c>
      <c r="B272" s="269" t="n"/>
      <c r="C272" s="269" t="n"/>
      <c r="D272" s="269" t="n"/>
      <c r="E272" s="269" t="n"/>
      <c r="F272" s="269" t="n"/>
      <c r="G272" s="269" t="n"/>
      <c r="H272" s="269" t="n"/>
      <c r="I272" s="269" t="n"/>
      <c r="J272" s="269" t="n"/>
      <c r="K272" s="269" t="n"/>
      <c r="L272" s="269" t="n"/>
      <c r="M272" s="269" t="n"/>
      <c r="N272" s="269" t="n"/>
      <c r="O272" s="269" t="n"/>
      <c r="P272" s="269" t="n"/>
      <c r="Q272" s="269" t="n"/>
      <c r="R272" s="270" t="n"/>
    </row>
    <row r="274">
      <c r="A274" s="223" t="inlineStr">
        <is>
          <t>12.1</t>
        </is>
      </c>
      <c r="B274" s="223" t="inlineStr">
        <is>
          <t>Total material cost</t>
        </is>
      </c>
      <c r="C274" s="223" t="inlineStr">
        <is>
          <t>UGX</t>
        </is>
      </c>
      <c r="D274" s="223" t="inlineStr">
        <is>
          <t>ASS_PMT_CST_MAT_CST_UGX_NR</t>
        </is>
      </c>
      <c r="E274" s="223" t="n"/>
      <c r="F274" s="223" t="n"/>
      <c r="G274" s="223" t="n"/>
      <c r="H274" s="223" t="n"/>
      <c r="I274" s="223" t="n"/>
      <c r="J274" s="223" t="n"/>
      <c r="K274" s="223" t="n"/>
      <c r="L274" s="223" t="inlineStr">
        <is>
          <t>ASS_PMT_CST_MAT_CST_UGX_NR</t>
        </is>
      </c>
      <c r="M274" s="223" t="n"/>
      <c r="N274" s="223" t="n"/>
      <c r="O274" s="223" t="n"/>
      <c r="P274" s="223" t="n"/>
      <c r="Q274" s="223" t="inlineStr">
        <is>
          <t>Sum of all Sec 10 amounts</t>
        </is>
      </c>
      <c r="R274" s="223" t="n"/>
    </row>
    <row r="275">
      <c r="A275" s="223" t="inlineStr">
        <is>
          <t>12.2</t>
        </is>
      </c>
      <c r="B275" s="223" t="inlineStr">
        <is>
          <t>Total labour cost</t>
        </is>
      </c>
      <c r="C275" s="223" t="inlineStr">
        <is>
          <t>UGX</t>
        </is>
      </c>
      <c r="D275" s="223" t="inlineStr">
        <is>
          <t>ASS_PMT_CST_LABOUR_CST_UGX_NR</t>
        </is>
      </c>
      <c r="E275" s="223" t="n"/>
      <c r="F275" s="223" t="n"/>
      <c r="G275" s="223" t="n"/>
      <c r="H275" s="223" t="n"/>
      <c r="I275" s="223" t="n"/>
      <c r="J275" s="223" t="n"/>
      <c r="K275" s="223" t="n"/>
      <c r="L275" s="223" t="inlineStr">
        <is>
          <t>ASS_PMT_CST_LABOUR_CST_UGX_NR</t>
        </is>
      </c>
      <c r="M275" s="223" t="n"/>
      <c r="N275" s="223" t="n"/>
      <c r="O275" s="223" t="n"/>
      <c r="P275" s="223" t="n"/>
      <c r="Q275" s="223" t="inlineStr">
        <is>
          <t>Sum of labour items</t>
        </is>
      </c>
      <c r="R275" s="223" t="n"/>
    </row>
    <row r="276">
      <c r="A276" s="223" t="inlineStr">
        <is>
          <t>12.3</t>
        </is>
      </c>
      <c r="B276" s="223" t="inlineStr">
        <is>
          <t>Total equipment cost</t>
        </is>
      </c>
      <c r="C276" s="223" t="inlineStr">
        <is>
          <t>UGX</t>
        </is>
      </c>
      <c r="D276" s="223" t="inlineStr">
        <is>
          <t>CST_TOTAL_EQUIPMENT_COST</t>
        </is>
      </c>
      <c r="E276" s="223" t="n"/>
      <c r="F276" s="223" t="n"/>
      <c r="G276" s="223" t="n"/>
      <c r="H276" s="223" t="n"/>
      <c r="I276" s="223" t="n"/>
      <c r="J276" s="223" t="n"/>
      <c r="K276" s="223" t="n"/>
      <c r="L276" s="223" t="inlineStr">
        <is>
          <t>CST_TOTAL_EQUIPMENT_COST</t>
        </is>
      </c>
      <c r="M276" s="223" t="n"/>
      <c r="N276" s="223" t="n"/>
      <c r="O276" s="223" t="n"/>
      <c r="P276" s="223" t="n"/>
      <c r="Q276" s="223" t="inlineStr">
        <is>
          <t>MEP + specialty</t>
        </is>
      </c>
      <c r="R276" s="223" t="n"/>
    </row>
    <row r="277">
      <c r="A277" s="223" t="inlineStr">
        <is>
          <t>12.4</t>
        </is>
      </c>
      <c r="B277" s="268" t="inlineStr">
        <is>
          <t>Sub-total (excl. contingency)</t>
        </is>
      </c>
      <c r="C277" s="223" t="inlineStr">
        <is>
          <t>UGX</t>
        </is>
      </c>
      <c r="D277" s="223" t="inlineStr">
        <is>
          <t>ASS_PMT_CST_TOTAL_CST_UGX_NR</t>
        </is>
      </c>
      <c r="E277" s="223" t="n"/>
      <c r="F277" s="223" t="n"/>
      <c r="G277" s="223" t="n"/>
      <c r="H277" s="224" t="n"/>
      <c r="I277" s="223" t="n"/>
      <c r="J277" s="223" t="n"/>
      <c r="K277" s="223" t="n"/>
      <c r="L277" s="223" t="inlineStr">
        <is>
          <t>ASS_PMT_CST_TOTAL_CST_UGX_NR</t>
        </is>
      </c>
      <c r="M277" s="223" t="n"/>
      <c r="N277" s="223" t="n"/>
      <c r="O277" s="223" t="n"/>
      <c r="P277" s="223" t="n"/>
      <c r="Q277" s="223" t="inlineStr">
        <is>
          <t>12.1 + 12.2 + 12.3</t>
        </is>
      </c>
      <c r="R277" s="223" t="n"/>
    </row>
    <row r="278">
      <c r="A278" s="223" t="inlineStr">
        <is>
          <t>12.5</t>
        </is>
      </c>
      <c r="B278" s="223" t="inlineStr">
        <is>
          <t>Contingency (10%)</t>
        </is>
      </c>
      <c r="C278" s="223" t="inlineStr">
        <is>
          <t>UGX</t>
        </is>
      </c>
      <c r="D278" s="223" t="n"/>
      <c r="E278" s="223" t="n"/>
      <c r="F278" s="223" t="n"/>
      <c r="G278" s="223" t="n"/>
      <c r="H278" s="223" t="n"/>
      <c r="I278" s="223" t="n"/>
      <c r="J278" s="223" t="n"/>
      <c r="K278" s="223" t="n"/>
      <c r="L278" s="223" t="n"/>
      <c r="M278" s="223" t="n"/>
      <c r="N278" s="223" t="n"/>
      <c r="O278" s="223" t="n"/>
      <c r="P278" s="223" t="n"/>
      <c r="Q278" s="223" t="inlineStr">
        <is>
          <t>10% of sub-total (PPDA standard)</t>
        </is>
      </c>
      <c r="R278" s="223" t="n"/>
    </row>
    <row r="279">
      <c r="A279" s="223" t="inlineStr">
        <is>
          <t>12.6</t>
        </is>
      </c>
      <c r="B279" s="223" t="inlineStr">
        <is>
          <t>VAT (18%)</t>
        </is>
      </c>
      <c r="C279" s="223" t="inlineStr">
        <is>
          <t>UGX</t>
        </is>
      </c>
      <c r="D279" s="223" t="n"/>
      <c r="E279" s="223" t="n"/>
      <c r="F279" s="223" t="n"/>
      <c r="G279" s="223" t="n"/>
      <c r="H279" s="223" t="n"/>
      <c r="I279" s="223" t="n"/>
      <c r="J279" s="223" t="n"/>
      <c r="K279" s="223" t="n"/>
      <c r="L279" s="223" t="n"/>
      <c r="M279" s="223" t="n"/>
      <c r="N279" s="223" t="n"/>
      <c r="O279" s="223" t="n"/>
      <c r="P279" s="223" t="n"/>
      <c r="Q279" s="223" t="inlineStr">
        <is>
          <t>Uganda VAT rate</t>
        </is>
      </c>
      <c r="R279" s="223" t="n"/>
    </row>
    <row r="280">
      <c r="A280" s="223" t="inlineStr">
        <is>
          <t>12.7</t>
        </is>
      </c>
      <c r="B280" s="268" t="inlineStr">
        <is>
          <t>GRAND TOTAL (incl. VAT)</t>
        </is>
      </c>
      <c r="C280" s="223" t="inlineStr">
        <is>
          <t>UGX</t>
        </is>
      </c>
      <c r="D280" s="223" t="n"/>
      <c r="E280" s="223" t="n"/>
      <c r="F280" s="223" t="n"/>
      <c r="G280" s="223" t="n"/>
      <c r="H280" s="224" t="n"/>
      <c r="I280" s="223" t="n"/>
      <c r="J280" s="223" t="n"/>
      <c r="K280" s="223" t="n"/>
      <c r="L280" s="223" t="n"/>
      <c r="M280" s="223" t="n"/>
      <c r="N280" s="223" t="n"/>
      <c r="O280" s="223" t="n"/>
      <c r="P280" s="223" t="n"/>
      <c r="Q280" s="223" t="inlineStr">
        <is>
          <t>Sub-total + contingency + VAT</t>
        </is>
      </c>
      <c r="R280" s="223" t="n"/>
    </row>
    <row r="281">
      <c r="A281" s="223" t="inlineStr">
        <is>
          <t>12.8</t>
        </is>
      </c>
      <c r="B281" s="223" t="inlineStr">
        <is>
          <t>Unit cost per m2 GFA</t>
        </is>
      </c>
      <c r="C281" s="223" t="inlineStr">
        <is>
          <t>UGX/m2</t>
        </is>
      </c>
      <c r="D281" s="223" t="n"/>
      <c r="E281" s="223" t="n"/>
      <c r="F281" s="223" t="n"/>
      <c r="G281" s="223" t="n"/>
      <c r="H281" s="223" t="n"/>
      <c r="I281" s="223" t="n"/>
      <c r="J281" s="223" t="n"/>
      <c r="K281" s="223" t="n"/>
      <c r="L281" s="223" t="n"/>
      <c r="M281" s="223" t="n"/>
      <c r="N281" s="223" t="n"/>
      <c r="O281" s="223" t="n"/>
      <c r="P281" s="223" t="n"/>
      <c r="Q281" s="223" t="inlineStr">
        <is>
          <t>Grand total / RGL_TOTAL_FLOOR_AREA_SQ_M</t>
        </is>
      </c>
      <c r="R281" s="223" t="n"/>
    </row>
  </sheetData>
  <mergeCells count="24">
    <mergeCell ref="A25:R25"/>
    <mergeCell ref="A16:R16"/>
    <mergeCell ref="A252:R252"/>
    <mergeCell ref="A164:R164"/>
    <mergeCell ref="A120:R120"/>
    <mergeCell ref="A149:R149"/>
    <mergeCell ref="A272:R272"/>
    <mergeCell ref="A55:R55"/>
    <mergeCell ref="A2:R2"/>
    <mergeCell ref="A242:R242"/>
    <mergeCell ref="A5:R5"/>
    <mergeCell ref="A135:R135"/>
    <mergeCell ref="A35:R35"/>
    <mergeCell ref="A4:R4"/>
    <mergeCell ref="A100:R100"/>
    <mergeCell ref="A230:R230"/>
    <mergeCell ref="A44:R44"/>
    <mergeCell ref="A173:R173"/>
    <mergeCell ref="A229:R229"/>
    <mergeCell ref="A258:R258"/>
    <mergeCell ref="A245:R245"/>
    <mergeCell ref="A64:R64"/>
    <mergeCell ref="A1:R1"/>
    <mergeCell ref="A237:R237"/>
  </mergeCells>
  <pageMargins left="0.75" right="0.75" top="1" bottom="1" header="0.5" footer="0.5"/>
</worksheet>
</file>

<file path=xl/worksheets/sheet10.xml><?xml version="1.0" encoding="utf-8"?>
<worksheet xmlns="http://schemas.openxmlformats.org/spreadsheetml/2006/main">
  <sheetPr>
    <tabColor rgb="00F89732"/>
    <outlinePr summaryBelow="1" summaryRight="1"/>
    <pageSetUpPr/>
  </sheetPr>
  <dimension ref="A1:H125"/>
  <sheetViews>
    <sheetView workbookViewId="0">
      <selection activeCell="A1" sqref="A1"/>
    </sheetView>
  </sheetViews>
  <sheetFormatPr baseColWidth="8" defaultRowHeight="15"/>
  <cols>
    <col width="40" customWidth="1" style="123" min="1" max="1"/>
    <col width="12" customWidth="1" style="123" min="2" max="2"/>
    <col width="10" customWidth="1" style="123" min="3" max="3"/>
    <col width="55" customWidth="1" style="123" min="4" max="4"/>
    <col width="10" customWidth="1" style="123" min="5" max="5"/>
    <col width="10" customWidth="1" style="123" min="6" max="6"/>
    <col width="8" customWidth="1" style="123" min="7" max="7"/>
    <col width="20" customWidth="1" style="123" min="8" max="8"/>
  </cols>
  <sheetData>
    <row r="1">
      <c r="A1" s="221" t="inlineStr">
        <is>
          <t>Formula input gap analysis: 120 params referenced in sheet 07 paragraph formulas but not yet in MR_PARAMETERS.csv. These are required for full paragraph engine operation.</t>
        </is>
      </c>
    </row>
    <row r="2">
      <c r="A2" s="222" t="inlineStr">
        <is>
          <t>Parameter name</t>
        </is>
      </c>
      <c r="B2" s="222" t="inlineStr">
        <is>
          <t>Inferred type</t>
        </is>
      </c>
      <c r="C2" s="222" t="inlineStr">
        <is>
          <t>Discipline</t>
        </is>
      </c>
      <c r="D2" s="222" t="inlineStr">
        <is>
          <t>Referenced by (paragraph)</t>
        </is>
      </c>
      <c r="E2" s="222" t="inlineStr">
        <is>
          <t>States</t>
        </is>
      </c>
      <c r="F2" s="222" t="inlineStr">
        <is>
          <t>Priority</t>
        </is>
      </c>
      <c r="G2" s="222" t="inlineStr">
        <is>
          <t>Binding</t>
        </is>
      </c>
      <c r="H2" s="222" t="inlineStr">
        <is>
          <t>Group suggestion</t>
        </is>
      </c>
    </row>
    <row r="3">
      <c r="A3" s="223" t="inlineStr">
        <is>
          <t>ASS_CAPACITY_TXT</t>
        </is>
      </c>
      <c r="B3" s="223" t="inlineStr">
        <is>
          <t>TEXT</t>
        </is>
      </c>
      <c r="C3" s="223" t="inlineStr">
        <is>
          <t>MULTI</t>
        </is>
      </c>
      <c r="D3" s="223" t="inlineStr">
        <is>
          <t>ASS_TAG_7_PARA_EQUIPMENT_TXT (Specialty Equipment
(Lifts/Gen/ATS))</t>
        </is>
      </c>
      <c r="E3" s="223" t="inlineStr">
        <is>
          <t>S2</t>
        </is>
      </c>
      <c r="F3" s="224" t="inlineStr">
        <is>
          <t>MEDIUM</t>
        </is>
      </c>
      <c r="G3" s="223" t="inlineStr">
        <is>
          <t>Type</t>
        </is>
      </c>
      <c r="H3" s="223" t="inlineStr">
        <is>
          <t>ASS_MNG</t>
        </is>
      </c>
    </row>
    <row r="4">
      <c r="A4" s="223" t="inlineStr">
        <is>
          <t>ASS_COMMISSION_REQ_TXT</t>
        </is>
      </c>
      <c r="B4" s="223" t="inlineStr">
        <is>
          <t>TEXT</t>
        </is>
      </c>
      <c r="C4" s="223" t="inlineStr">
        <is>
          <t>MULTI</t>
        </is>
      </c>
      <c r="D4" s="223" t="inlineStr">
        <is>
          <t>HVC_TAG_7_PARA_SPEC_TXT (Mech. Equipment)</t>
        </is>
      </c>
      <c r="E4" s="223" t="inlineStr">
        <is>
          <t>S3</t>
        </is>
      </c>
      <c r="F4" s="223" t="inlineStr">
        <is>
          <t>LOW</t>
        </is>
      </c>
      <c r="G4" s="223" t="inlineStr">
        <is>
          <t>Type</t>
        </is>
      </c>
      <c r="H4" s="223" t="inlineStr">
        <is>
          <t>ASS_MNG</t>
        </is>
      </c>
    </row>
    <row r="5">
      <c r="A5" s="223" t="inlineStr">
        <is>
          <t>ASS_DESIGN_VENT_RATE_L_S_P</t>
        </is>
      </c>
      <c r="B5" s="223" t="inlineStr">
        <is>
          <t>TEXT</t>
        </is>
      </c>
      <c r="C5" s="223" t="inlineStr">
        <is>
          <t>MULTI</t>
        </is>
      </c>
      <c r="D5" s="223" t="inlineStr">
        <is>
          <t>ARCH_TAG_7_PARA_ROOM_TXT (Rooms/Spaces)</t>
        </is>
      </c>
      <c r="E5" s="223" t="inlineStr">
        <is>
          <t>S2</t>
        </is>
      </c>
      <c r="F5" s="224" t="inlineStr">
        <is>
          <t>MEDIUM</t>
        </is>
      </c>
      <c r="G5" s="223" t="inlineStr">
        <is>
          <t>Type</t>
        </is>
      </c>
      <c r="H5" s="223" t="inlineStr">
        <is>
          <t>ASS_MNG</t>
        </is>
      </c>
    </row>
    <row r="6">
      <c r="A6" s="223" t="inlineStr">
        <is>
          <t>ASS_DRIVE_TXT</t>
        </is>
      </c>
      <c r="B6" s="223" t="inlineStr">
        <is>
          <t>TEXT</t>
        </is>
      </c>
      <c r="C6" s="223" t="inlineStr">
        <is>
          <t>MULTI</t>
        </is>
      </c>
      <c r="D6" s="223" t="inlineStr">
        <is>
          <t>ASS_TAG_7_PARA_EQUIPMENT_TXT (Specialty Equipment
(Lifts/Gen/ATS))</t>
        </is>
      </c>
      <c r="E6" s="223" t="inlineStr">
        <is>
          <t>S2</t>
        </is>
      </c>
      <c r="F6" s="224" t="inlineStr">
        <is>
          <t>MEDIUM</t>
        </is>
      </c>
      <c r="G6" s="223" t="inlineStr">
        <is>
          <t>Type</t>
        </is>
      </c>
      <c r="H6" s="223" t="inlineStr">
        <is>
          <t>ASS_MNG</t>
        </is>
      </c>
    </row>
    <row r="7">
      <c r="A7" s="223" t="inlineStr">
        <is>
          <t>ASS_INSPECT_FREQ_TXT</t>
        </is>
      </c>
      <c r="B7" s="223" t="inlineStr">
        <is>
          <t>TEXT</t>
        </is>
      </c>
      <c r="C7" s="223" t="inlineStr">
        <is>
          <t>MULTI</t>
        </is>
      </c>
      <c r="D7" s="223" t="inlineStr">
        <is>
          <t>COM_TAG_7_PARA_BMS_TXT (Communication Devices
(BMS)); ELC_TAG_7_PARA_TRAY_TXT (Cable Trays); HVC_TAG_7_PARA_DCTACC_TXT (Duct Accessories)</t>
        </is>
      </c>
      <c r="E7" s="223" t="inlineStr">
        <is>
          <t>S3</t>
        </is>
      </c>
      <c r="F7" s="223" t="inlineStr">
        <is>
          <t>LOW</t>
        </is>
      </c>
      <c r="G7" s="223" t="inlineStr">
        <is>
          <t>Type</t>
        </is>
      </c>
      <c r="H7" s="223" t="inlineStr">
        <is>
          <t>ASS_MNG</t>
        </is>
      </c>
    </row>
    <row r="8">
      <c r="A8" s="223" t="inlineStr">
        <is>
          <t>ASS_LEAD_TIME_TXT</t>
        </is>
      </c>
      <c r="B8" s="223" t="inlineStr">
        <is>
          <t>TEXT</t>
        </is>
      </c>
      <c r="C8" s="223" t="inlineStr">
        <is>
          <t>MULTI</t>
        </is>
      </c>
      <c r="D8" s="223" t="inlineStr">
        <is>
          <t>ARCH_TAG_7_PARA_CASEWORK_TXT (Casework)</t>
        </is>
      </c>
      <c r="E8" s="223" t="inlineStr">
        <is>
          <t>S3</t>
        </is>
      </c>
      <c r="F8" s="223" t="inlineStr">
        <is>
          <t>LOW</t>
        </is>
      </c>
      <c r="G8" s="223" t="inlineStr">
        <is>
          <t>Type</t>
        </is>
      </c>
      <c r="H8" s="223" t="inlineStr">
        <is>
          <t>ASS_MNG</t>
        </is>
      </c>
    </row>
    <row r="9">
      <c r="A9" s="223" t="inlineStr">
        <is>
          <t>ASS_QA_CERT_TXT</t>
        </is>
      </c>
      <c r="B9" s="223" t="inlineStr">
        <is>
          <t>TEXT</t>
        </is>
      </c>
      <c r="C9" s="223" t="inlineStr">
        <is>
          <t>MULTI</t>
        </is>
      </c>
      <c r="D9" s="223" t="inlineStr">
        <is>
          <t>ASS_TAG_7_PARA_EQUIPMENT_TXT (Specialty Equipment
(Lifts/Gen/ATS)); COM_TAG_7_PARA_BMS_TXT (Communication Devices
(BMS)); ELC_TAG_7_PARA_CIRCUIT_TXT (Elec. Fixtures
(Points &amp; Sockets))</t>
        </is>
      </c>
      <c r="E9" s="223" t="inlineStr">
        <is>
          <t>S3</t>
        </is>
      </c>
      <c r="F9" s="223" t="inlineStr">
        <is>
          <t>LOW</t>
        </is>
      </c>
      <c r="G9" s="223" t="inlineStr">
        <is>
          <t>Type</t>
        </is>
      </c>
      <c r="H9" s="223" t="inlineStr">
        <is>
          <t>ASS_MNG</t>
        </is>
      </c>
    </row>
    <row r="10">
      <c r="A10" s="223" t="inlineStr">
        <is>
          <t>ASS_QA_CUBE_TEST_TXT</t>
        </is>
      </c>
      <c r="B10" s="223" t="inlineStr">
        <is>
          <t>TEXT</t>
        </is>
      </c>
      <c r="C10" s="223" t="inlineStr">
        <is>
          <t>MULTI</t>
        </is>
      </c>
      <c r="D10" s="223" t="inlineStr">
        <is>
          <t>STR_TAG_7_PARA_COL_TXT (Str. Columns)</t>
        </is>
      </c>
      <c r="E10" s="223" t="inlineStr">
        <is>
          <t>S3</t>
        </is>
      </c>
      <c r="F10" s="223" t="inlineStr">
        <is>
          <t>LOW</t>
        </is>
      </c>
      <c r="G10" s="223" t="inlineStr">
        <is>
          <t>Type</t>
        </is>
      </c>
      <c r="H10" s="223" t="inlineStr">
        <is>
          <t>ASS_MNG</t>
        </is>
      </c>
    </row>
    <row r="11">
      <c r="A11" s="223" t="inlineStr">
        <is>
          <t>ASS_QA_TEST_REPORT_TXT</t>
        </is>
      </c>
      <c r="B11" s="223" t="inlineStr">
        <is>
          <t>TEXT</t>
        </is>
      </c>
      <c r="C11" s="223" t="inlineStr">
        <is>
          <t>MULTI</t>
        </is>
      </c>
      <c r="D11" s="223" t="inlineStr">
        <is>
          <t>ELC_TAG_7_PARA_PANEL_TXT (Elec. Equipment
(DB Panels))</t>
        </is>
      </c>
      <c r="E11" s="223" t="inlineStr">
        <is>
          <t>S3</t>
        </is>
      </c>
      <c r="F11" s="223" t="inlineStr">
        <is>
          <t>LOW</t>
        </is>
      </c>
      <c r="G11" s="223" t="inlineStr">
        <is>
          <t>Type</t>
        </is>
      </c>
      <c r="H11" s="223" t="inlineStr">
        <is>
          <t>ASS_MNG</t>
        </is>
      </c>
    </row>
    <row r="12">
      <c r="A12" s="223" t="inlineStr">
        <is>
          <t>ASS_QTY_NR</t>
        </is>
      </c>
      <c r="B12" s="223" t="inlineStr">
        <is>
          <t>NUMBER</t>
        </is>
      </c>
      <c r="C12" s="223" t="inlineStr">
        <is>
          <t>MULTI</t>
        </is>
      </c>
      <c r="D12" s="223" t="inlineStr">
        <is>
          <t>ARCH_TAG_7_PARA_FURNITURE_TXT (Furniture)</t>
        </is>
      </c>
      <c r="E12" s="223" t="inlineStr">
        <is>
          <t>S2</t>
        </is>
      </c>
      <c r="F12" s="224" t="inlineStr">
        <is>
          <t>MEDIUM</t>
        </is>
      </c>
      <c r="G12" s="223" t="inlineStr">
        <is>
          <t>Type</t>
        </is>
      </c>
      <c r="H12" s="223" t="inlineStr">
        <is>
          <t>ASS_MNG</t>
        </is>
      </c>
    </row>
    <row r="13">
      <c r="A13" s="223" t="inlineStr">
        <is>
          <t>ASS_ROOM_DEPARTMENT_TXT</t>
        </is>
      </c>
      <c r="B13" s="223" t="inlineStr">
        <is>
          <t>TEXT</t>
        </is>
      </c>
      <c r="C13" s="223" t="inlineStr">
        <is>
          <t>MULTI</t>
        </is>
      </c>
      <c r="D13" s="223" t="inlineStr">
        <is>
          <t>ARCH_TAG_7_PARA_ROOM_TXT (Rooms/Spaces)</t>
        </is>
      </c>
      <c r="E13" s="223" t="inlineStr">
        <is>
          <t>S1</t>
        </is>
      </c>
      <c r="F13" s="225" t="inlineStr">
        <is>
          <t>HIGH</t>
        </is>
      </c>
      <c r="G13" s="223" t="inlineStr">
        <is>
          <t>Type</t>
        </is>
      </c>
      <c r="H13" s="223" t="inlineStr">
        <is>
          <t>ASS_MNG</t>
        </is>
      </c>
    </row>
    <row r="14">
      <c r="A14" s="223" t="inlineStr">
        <is>
          <t>ASS_ROOM_NUMBER_TXT</t>
        </is>
      </c>
      <c r="B14" s="223" t="inlineStr">
        <is>
          <t>TEXT</t>
        </is>
      </c>
      <c r="C14" s="223" t="inlineStr">
        <is>
          <t>MULTI</t>
        </is>
      </c>
      <c r="D14" s="223" t="inlineStr">
        <is>
          <t>ARCH_TAG_7_PARA_ROOM_TXT (Rooms/Spaces)</t>
        </is>
      </c>
      <c r="E14" s="223" t="inlineStr">
        <is>
          <t>S1</t>
        </is>
      </c>
      <c r="F14" s="225" t="inlineStr">
        <is>
          <t>HIGH</t>
        </is>
      </c>
      <c r="G14" s="223" t="inlineStr">
        <is>
          <t>Type</t>
        </is>
      </c>
      <c r="H14" s="223" t="inlineStr">
        <is>
          <t>ASS_MNG</t>
        </is>
      </c>
    </row>
    <row r="15">
      <c r="A15" s="223" t="inlineStr">
        <is>
          <t>ASS_WARRANTY_TXT</t>
        </is>
      </c>
      <c r="B15" s="223" t="inlineStr">
        <is>
          <t>TEXT</t>
        </is>
      </c>
      <c r="C15" s="223" t="inlineStr">
        <is>
          <t>MULTI</t>
        </is>
      </c>
      <c r="D15" s="223" t="inlineStr">
        <is>
          <t>ARCH_TAG_7_PARA_FURNITURE_TXT (Furniture); ASS_TAG_7_PARA_EQUIPMENT_TXT (Specialty Equipment
(Lifts/Gen/ATS)); PLM_TAG_7_PARA_EQUIPMENT_TXT (Plumbing Equipment)</t>
        </is>
      </c>
      <c r="E15" s="223" t="inlineStr">
        <is>
          <t>S3</t>
        </is>
      </c>
      <c r="F15" s="223" t="inlineStr">
        <is>
          <t>LOW</t>
        </is>
      </c>
      <c r="G15" s="223" t="inlineStr">
        <is>
          <t>Type</t>
        </is>
      </c>
      <c r="H15" s="223" t="inlineStr">
        <is>
          <t>ASS_MNG</t>
        </is>
      </c>
    </row>
    <row r="16">
      <c r="A16" s="223" t="inlineStr">
        <is>
          <t>BLE_CASE_FINISH_TXT</t>
        </is>
      </c>
      <c r="B16" s="223" t="inlineStr">
        <is>
          <t>TEXT</t>
        </is>
      </c>
      <c r="C16" s="223" t="inlineStr">
        <is>
          <t>ARCH</t>
        </is>
      </c>
      <c r="D16" s="223" t="inlineStr">
        <is>
          <t>ARCH_TAG_7_PARA_CASEWORK_TXT (Casework)</t>
        </is>
      </c>
      <c r="E16" s="223" t="inlineStr">
        <is>
          <t>S2</t>
        </is>
      </c>
      <c r="F16" s="224" t="inlineStr">
        <is>
          <t>MEDIUM</t>
        </is>
      </c>
      <c r="G16" s="223" t="inlineStr">
        <is>
          <t>Type</t>
        </is>
      </c>
      <c r="H16" s="223" t="inlineStr">
        <is>
          <t>BLE_ELES</t>
        </is>
      </c>
    </row>
    <row r="17">
      <c r="A17" s="223" t="inlineStr">
        <is>
          <t>BLE_CASE_MAT_TXT</t>
        </is>
      </c>
      <c r="B17" s="223" t="inlineStr">
        <is>
          <t>TEXT</t>
        </is>
      </c>
      <c r="C17" s="223" t="inlineStr">
        <is>
          <t>ARCH</t>
        </is>
      </c>
      <c r="D17" s="223" t="inlineStr">
        <is>
          <t>ARCH_TAG_7_PARA_CASEWORK_TXT (Casework)</t>
        </is>
      </c>
      <c r="E17" s="223" t="inlineStr">
        <is>
          <t>S2</t>
        </is>
      </c>
      <c r="F17" s="224" t="inlineStr">
        <is>
          <t>MEDIUM</t>
        </is>
      </c>
      <c r="G17" s="223" t="inlineStr">
        <is>
          <t>Type</t>
        </is>
      </c>
      <c r="H17" s="223" t="inlineStr">
        <is>
          <t>BLE_ELES</t>
        </is>
      </c>
    </row>
    <row r="18">
      <c r="A18" s="223" t="inlineStr">
        <is>
          <t>BLE_CEIL_GRID_MM</t>
        </is>
      </c>
      <c r="B18" s="223" t="inlineStr">
        <is>
          <t>LENGTH</t>
        </is>
      </c>
      <c r="C18" s="223" t="inlineStr">
        <is>
          <t>ARCH</t>
        </is>
      </c>
      <c r="D18" s="223" t="inlineStr">
        <is>
          <t>ARCH_TAG_7_PARA_CEIL_TXT (Ceilings)</t>
        </is>
      </c>
      <c r="E18" s="223" t="inlineStr">
        <is>
          <t>S1</t>
        </is>
      </c>
      <c r="F18" s="225" t="inlineStr">
        <is>
          <t>HIGH</t>
        </is>
      </c>
      <c r="G18" s="223" t="inlineStr">
        <is>
          <t>Type</t>
        </is>
      </c>
      <c r="H18" s="223" t="inlineStr">
        <is>
          <t>BLE_ELES</t>
        </is>
      </c>
    </row>
    <row r="19">
      <c r="A19" s="223" t="inlineStr">
        <is>
          <t>BLE_CEIL_SUSPENSION_TXT</t>
        </is>
      </c>
      <c r="B19" s="223" t="inlineStr">
        <is>
          <t>TEXT</t>
        </is>
      </c>
      <c r="C19" s="223" t="inlineStr">
        <is>
          <t>ARCH</t>
        </is>
      </c>
      <c r="D19" s="223" t="inlineStr">
        <is>
          <t>ARCH_TAG_7_PARA_CEIL_TXT (Ceilings)</t>
        </is>
      </c>
      <c r="E19" s="223" t="inlineStr">
        <is>
          <t>S1</t>
        </is>
      </c>
      <c r="F19" s="225" t="inlineStr">
        <is>
          <t>HIGH</t>
        </is>
      </c>
      <c r="G19" s="223" t="inlineStr">
        <is>
          <t>Type</t>
        </is>
      </c>
      <c r="H19" s="223" t="inlineStr">
        <is>
          <t>BLE_ELES</t>
        </is>
      </c>
    </row>
    <row r="20">
      <c r="A20" s="223" t="inlineStr">
        <is>
          <t>BLE_CSWORK_MAT_TXT</t>
        </is>
      </c>
      <c r="B20" s="223" t="inlineStr">
        <is>
          <t>TEXT</t>
        </is>
      </c>
      <c r="C20" s="223" t="inlineStr">
        <is>
          <t>ARCH</t>
        </is>
      </c>
      <c r="D20" s="223" t="inlineStr">
        <is>
          <t>ARCH_TAG_7_PARA_CASEWORK_TXT (Casework)</t>
        </is>
      </c>
      <c r="E20" s="223" t="inlineStr">
        <is>
          <t>S3</t>
        </is>
      </c>
      <c r="F20" s="223" t="inlineStr">
        <is>
          <t>LOW</t>
        </is>
      </c>
      <c r="G20" s="223" t="inlineStr">
        <is>
          <t>Type</t>
        </is>
      </c>
      <c r="H20" s="223" t="inlineStr">
        <is>
          <t>BLE_ELES</t>
        </is>
      </c>
    </row>
    <row r="21">
      <c r="A21" s="223" t="inlineStr">
        <is>
          <t>BLE_DOOR_MATERIAL_FINISH_TXT</t>
        </is>
      </c>
      <c r="B21" s="223" t="inlineStr">
        <is>
          <t>TEXT</t>
        </is>
      </c>
      <c r="C21" s="223" t="inlineStr">
        <is>
          <t>ARCH</t>
        </is>
      </c>
      <c r="D21" s="223" t="inlineStr">
        <is>
          <t>ARCH_TAG_7_PARA_DOOR_TXT (Doors)</t>
        </is>
      </c>
      <c r="E21" s="223" t="inlineStr">
        <is>
          <t>S1</t>
        </is>
      </c>
      <c r="F21" s="225" t="inlineStr">
        <is>
          <t>HIGH</t>
        </is>
      </c>
      <c r="G21" s="223" t="inlineStr">
        <is>
          <t>Type</t>
        </is>
      </c>
      <c r="H21" s="223" t="inlineStr">
        <is>
          <t>BLE_ELES</t>
        </is>
      </c>
    </row>
    <row r="22">
      <c r="A22" s="223" t="inlineStr">
        <is>
          <t>BLE_DOOR_OPERATION_TYPE_TXT</t>
        </is>
      </c>
      <c r="B22" s="223" t="inlineStr">
        <is>
          <t>TEXT</t>
        </is>
      </c>
      <c r="C22" s="223" t="inlineStr">
        <is>
          <t>ARCH</t>
        </is>
      </c>
      <c r="D22" s="223" t="inlineStr">
        <is>
          <t>ARCH_TAG_7_PARA_DOOR_TXT (Doors)</t>
        </is>
      </c>
      <c r="E22" s="223" t="inlineStr">
        <is>
          <t>S1</t>
        </is>
      </c>
      <c r="F22" s="225" t="inlineStr">
        <is>
          <t>HIGH</t>
        </is>
      </c>
      <c r="G22" s="223" t="inlineStr">
        <is>
          <t>Type</t>
        </is>
      </c>
      <c r="H22" s="223" t="inlineStr">
        <is>
          <t>BLE_ELES</t>
        </is>
      </c>
    </row>
    <row r="23">
      <c r="A23" s="223" t="inlineStr">
        <is>
          <t>BLE_DOOR_SECURITY_GRADE_TXT</t>
        </is>
      </c>
      <c r="B23" s="223" t="inlineStr">
        <is>
          <t>TEXT</t>
        </is>
      </c>
      <c r="C23" s="223" t="inlineStr">
        <is>
          <t>ARCH</t>
        </is>
      </c>
      <c r="D23" s="223" t="inlineStr">
        <is>
          <t>ARCH_TAG_7_PARA_DOOR_TXT (Doors)</t>
        </is>
      </c>
      <c r="E23" s="223" t="inlineStr">
        <is>
          <t>S2</t>
        </is>
      </c>
      <c r="F23" s="224" t="inlineStr">
        <is>
          <t>MEDIUM</t>
        </is>
      </c>
      <c r="G23" s="223" t="inlineStr">
        <is>
          <t>Type</t>
        </is>
      </c>
      <c r="H23" s="223" t="inlineStr">
        <is>
          <t>BLE_ELES</t>
        </is>
      </c>
    </row>
    <row r="24">
      <c r="A24" s="223" t="inlineStr">
        <is>
          <t>BLE_FACADE_GLASS_TYPE_TXT</t>
        </is>
      </c>
      <c r="B24" s="223" t="inlineStr">
        <is>
          <t>TEXT</t>
        </is>
      </c>
      <c r="C24" s="223" t="inlineStr">
        <is>
          <t>ARCH</t>
        </is>
      </c>
      <c r="D24" s="223" t="inlineStr">
        <is>
          <t>ARCH_TAG_7_PARA_FACADE_TXT (Curtain Panels)</t>
        </is>
      </c>
      <c r="E24" s="223" t="inlineStr">
        <is>
          <t>S1</t>
        </is>
      </c>
      <c r="F24" s="225" t="inlineStr">
        <is>
          <t>HIGH</t>
        </is>
      </c>
      <c r="G24" s="223" t="inlineStr">
        <is>
          <t>Type</t>
        </is>
      </c>
      <c r="H24" s="223" t="inlineStr">
        <is>
          <t>BLE_ELES</t>
        </is>
      </c>
    </row>
    <row r="25">
      <c r="A25" s="223" t="inlineStr">
        <is>
          <t>BLE_FACADE_INSULATION_TXT</t>
        </is>
      </c>
      <c r="B25" s="223" t="inlineStr">
        <is>
          <t>TEXT</t>
        </is>
      </c>
      <c r="C25" s="223" t="inlineStr">
        <is>
          <t>ARCH</t>
        </is>
      </c>
      <c r="D25" s="223" t="inlineStr">
        <is>
          <t>ARCH_TAG_7_PARA_FACADE_TXT (Curtain Panels)</t>
        </is>
      </c>
      <c r="E25" s="223" t="inlineStr">
        <is>
          <t>S2</t>
        </is>
      </c>
      <c r="F25" s="224" t="inlineStr">
        <is>
          <t>MEDIUM</t>
        </is>
      </c>
      <c r="G25" s="223" t="inlineStr">
        <is>
          <t>Type</t>
        </is>
      </c>
      <c r="H25" s="223" t="inlineStr">
        <is>
          <t>BLE_ELES</t>
        </is>
      </c>
    </row>
    <row r="26">
      <c r="A26" s="223" t="inlineStr">
        <is>
          <t>BLE_FACADE_PANEL_HEIGHT_MM</t>
        </is>
      </c>
      <c r="B26" s="223" t="inlineStr">
        <is>
          <t>LENGTH</t>
        </is>
      </c>
      <c r="C26" s="223" t="inlineStr">
        <is>
          <t>ARCH</t>
        </is>
      </c>
      <c r="D26" s="223" t="inlineStr">
        <is>
          <t>ARCH_TAG_7_PARA_FACADE_TXT (Curtain Panels)</t>
        </is>
      </c>
      <c r="E26" s="223" t="inlineStr">
        <is>
          <t>S2</t>
        </is>
      </c>
      <c r="F26" s="224" t="inlineStr">
        <is>
          <t>MEDIUM</t>
        </is>
      </c>
      <c r="G26" s="223" t="inlineStr">
        <is>
          <t>Type</t>
        </is>
      </c>
      <c r="H26" s="223" t="inlineStr">
        <is>
          <t>BLE_ELES</t>
        </is>
      </c>
    </row>
    <row r="27">
      <c r="A27" s="223" t="inlineStr">
        <is>
          <t>BLE_FACADE_PANEL_WIDTH_MM</t>
        </is>
      </c>
      <c r="B27" s="223" t="inlineStr">
        <is>
          <t>LENGTH</t>
        </is>
      </c>
      <c r="C27" s="223" t="inlineStr">
        <is>
          <t>ARCH</t>
        </is>
      </c>
      <c r="D27" s="223" t="inlineStr">
        <is>
          <t>ARCH_TAG_7_PARA_FACADE_TXT (Curtain Panels)</t>
        </is>
      </c>
      <c r="E27" s="223" t="inlineStr">
        <is>
          <t>S2</t>
        </is>
      </c>
      <c r="F27" s="224" t="inlineStr">
        <is>
          <t>MEDIUM</t>
        </is>
      </c>
      <c r="G27" s="223" t="inlineStr">
        <is>
          <t>Type</t>
        </is>
      </c>
      <c r="H27" s="223" t="inlineStr">
        <is>
          <t>BLE_ELES</t>
        </is>
      </c>
    </row>
    <row r="28">
      <c r="A28" s="223" t="inlineStr">
        <is>
          <t>BLE_FACADE_WTR_PENETRATION_TXT</t>
        </is>
      </c>
      <c r="B28" s="223" t="inlineStr">
        <is>
          <t>TEXT</t>
        </is>
      </c>
      <c r="C28" s="223" t="inlineStr">
        <is>
          <t>ARCH</t>
        </is>
      </c>
      <c r="D28" s="223" t="inlineStr">
        <is>
          <t>ARCH_TAG_7_PARA_FACADE_TXT (Curtain Panels)</t>
        </is>
      </c>
      <c r="E28" s="223" t="inlineStr">
        <is>
          <t>S2</t>
        </is>
      </c>
      <c r="F28" s="224" t="inlineStr">
        <is>
          <t>MEDIUM</t>
        </is>
      </c>
      <c r="G28" s="223" t="inlineStr">
        <is>
          <t>Type</t>
        </is>
      </c>
      <c r="H28" s="223" t="inlineStr">
        <is>
          <t>BLE_ELES</t>
        </is>
      </c>
    </row>
    <row r="29">
      <c r="A29" s="223" t="inlineStr">
        <is>
          <t>BLE_FLR_MOISTURE_BARRIER_TXT</t>
        </is>
      </c>
      <c r="B29" s="223" t="inlineStr">
        <is>
          <t>TEXT</t>
        </is>
      </c>
      <c r="C29" s="223" t="inlineStr">
        <is>
          <t>ARCH</t>
        </is>
      </c>
      <c r="D29" s="223" t="inlineStr">
        <is>
          <t>ARCH_TAG_7_PARA_FLOOR_TXT (Floors)</t>
        </is>
      </c>
      <c r="E29" s="223" t="inlineStr">
        <is>
          <t>S2</t>
        </is>
      </c>
      <c r="F29" s="224" t="inlineStr">
        <is>
          <t>MEDIUM</t>
        </is>
      </c>
      <c r="G29" s="223" t="inlineStr">
        <is>
          <t>Type</t>
        </is>
      </c>
      <c r="H29" s="223" t="inlineStr">
        <is>
          <t>BLE_ELES</t>
        </is>
      </c>
    </row>
    <row r="30">
      <c r="A30" s="223" t="inlineStr">
        <is>
          <t>BLE_FLR_STRUCTURAL_RATING_TXT</t>
        </is>
      </c>
      <c r="B30" s="223" t="inlineStr">
        <is>
          <t>TEXT</t>
        </is>
      </c>
      <c r="C30" s="223" t="inlineStr">
        <is>
          <t>ARCH</t>
        </is>
      </c>
      <c r="D30" s="223" t="inlineStr">
        <is>
          <t>ARCH_TAG_7_PARA_FLOOR_TXT (Floors)</t>
        </is>
      </c>
      <c r="E30" s="223" t="inlineStr">
        <is>
          <t>S2</t>
        </is>
      </c>
      <c r="F30" s="224" t="inlineStr">
        <is>
          <t>MEDIUM</t>
        </is>
      </c>
      <c r="G30" s="223" t="inlineStr">
        <is>
          <t>Type</t>
        </is>
      </c>
      <c r="H30" s="223" t="inlineStr">
        <is>
          <t>BLE_ELES</t>
        </is>
      </c>
    </row>
    <row r="31">
      <c r="A31" s="223" t="inlineStr">
        <is>
          <t>BLE_FLR_SUBFLOOR_TXT</t>
        </is>
      </c>
      <c r="B31" s="223" t="inlineStr">
        <is>
          <t>TEXT</t>
        </is>
      </c>
      <c r="C31" s="223" t="inlineStr">
        <is>
          <t>ARCH</t>
        </is>
      </c>
      <c r="D31" s="223" t="inlineStr">
        <is>
          <t>ARCH_TAG_7_PARA_FLOOR_TXT (Floors)</t>
        </is>
      </c>
      <c r="E31" s="223" t="inlineStr">
        <is>
          <t>S1</t>
        </is>
      </c>
      <c r="F31" s="225" t="inlineStr">
        <is>
          <t>HIGH</t>
        </is>
      </c>
      <c r="G31" s="223" t="inlineStr">
        <is>
          <t>Type</t>
        </is>
      </c>
      <c r="H31" s="223" t="inlineStr">
        <is>
          <t>BLE_ELES</t>
        </is>
      </c>
    </row>
    <row r="32">
      <c r="A32" s="223" t="inlineStr">
        <is>
          <t>BLE_FLR_TYPE_TXT</t>
        </is>
      </c>
      <c r="B32" s="223" t="inlineStr">
        <is>
          <t>TEXT</t>
        </is>
      </c>
      <c r="C32" s="223" t="inlineStr">
        <is>
          <t>ARCH</t>
        </is>
      </c>
      <c r="D32" s="223" t="inlineStr">
        <is>
          <t>ARCH_TAG_7_PARA_FLOOR_TXT (Floors)</t>
        </is>
      </c>
      <c r="E32" s="223" t="inlineStr">
        <is>
          <t>S1</t>
        </is>
      </c>
      <c r="F32" s="225" t="inlineStr">
        <is>
          <t>HIGH</t>
        </is>
      </c>
      <c r="G32" s="223" t="inlineStr">
        <is>
          <t>Type</t>
        </is>
      </c>
      <c r="H32" s="223" t="inlineStr">
        <is>
          <t>BLE_ELES</t>
        </is>
      </c>
    </row>
    <row r="33">
      <c r="A33" s="223" t="inlineStr">
        <is>
          <t>BLE_RAMP_HANDRAIL_BOTH_SIDES_BOOL</t>
        </is>
      </c>
      <c r="B33" s="223" t="inlineStr">
        <is>
          <t>YESNO</t>
        </is>
      </c>
      <c r="C33" s="223" t="inlineStr">
        <is>
          <t>ARCH</t>
        </is>
      </c>
      <c r="D33" s="223" t="inlineStr">
        <is>
          <t>ARCH_TAG_7_PARA_RAMP_TXT (Ramps)</t>
        </is>
      </c>
      <c r="E33" s="223" t="inlineStr">
        <is>
          <t>S1</t>
        </is>
      </c>
      <c r="F33" s="225" t="inlineStr">
        <is>
          <t>HIGH</t>
        </is>
      </c>
      <c r="G33" s="223" t="inlineStr">
        <is>
          <t>Type</t>
        </is>
      </c>
      <c r="H33" s="223" t="inlineStr">
        <is>
          <t>BLE_ELES</t>
        </is>
      </c>
    </row>
    <row r="34">
      <c r="A34" s="223" t="inlineStr">
        <is>
          <t>BLE_RAMP_HANDRAIL_HGT_MM</t>
        </is>
      </c>
      <c r="B34" s="223" t="inlineStr">
        <is>
          <t>LENGTH</t>
        </is>
      </c>
      <c r="C34" s="223" t="inlineStr">
        <is>
          <t>ARCH</t>
        </is>
      </c>
      <c r="D34" s="223" t="inlineStr">
        <is>
          <t>ARCH_TAG_7_PARA_RAMP_TXT (Ramps)</t>
        </is>
      </c>
      <c r="E34" s="223" t="inlineStr">
        <is>
          <t>S2</t>
        </is>
      </c>
      <c r="F34" s="224" t="inlineStr">
        <is>
          <t>MEDIUM</t>
        </is>
      </c>
      <c r="G34" s="223" t="inlineStr">
        <is>
          <t>Type</t>
        </is>
      </c>
      <c r="H34" s="223" t="inlineStr">
        <is>
          <t>BLE_ELES</t>
        </is>
      </c>
    </row>
    <row r="35">
      <c r="A35" s="223" t="inlineStr">
        <is>
          <t>BLE_RAMP_LANDING_DIM_TXT</t>
        </is>
      </c>
      <c r="B35" s="223" t="inlineStr">
        <is>
          <t>TEXT</t>
        </is>
      </c>
      <c r="C35" s="223" t="inlineStr">
        <is>
          <t>ARCH</t>
        </is>
      </c>
      <c r="D35" s="223" t="inlineStr">
        <is>
          <t>ARCH_TAG_7_PARA_RAMP_TXT (Ramps)</t>
        </is>
      </c>
      <c r="E35" s="223" t="inlineStr">
        <is>
          <t>S2</t>
        </is>
      </c>
      <c r="F35" s="224" t="inlineStr">
        <is>
          <t>MEDIUM</t>
        </is>
      </c>
      <c r="G35" s="223" t="inlineStr">
        <is>
          <t>Type</t>
        </is>
      </c>
      <c r="H35" s="223" t="inlineStr">
        <is>
          <t>BLE_ELES</t>
        </is>
      </c>
    </row>
    <row r="36">
      <c r="A36" s="223" t="inlineStr">
        <is>
          <t>BLE_RAMP_NONSLIP_TREATMENT_TXT</t>
        </is>
      </c>
      <c r="B36" s="223" t="inlineStr">
        <is>
          <t>TEXT</t>
        </is>
      </c>
      <c r="C36" s="223" t="inlineStr">
        <is>
          <t>ARCH</t>
        </is>
      </c>
      <c r="D36" s="223" t="inlineStr">
        <is>
          <t>ARCH_TAG_7_PARA_RAMP_TXT (Ramps)</t>
        </is>
      </c>
      <c r="E36" s="223" t="inlineStr">
        <is>
          <t>S2</t>
        </is>
      </c>
      <c r="F36" s="224" t="inlineStr">
        <is>
          <t>MEDIUM</t>
        </is>
      </c>
      <c r="G36" s="223" t="inlineStr">
        <is>
          <t>Type</t>
        </is>
      </c>
      <c r="H36" s="223" t="inlineStr">
        <is>
          <t>BLE_ELES</t>
        </is>
      </c>
    </row>
    <row r="37">
      <c r="A37" s="223" t="inlineStr">
        <is>
          <t>BLE_ROOF_INSULATION_TXT</t>
        </is>
      </c>
      <c r="B37" s="223" t="inlineStr">
        <is>
          <t>TEXT</t>
        </is>
      </c>
      <c r="C37" s="223" t="inlineStr">
        <is>
          <t>ARCH</t>
        </is>
      </c>
      <c r="D37" s="223" t="inlineStr">
        <is>
          <t>ARCH_TAG_7_PARA_ROOF_TXT (Roofs)</t>
        </is>
      </c>
      <c r="E37" s="223" t="inlineStr">
        <is>
          <t>S2</t>
        </is>
      </c>
      <c r="F37" s="224" t="inlineStr">
        <is>
          <t>MEDIUM</t>
        </is>
      </c>
      <c r="G37" s="223" t="inlineStr">
        <is>
          <t>Type</t>
        </is>
      </c>
      <c r="H37" s="223" t="inlineStr">
        <is>
          <t>BLE_ELES</t>
        </is>
      </c>
    </row>
    <row r="38">
      <c r="A38" s="223" t="inlineStr">
        <is>
          <t>BLE_ROOF_PITCH_DEG</t>
        </is>
      </c>
      <c r="B38" s="223" t="inlineStr">
        <is>
          <t>TEXT</t>
        </is>
      </c>
      <c r="C38" s="223" t="inlineStr">
        <is>
          <t>ARCH</t>
        </is>
      </c>
      <c r="D38" s="223" t="inlineStr">
        <is>
          <t>ARCH_TAG_7_PARA_ROOF_TXT (Roofs)</t>
        </is>
      </c>
      <c r="E38" s="223" t="inlineStr">
        <is>
          <t>S1</t>
        </is>
      </c>
      <c r="F38" s="225" t="inlineStr">
        <is>
          <t>HIGH</t>
        </is>
      </c>
      <c r="G38" s="223" t="inlineStr">
        <is>
          <t>Type</t>
        </is>
      </c>
      <c r="H38" s="223" t="inlineStr">
        <is>
          <t>BLE_ELES</t>
        </is>
      </c>
    </row>
    <row r="39">
      <c r="A39" s="223" t="inlineStr">
        <is>
          <t>BLE_ROOF_PRIMARY_MAT_TXT</t>
        </is>
      </c>
      <c r="B39" s="223" t="inlineStr">
        <is>
          <t>TEXT</t>
        </is>
      </c>
      <c r="C39" s="223" t="inlineStr">
        <is>
          <t>ARCH</t>
        </is>
      </c>
      <c r="D39" s="223" t="inlineStr">
        <is>
          <t>ARCH_TAG_7_PARA_ROOF_TXT (Roofs)</t>
        </is>
      </c>
      <c r="E39" s="223" t="inlineStr">
        <is>
          <t>S1</t>
        </is>
      </c>
      <c r="F39" s="225" t="inlineStr">
        <is>
          <t>HIGH</t>
        </is>
      </c>
      <c r="G39" s="223" t="inlineStr">
        <is>
          <t>Type</t>
        </is>
      </c>
      <c r="H39" s="223" t="inlineStr">
        <is>
          <t>BLE_ELES</t>
        </is>
      </c>
    </row>
    <row r="40">
      <c r="A40" s="223" t="inlineStr">
        <is>
          <t>BLE_ROOF_WATERPROOFING_TXT</t>
        </is>
      </c>
      <c r="B40" s="223" t="inlineStr">
        <is>
          <t>TEXT</t>
        </is>
      </c>
      <c r="C40" s="223" t="inlineStr">
        <is>
          <t>ARCH</t>
        </is>
      </c>
      <c r="D40" s="223" t="inlineStr">
        <is>
          <t>ARCH_TAG_7_PARA_ROOF_TXT (Roofs)</t>
        </is>
      </c>
      <c r="E40" s="223" t="inlineStr">
        <is>
          <t>S2</t>
        </is>
      </c>
      <c r="F40" s="224" t="inlineStr">
        <is>
          <t>MEDIUM</t>
        </is>
      </c>
      <c r="G40" s="223" t="inlineStr">
        <is>
          <t>Type</t>
        </is>
      </c>
      <c r="H40" s="223" t="inlineStr">
        <is>
          <t>BLE_ELES</t>
        </is>
      </c>
    </row>
    <row r="41">
      <c r="A41" s="223" t="inlineStr">
        <is>
          <t>BLE_ROOM_OCCUPANCY_NR</t>
        </is>
      </c>
      <c r="B41" s="223" t="inlineStr">
        <is>
          <t>NUMBER</t>
        </is>
      </c>
      <c r="C41" s="223" t="inlineStr">
        <is>
          <t>ARCH</t>
        </is>
      </c>
      <c r="D41" s="223" t="inlineStr">
        <is>
          <t>ARCH_TAG_7_PARA_ROOM_TXT (Rooms/Spaces)</t>
        </is>
      </c>
      <c r="E41" s="223" t="inlineStr">
        <is>
          <t>S1</t>
        </is>
      </c>
      <c r="F41" s="225" t="inlineStr">
        <is>
          <t>HIGH</t>
        </is>
      </c>
      <c r="G41" s="223" t="inlineStr">
        <is>
          <t>Type</t>
        </is>
      </c>
      <c r="H41" s="223" t="inlineStr">
        <is>
          <t>BLE_ELES</t>
        </is>
      </c>
    </row>
    <row r="42">
      <c r="A42" s="223" t="inlineStr">
        <is>
          <t>BLE_ROOM_THERMAL_ZONE_TXT</t>
        </is>
      </c>
      <c r="B42" s="223" t="inlineStr">
        <is>
          <t>TEXT</t>
        </is>
      </c>
      <c r="C42" s="223" t="inlineStr">
        <is>
          <t>ARCH</t>
        </is>
      </c>
      <c r="D42" s="223" t="inlineStr">
        <is>
          <t>ARCH_TAG_7_PARA_ROOM_TXT (Rooms/Spaces)</t>
        </is>
      </c>
      <c r="E42" s="223" t="inlineStr">
        <is>
          <t>S2</t>
        </is>
      </c>
      <c r="F42" s="224" t="inlineStr">
        <is>
          <t>MEDIUM</t>
        </is>
      </c>
      <c r="G42" s="223" t="inlineStr">
        <is>
          <t>Type</t>
        </is>
      </c>
      <c r="H42" s="223" t="inlineStr">
        <is>
          <t>BLE_ELES</t>
        </is>
      </c>
    </row>
    <row r="43">
      <c r="A43" s="223" t="inlineStr">
        <is>
          <t>BLE_STAIR_BALUSTRADE_SPEC_TXT</t>
        </is>
      </c>
      <c r="B43" s="223" t="inlineStr">
        <is>
          <t>TEXT</t>
        </is>
      </c>
      <c r="C43" s="223" t="inlineStr">
        <is>
          <t>ARCH</t>
        </is>
      </c>
      <c r="D43" s="223" t="inlineStr">
        <is>
          <t>ARCH_TAG_7_PARA_STAIR_TXT (Stairs)</t>
        </is>
      </c>
      <c r="E43" s="223" t="inlineStr">
        <is>
          <t>S2</t>
        </is>
      </c>
      <c r="F43" s="224" t="inlineStr">
        <is>
          <t>MEDIUM</t>
        </is>
      </c>
      <c r="G43" s="223" t="inlineStr">
        <is>
          <t>Type</t>
        </is>
      </c>
      <c r="H43" s="223" t="inlineStr">
        <is>
          <t>BLE_ELES</t>
        </is>
      </c>
    </row>
    <row r="44">
      <c r="A44" s="223" t="inlineStr">
        <is>
          <t>BLE_STAIR_NOSING_TXT</t>
        </is>
      </c>
      <c r="B44" s="223" t="inlineStr">
        <is>
          <t>TEXT</t>
        </is>
      </c>
      <c r="C44" s="223" t="inlineStr">
        <is>
          <t>ARCH</t>
        </is>
      </c>
      <c r="D44" s="223" t="inlineStr">
        <is>
          <t>ARCH_TAG_7_PARA_STAIR_TXT (Stairs)</t>
        </is>
      </c>
      <c r="E44" s="223" t="inlineStr">
        <is>
          <t>S2</t>
        </is>
      </c>
      <c r="F44" s="224" t="inlineStr">
        <is>
          <t>MEDIUM</t>
        </is>
      </c>
      <c r="G44" s="223" t="inlineStr">
        <is>
          <t>Type</t>
        </is>
      </c>
      <c r="H44" s="223" t="inlineStr">
        <is>
          <t>BLE_ELES</t>
        </is>
      </c>
    </row>
    <row r="45">
      <c r="A45" s="223" t="inlineStr">
        <is>
          <t>BLE_STRUCT_BEARING_KPA</t>
        </is>
      </c>
      <c r="B45" s="223" t="inlineStr">
        <is>
          <t>TEXT</t>
        </is>
      </c>
      <c r="C45" s="223" t="inlineStr">
        <is>
          <t>STR</t>
        </is>
      </c>
      <c r="D45" s="223" t="inlineStr">
        <is>
          <t>STR_TAG_7_PARA_FDN_TXT (Str. Foundations)</t>
        </is>
      </c>
      <c r="E45" s="223" t="inlineStr">
        <is>
          <t>S2</t>
        </is>
      </c>
      <c r="F45" s="224" t="inlineStr">
        <is>
          <t>MEDIUM</t>
        </is>
      </c>
      <c r="G45" s="223" t="inlineStr">
        <is>
          <t>Type</t>
        </is>
      </c>
      <c r="H45" s="223" t="inlineStr">
        <is>
          <t>BLE_STRUCTURE</t>
        </is>
      </c>
    </row>
    <row r="46">
      <c r="A46" s="223" t="inlineStr">
        <is>
          <t>BLE_STRUCT_COVER_MM</t>
        </is>
      </c>
      <c r="B46" s="223" t="inlineStr">
        <is>
          <t>LENGTH</t>
        </is>
      </c>
      <c r="C46" s="223" t="inlineStr">
        <is>
          <t>STR</t>
        </is>
      </c>
      <c r="D46" s="223" t="inlineStr">
        <is>
          <t>STR_TAG_7_PARA_BEAM_TXT (Str. Framing); STR_TAG_7_PARA_COL_TXT (Str. Columns)</t>
        </is>
      </c>
      <c r="E46" s="223" t="inlineStr">
        <is>
          <t>S2</t>
        </is>
      </c>
      <c r="F46" s="224" t="inlineStr">
        <is>
          <t>MEDIUM</t>
        </is>
      </c>
      <c r="G46" s="223" t="inlineStr">
        <is>
          <t>Type</t>
        </is>
      </c>
      <c r="H46" s="223" t="inlineStr">
        <is>
          <t>BLE_STRUCTURE</t>
        </is>
      </c>
    </row>
    <row r="47">
      <c r="A47" s="223" t="inlineStr">
        <is>
          <t>BLE_STRUCT_DPC_TXT</t>
        </is>
      </c>
      <c r="B47" s="223" t="inlineStr">
        <is>
          <t>TEXT</t>
        </is>
      </c>
      <c r="C47" s="223" t="inlineStr">
        <is>
          <t>STR</t>
        </is>
      </c>
      <c r="D47" s="223" t="inlineStr">
        <is>
          <t>STR_TAG_7_PARA_FDN_TXT (Str. Foundations)</t>
        </is>
      </c>
      <c r="E47" s="223" t="inlineStr">
        <is>
          <t>S2</t>
        </is>
      </c>
      <c r="F47" s="224" t="inlineStr">
        <is>
          <t>MEDIUM</t>
        </is>
      </c>
      <c r="G47" s="223" t="inlineStr">
        <is>
          <t>Type</t>
        </is>
      </c>
      <c r="H47" s="223" t="inlineStr">
        <is>
          <t>BLE_STRUCTURE</t>
        </is>
      </c>
    </row>
    <row r="48">
      <c r="A48" s="223" t="inlineStr">
        <is>
          <t>BLE_STRUCT_FORMWORK_TXT</t>
        </is>
      </c>
      <c r="B48" s="223" t="inlineStr">
        <is>
          <t>TEXT</t>
        </is>
      </c>
      <c r="C48" s="223" t="inlineStr">
        <is>
          <t>STR</t>
        </is>
      </c>
      <c r="D48" s="223" t="inlineStr">
        <is>
          <t>STR_TAG_7_PARA_COL_TXT (Str. Columns)</t>
        </is>
      </c>
      <c r="E48" s="223" t="inlineStr">
        <is>
          <t>S2</t>
        </is>
      </c>
      <c r="F48" s="224" t="inlineStr">
        <is>
          <t>MEDIUM</t>
        </is>
      </c>
      <c r="G48" s="223" t="inlineStr">
        <is>
          <t>Type</t>
        </is>
      </c>
      <c r="H48" s="223" t="inlineStr">
        <is>
          <t>BLE_STRUCTURE</t>
        </is>
      </c>
    </row>
    <row r="49">
      <c r="A49" s="223" t="inlineStr">
        <is>
          <t>BLE_STRUCT_STEEL_SECTION_TXT</t>
        </is>
      </c>
      <c r="B49" s="223" t="inlineStr">
        <is>
          <t>TEXT</t>
        </is>
      </c>
      <c r="C49" s="223" t="inlineStr">
        <is>
          <t>STR</t>
        </is>
      </c>
      <c r="D49" s="223" t="inlineStr">
        <is>
          <t>STR_TAG_7_PARA_BEAM_TXT (Str. Framing)</t>
        </is>
      </c>
      <c r="E49" s="223" t="inlineStr">
        <is>
          <t>S2</t>
        </is>
      </c>
      <c r="F49" s="224" t="inlineStr">
        <is>
          <t>MEDIUM</t>
        </is>
      </c>
      <c r="G49" s="223" t="inlineStr">
        <is>
          <t>Type</t>
        </is>
      </c>
      <c r="H49" s="223" t="inlineStr">
        <is>
          <t>BLE_STRUCTURE</t>
        </is>
      </c>
    </row>
    <row r="50">
      <c r="A50" s="223" t="inlineStr">
        <is>
          <t>BLE_WINDOW_BURGLAR_BARS_BOOL</t>
        </is>
      </c>
      <c r="B50" s="223" t="inlineStr">
        <is>
          <t>YESNO</t>
        </is>
      </c>
      <c r="C50" s="223" t="inlineStr">
        <is>
          <t>ARCH</t>
        </is>
      </c>
      <c r="D50" s="223" t="inlineStr">
        <is>
          <t>ARCH_TAG_7_PARA_WIN_TXT (Windows)</t>
        </is>
      </c>
      <c r="E50" s="223" t="inlineStr">
        <is>
          <t>S2</t>
        </is>
      </c>
      <c r="F50" s="224" t="inlineStr">
        <is>
          <t>MEDIUM</t>
        </is>
      </c>
      <c r="G50" s="223" t="inlineStr">
        <is>
          <t>Type</t>
        </is>
      </c>
      <c r="H50" s="223" t="inlineStr">
        <is>
          <t>BLE_ELES</t>
        </is>
      </c>
    </row>
    <row r="51">
      <c r="A51" s="223" t="inlineStr">
        <is>
          <t>BLE_WINDOW_GLAZING_TYPE_TXT</t>
        </is>
      </c>
      <c r="B51" s="223" t="inlineStr">
        <is>
          <t>TEXT</t>
        </is>
      </c>
      <c r="C51" s="223" t="inlineStr">
        <is>
          <t>ARCH</t>
        </is>
      </c>
      <c r="D51" s="223" t="inlineStr">
        <is>
          <t>ARCH_TAG_7_PARA_WIN_TXT (Windows)</t>
        </is>
      </c>
      <c r="E51" s="223" t="inlineStr">
        <is>
          <t>S1</t>
        </is>
      </c>
      <c r="F51" s="225" t="inlineStr">
        <is>
          <t>HIGH</t>
        </is>
      </c>
      <c r="G51" s="223" t="inlineStr">
        <is>
          <t>Type</t>
        </is>
      </c>
      <c r="H51" s="223" t="inlineStr">
        <is>
          <t>BLE_ELES</t>
        </is>
      </c>
    </row>
    <row r="52">
      <c r="A52" s="223" t="inlineStr">
        <is>
          <t>BLE_WINDOW_MOSQUITO_SCREEN_BOOL</t>
        </is>
      </c>
      <c r="B52" s="223" t="inlineStr">
        <is>
          <t>YESNO</t>
        </is>
      </c>
      <c r="C52" s="223" t="inlineStr">
        <is>
          <t>ARCH</t>
        </is>
      </c>
      <c r="D52" s="223" t="inlineStr">
        <is>
          <t>ARCH_TAG_7_PARA_WIN_TXT (Windows)</t>
        </is>
      </c>
      <c r="E52" s="223" t="inlineStr">
        <is>
          <t>S2</t>
        </is>
      </c>
      <c r="F52" s="224" t="inlineStr">
        <is>
          <t>MEDIUM</t>
        </is>
      </c>
      <c r="G52" s="223" t="inlineStr">
        <is>
          <t>Type</t>
        </is>
      </c>
      <c r="H52" s="223" t="inlineStr">
        <is>
          <t>BLE_ELES</t>
        </is>
      </c>
    </row>
    <row r="53">
      <c r="A53" s="223" t="inlineStr">
        <is>
          <t>BLE_WINDOW_SHADING_DEVICE_TXT</t>
        </is>
      </c>
      <c r="B53" s="223" t="inlineStr">
        <is>
          <t>TEXT</t>
        </is>
      </c>
      <c r="C53" s="223" t="inlineStr">
        <is>
          <t>ARCH</t>
        </is>
      </c>
      <c r="D53" s="223" t="inlineStr">
        <is>
          <t>ARCH_TAG_7_PARA_WIN_TXT (Windows)</t>
        </is>
      </c>
      <c r="E53" s="223" t="inlineStr">
        <is>
          <t>S3</t>
        </is>
      </c>
      <c r="F53" s="223" t="inlineStr">
        <is>
          <t>LOW</t>
        </is>
      </c>
      <c r="G53" s="223" t="inlineStr">
        <is>
          <t>Type</t>
        </is>
      </c>
      <c r="H53" s="223" t="inlineStr">
        <is>
          <t>BLE_ELES</t>
        </is>
      </c>
    </row>
    <row r="54">
      <c r="A54" s="223" t="inlineStr">
        <is>
          <t>BLE_WINDOW_VLT_PCT</t>
        </is>
      </c>
      <c r="B54" s="223" t="inlineStr">
        <is>
          <t>NUMBER</t>
        </is>
      </c>
      <c r="C54" s="223" t="inlineStr">
        <is>
          <t>ARCH</t>
        </is>
      </c>
      <c r="D54" s="223" t="inlineStr">
        <is>
          <t>ARCH_TAG_7_PARA_WIN_TXT (Windows)</t>
        </is>
      </c>
      <c r="E54" s="223" t="inlineStr">
        <is>
          <t>S2</t>
        </is>
      </c>
      <c r="F54" s="224" t="inlineStr">
        <is>
          <t>MEDIUM</t>
        </is>
      </c>
      <c r="G54" s="223" t="inlineStr">
        <is>
          <t>Type</t>
        </is>
      </c>
      <c r="H54" s="223" t="inlineStr">
        <is>
          <t>BLE_ELES</t>
        </is>
      </c>
    </row>
    <row r="55">
      <c r="A55" s="223" t="inlineStr">
        <is>
          <t>COM_C_MEAS_RANGE_TXT</t>
        </is>
      </c>
      <c r="B55" s="223" t="inlineStr">
        <is>
          <t>TEXT</t>
        </is>
      </c>
      <c r="C55" s="223" t="inlineStr">
        <is>
          <t>ICT</t>
        </is>
      </c>
      <c r="D55" s="223" t="inlineStr">
        <is>
          <t>COM_TAG_7_PARA_BMS_TXT (Communication Devices
(BMS))</t>
        </is>
      </c>
      <c r="E55" s="223" t="inlineStr">
        <is>
          <t>S2</t>
        </is>
      </c>
      <c r="F55" s="224" t="inlineStr">
        <is>
          <t>MEDIUM</t>
        </is>
      </c>
      <c r="G55" s="223" t="inlineStr">
        <is>
          <t>Type</t>
        </is>
      </c>
      <c r="H55" s="223" t="inlineStr">
        <is>
          <t>COM_DAT</t>
        </is>
      </c>
    </row>
    <row r="56">
      <c r="A56" s="223" t="inlineStr">
        <is>
          <t>CST_S_LEAD_TIME_WEEKS_NR</t>
        </is>
      </c>
      <c r="B56" s="223" t="inlineStr">
        <is>
          <t>NUMBER</t>
        </is>
      </c>
      <c r="C56" s="223" t="inlineStr">
        <is>
          <t>CST</t>
        </is>
      </c>
      <c r="D56" s="223" t="inlineStr">
        <is>
          <t>ARCH_TAG_7_PARA_DOOR_TXT (Doors)</t>
        </is>
      </c>
      <c r="E56" s="223" t="inlineStr">
        <is>
          <t>S3</t>
        </is>
      </c>
      <c r="F56" s="223" t="inlineStr">
        <is>
          <t>LOW</t>
        </is>
      </c>
      <c r="G56" s="223" t="inlineStr">
        <is>
          <t>Type</t>
        </is>
      </c>
      <c r="H56" s="223" t="inlineStr">
        <is>
          <t>CST_PROC</t>
        </is>
      </c>
    </row>
    <row r="57">
      <c r="A57" s="223" t="inlineStr">
        <is>
          <t>CST_S_SUPPLIER_TXT</t>
        </is>
      </c>
      <c r="B57" s="223" t="inlineStr">
        <is>
          <t>TEXT</t>
        </is>
      </c>
      <c r="C57" s="223" t="inlineStr">
        <is>
          <t>CST</t>
        </is>
      </c>
      <c r="D57" s="223" t="inlineStr">
        <is>
          <t>ARCH_TAG_7_PARA_CEIL_TXT (Ceilings); ARCH_TAG_7_PARA_FLOOR_TXT (Floors); ARCH_TAG_7_PARA_ROOF_TXT (Roofs)</t>
        </is>
      </c>
      <c r="E57" s="223" t="inlineStr">
        <is>
          <t>S3</t>
        </is>
      </c>
      <c r="F57" s="223" t="inlineStr">
        <is>
          <t>LOW</t>
        </is>
      </c>
      <c r="G57" s="223" t="inlineStr">
        <is>
          <t>Type</t>
        </is>
      </c>
      <c r="H57" s="223" t="inlineStr">
        <is>
          <t>CST_PROC</t>
        </is>
      </c>
    </row>
    <row r="58">
      <c r="A58" s="223" t="inlineStr">
        <is>
          <t>CST_S_UNIT_RATE_UGX_NR</t>
        </is>
      </c>
      <c r="B58" s="223" t="inlineStr">
        <is>
          <t>NUMBER</t>
        </is>
      </c>
      <c r="C58" s="223" t="inlineStr">
        <is>
          <t>CST</t>
        </is>
      </c>
      <c r="D58" s="223" t="inlineStr">
        <is>
          <t>ARCH_TAG_7_PARA_DOOR_TXT (Doors); ARCH_TAG_7_PARA_FLOOR_TXT (Floors); ARCH_TAG_7_PARA_STAIR_TXT (Stairs)</t>
        </is>
      </c>
      <c r="E58" s="223" t="inlineStr">
        <is>
          <t>S3</t>
        </is>
      </c>
      <c r="F58" s="223" t="inlineStr">
        <is>
          <t>LOW</t>
        </is>
      </c>
      <c r="G58" s="223" t="inlineStr">
        <is>
          <t>Type</t>
        </is>
      </c>
      <c r="H58" s="223" t="inlineStr">
        <is>
          <t>CST_PROC</t>
        </is>
      </c>
    </row>
    <row r="59">
      <c r="A59" s="223" t="inlineStr">
        <is>
          <t>CST_TAG_7_PARA_CONCRETE_TXT</t>
        </is>
      </c>
      <c r="B59" s="223" t="inlineStr">
        <is>
          <t>TEXT</t>
        </is>
      </c>
      <c r="C59" s="223" t="inlineStr">
        <is>
          <t>CST</t>
        </is>
      </c>
      <c r="D59" s="223" t="inlineStr">
        <is>
          <t>STR_TAG_7_PARA_FDN_TXT (Str. Foundations)</t>
        </is>
      </c>
      <c r="E59" s="223" t="inlineStr">
        <is>
          <t>S2</t>
        </is>
      </c>
      <c r="F59" s="224" t="inlineStr">
        <is>
          <t>MEDIUM</t>
        </is>
      </c>
      <c r="G59" s="223" t="inlineStr">
        <is>
          <t>Type</t>
        </is>
      </c>
      <c r="H59" s="223" t="inlineStr">
        <is>
          <t>CST_PROC</t>
        </is>
      </c>
    </row>
    <row r="60">
      <c r="A60" s="223" t="inlineStr">
        <is>
          <t>ELC_CBL_CORES_NR</t>
        </is>
      </c>
      <c r="B60" s="223" t="inlineStr">
        <is>
          <t>NUMBER</t>
        </is>
      </c>
      <c r="C60" s="223" t="inlineStr">
        <is>
          <t>ELEC</t>
        </is>
      </c>
      <c r="D60" s="223" t="inlineStr">
        <is>
          <t>ELC_TAG_7_PARA_CONDUIT_TXT (Conduits)</t>
        </is>
      </c>
      <c r="E60" s="223" t="inlineStr">
        <is>
          <t>S2</t>
        </is>
      </c>
      <c r="F60" s="224" t="inlineStr">
        <is>
          <t>MEDIUM</t>
        </is>
      </c>
      <c r="G60" s="223" t="inlineStr">
        <is>
          <t>Type</t>
        </is>
      </c>
      <c r="H60" s="223" t="inlineStr">
        <is>
          <t>ELC_PWR</t>
        </is>
      </c>
    </row>
    <row r="61">
      <c r="A61" s="223" t="inlineStr">
        <is>
          <t>ELC_CBL_DEST_TXT</t>
        </is>
      </c>
      <c r="B61" s="223" t="inlineStr">
        <is>
          <t>TEXT</t>
        </is>
      </c>
      <c r="C61" s="223" t="inlineStr">
        <is>
          <t>ELEC</t>
        </is>
      </c>
      <c r="D61" s="223" t="inlineStr">
        <is>
          <t>ELC_TAG_7_PARA_CONDUIT_TXT (Conduits)</t>
        </is>
      </c>
      <c r="E61" s="223" t="inlineStr">
        <is>
          <t>S2</t>
        </is>
      </c>
      <c r="F61" s="224" t="inlineStr">
        <is>
          <t>MEDIUM</t>
        </is>
      </c>
      <c r="G61" s="223" t="inlineStr">
        <is>
          <t>Type</t>
        </is>
      </c>
      <c r="H61" s="223" t="inlineStr">
        <is>
          <t>ELC_PWR</t>
        </is>
      </c>
    </row>
    <row r="62">
      <c r="A62" s="223" t="inlineStr">
        <is>
          <t>ELC_CBL_FEEDER_SZ_MM2</t>
        </is>
      </c>
      <c r="B62" s="223" t="inlineStr">
        <is>
          <t>TEXT</t>
        </is>
      </c>
      <c r="C62" s="223" t="inlineStr">
        <is>
          <t>ELEC</t>
        </is>
      </c>
      <c r="D62" s="223" t="inlineStr">
        <is>
          <t>ELC_TAG_7_PARA_PANEL_TXT (Elec. Equipment
(DB Panels))</t>
        </is>
      </c>
      <c r="E62" s="223" t="inlineStr">
        <is>
          <t>S2</t>
        </is>
      </c>
      <c r="F62" s="224" t="inlineStr">
        <is>
          <t>MEDIUM</t>
        </is>
      </c>
      <c r="G62" s="223" t="inlineStr">
        <is>
          <t>Type</t>
        </is>
      </c>
      <c r="H62" s="223" t="inlineStr">
        <is>
          <t>ELC_PWR</t>
        </is>
      </c>
    </row>
    <row r="63">
      <c r="A63" s="223" t="inlineStr">
        <is>
          <t>ELC_CBL_LOAD_A</t>
        </is>
      </c>
      <c r="B63" s="223" t="inlineStr">
        <is>
          <t>NUMBER</t>
        </is>
      </c>
      <c r="C63" s="223" t="inlineStr">
        <is>
          <t>ELEC</t>
        </is>
      </c>
      <c r="D63" s="223" t="inlineStr">
        <is>
          <t>ELC_TAG_7_PARA_CONDUIT_TXT (Conduits); ELC_TAG_7_PARA_TRAY_TXT (Cable Trays)</t>
        </is>
      </c>
      <c r="E63" s="223" t="inlineStr">
        <is>
          <t>S2</t>
        </is>
      </c>
      <c r="F63" s="224" t="inlineStr">
        <is>
          <t>MEDIUM</t>
        </is>
      </c>
      <c r="G63" s="223" t="inlineStr">
        <is>
          <t>Type</t>
        </is>
      </c>
      <c r="H63" s="223" t="inlineStr">
        <is>
          <t>ELC_PWR</t>
        </is>
      </c>
    </row>
    <row r="64">
      <c r="A64" s="223" t="inlineStr">
        <is>
          <t>ELC_CBL_SOURCE_TXT</t>
        </is>
      </c>
      <c r="B64" s="223" t="inlineStr">
        <is>
          <t>TEXT</t>
        </is>
      </c>
      <c r="C64" s="223" t="inlineStr">
        <is>
          <t>ELEC</t>
        </is>
      </c>
      <c r="D64" s="223" t="inlineStr">
        <is>
          <t>ELC_TAG_7_PARA_CONDUIT_TXT (Conduits)</t>
        </is>
      </c>
      <c r="E64" s="223" t="inlineStr">
        <is>
          <t>S2</t>
        </is>
      </c>
      <c r="F64" s="224" t="inlineStr">
        <is>
          <t>MEDIUM</t>
        </is>
      </c>
      <c r="G64" s="223" t="inlineStr">
        <is>
          <t>Type</t>
        </is>
      </c>
      <c r="H64" s="223" t="inlineStr">
        <is>
          <t>ELC_PWR</t>
        </is>
      </c>
    </row>
    <row r="65">
      <c r="A65" s="223" t="inlineStr">
        <is>
          <t>ELC_CBL_SZ_MM2</t>
        </is>
      </c>
      <c r="B65" s="223" t="inlineStr">
        <is>
          <t>TEXT</t>
        </is>
      </c>
      <c r="C65" s="223" t="inlineStr">
        <is>
          <t>ELEC</t>
        </is>
      </c>
      <c r="D65" s="223" t="inlineStr">
        <is>
          <t>ELC_TAG_7_PARA_CONDUIT_TXT (Conduits); ICT_TAG_7_PARA_DATA_TXT (Data / Telephone Devices)</t>
        </is>
      </c>
      <c r="E65" s="223" t="inlineStr">
        <is>
          <t>S2</t>
        </is>
      </c>
      <c r="F65" s="224" t="inlineStr">
        <is>
          <t>MEDIUM</t>
        </is>
      </c>
      <c r="G65" s="223" t="inlineStr">
        <is>
          <t>Type</t>
        </is>
      </c>
      <c r="H65" s="223" t="inlineStr">
        <is>
          <t>ELC_PWR</t>
        </is>
      </c>
    </row>
    <row r="66">
      <c r="A66" s="223" t="inlineStr">
        <is>
          <t>ELC_CBL_TYPE_TXT</t>
        </is>
      </c>
      <c r="B66" s="223" t="inlineStr">
        <is>
          <t>TEXT</t>
        </is>
      </c>
      <c r="C66" s="223" t="inlineStr">
        <is>
          <t>ELEC</t>
        </is>
      </c>
      <c r="D66" s="223" t="inlineStr">
        <is>
          <t>COM_TAG_7_PARA_BMS_TXT (Communication Devices
(BMS)); ELC_TAG_7_PARA_CONDUIT_TXT (Conduits); ELC_TAG_7_PARA_TRAY_TXT (Cable Trays)</t>
        </is>
      </c>
      <c r="E66" s="223" t="inlineStr">
        <is>
          <t>S2</t>
        </is>
      </c>
      <c r="F66" s="224" t="inlineStr">
        <is>
          <t>MEDIUM</t>
        </is>
      </c>
      <c r="G66" s="223" t="inlineStr">
        <is>
          <t>Type</t>
        </is>
      </c>
      <c r="H66" s="223" t="inlineStr">
        <is>
          <t>ELC_PWR</t>
        </is>
      </c>
    </row>
    <row r="67">
      <c r="A67" s="223" t="inlineStr">
        <is>
          <t>ELC_CTR_SUPPORT_SPACING_MM</t>
        </is>
      </c>
      <c r="B67" s="223" t="inlineStr">
        <is>
          <t>LENGTH</t>
        </is>
      </c>
      <c r="C67" s="223" t="inlineStr">
        <is>
          <t>ELEC</t>
        </is>
      </c>
      <c r="D67" s="223" t="inlineStr">
        <is>
          <t>ELC_TAG_7_PARA_TRAY_TXT (Cable Trays)</t>
        </is>
      </c>
      <c r="E67" s="223" t="inlineStr">
        <is>
          <t>S2</t>
        </is>
      </c>
      <c r="F67" s="224" t="inlineStr">
        <is>
          <t>MEDIUM</t>
        </is>
      </c>
      <c r="G67" s="223" t="inlineStr">
        <is>
          <t>Type</t>
        </is>
      </c>
      <c r="H67" s="223" t="inlineStr">
        <is>
          <t>ELC_PWR</t>
        </is>
      </c>
    </row>
    <row r="68">
      <c r="A68" s="223" t="inlineStr">
        <is>
          <t>ELC_EARTH_TXT</t>
        </is>
      </c>
      <c r="B68" s="223" t="inlineStr">
        <is>
          <t>TEXT</t>
        </is>
      </c>
      <c r="C68" s="223" t="inlineStr">
        <is>
          <t>ELEC</t>
        </is>
      </c>
      <c r="D68" s="223" t="inlineStr">
        <is>
          <t>ELC_TAG_7_PARA_TRAY_TXT (Cable Trays)</t>
        </is>
      </c>
      <c r="E68" s="223" t="inlineStr">
        <is>
          <t>S3</t>
        </is>
      </c>
      <c r="F68" s="223" t="inlineStr">
        <is>
          <t>LOW</t>
        </is>
      </c>
      <c r="G68" s="223" t="inlineStr">
        <is>
          <t>Type</t>
        </is>
      </c>
      <c r="H68" s="223" t="inlineStr">
        <is>
          <t>ELC_PWR</t>
        </is>
      </c>
    </row>
    <row r="69">
      <c r="A69" s="223" t="inlineStr">
        <is>
          <t>ELC_PNL_IP_RATING_TXT</t>
        </is>
      </c>
      <c r="B69" s="223" t="inlineStr">
        <is>
          <t>TEXT</t>
        </is>
      </c>
      <c r="C69" s="223" t="inlineStr">
        <is>
          <t>ELEC</t>
        </is>
      </c>
      <c r="D69" s="223" t="inlineStr">
        <is>
          <t>ELC_TAG_7_PARA_PANEL_TXT (Elec. Equipment
(DB Panels))</t>
        </is>
      </c>
      <c r="E69" s="223" t="inlineStr">
        <is>
          <t>S2</t>
        </is>
      </c>
      <c r="F69" s="224" t="inlineStr">
        <is>
          <t>MEDIUM</t>
        </is>
      </c>
      <c r="G69" s="223" t="inlineStr">
        <is>
          <t>Type</t>
        </is>
      </c>
      <c r="H69" s="223" t="inlineStr">
        <is>
          <t>ELC_PWR</t>
        </is>
      </c>
    </row>
    <row r="70">
      <c r="A70" s="223" t="inlineStr">
        <is>
          <t>ELC_PNL_RATED_KW</t>
        </is>
      </c>
      <c r="B70" s="223" t="inlineStr">
        <is>
          <t>NUMBER</t>
        </is>
      </c>
      <c r="C70" s="223" t="inlineStr">
        <is>
          <t>ELEC</t>
        </is>
      </c>
      <c r="D70" s="223" t="inlineStr">
        <is>
          <t>ELC_TAG_7_PARA_PANEL_TXT (Elec. Equipment
(DB Panels))</t>
        </is>
      </c>
      <c r="E70" s="223" t="inlineStr">
        <is>
          <t>S2</t>
        </is>
      </c>
      <c r="F70" s="224" t="inlineStr">
        <is>
          <t>MEDIUM</t>
        </is>
      </c>
      <c r="G70" s="223" t="inlineStr">
        <is>
          <t>Type</t>
        </is>
      </c>
      <c r="H70" s="223" t="inlineStr">
        <is>
          <t>ELC_PWR</t>
        </is>
      </c>
    </row>
    <row r="71">
      <c r="A71" s="223" t="inlineStr">
        <is>
          <t>ELC_PNL_SHORT_CIRCUIT_KA</t>
        </is>
      </c>
      <c r="B71" s="223" t="inlineStr">
        <is>
          <t>TEXT</t>
        </is>
      </c>
      <c r="C71" s="223" t="inlineStr">
        <is>
          <t>ELEC</t>
        </is>
      </c>
      <c r="D71" s="223" t="inlineStr">
        <is>
          <t>ELC_TAG_7_PARA_PANEL_TXT (Elec. Equipment
(DB Panels))</t>
        </is>
      </c>
      <c r="E71" s="223" t="inlineStr">
        <is>
          <t>S1</t>
        </is>
      </c>
      <c r="F71" s="225" t="inlineStr">
        <is>
          <t>HIGH</t>
        </is>
      </c>
      <c r="G71" s="223" t="inlineStr">
        <is>
          <t>Type</t>
        </is>
      </c>
      <c r="H71" s="223" t="inlineStr">
        <is>
          <t>ELC_PWR</t>
        </is>
      </c>
    </row>
    <row r="72">
      <c r="A72" s="223" t="inlineStr">
        <is>
          <t>ELC_PNL_SPARE_WAYS_NR</t>
        </is>
      </c>
      <c r="B72" s="223" t="inlineStr">
        <is>
          <t>NUMBER</t>
        </is>
      </c>
      <c r="C72" s="223" t="inlineStr">
        <is>
          <t>ELEC</t>
        </is>
      </c>
      <c r="D72" s="223" t="inlineStr">
        <is>
          <t>ELC_TAG_7_PARA_PANEL_TXT (Elec. Equipment
(DB Panels))</t>
        </is>
      </c>
      <c r="E72" s="223" t="inlineStr">
        <is>
          <t>S2</t>
        </is>
      </c>
      <c r="F72" s="224" t="inlineStr">
        <is>
          <t>MEDIUM</t>
        </is>
      </c>
      <c r="G72" s="223" t="inlineStr">
        <is>
          <t>Type</t>
        </is>
      </c>
      <c r="H72" s="223" t="inlineStr">
        <is>
          <t>ELC_PWR</t>
        </is>
      </c>
    </row>
    <row r="73">
      <c r="A73" s="223" t="inlineStr">
        <is>
          <t>FLS_PROT_REFUGE_AREA_BOOL</t>
        </is>
      </c>
      <c r="B73" s="223" t="inlineStr">
        <is>
          <t>YESNO</t>
        </is>
      </c>
      <c r="C73" s="223" t="inlineStr">
        <is>
          <t>FLS</t>
        </is>
      </c>
      <c r="D73" s="223" t="inlineStr">
        <is>
          <t>ARCH_TAG_7_PARA_ROOM_TXT (Rooms/Spaces)</t>
        </is>
      </c>
      <c r="E73" s="223" t="inlineStr">
        <is>
          <t>S3</t>
        </is>
      </c>
      <c r="F73" s="223" t="inlineStr">
        <is>
          <t>LOW</t>
        </is>
      </c>
      <c r="G73" s="223" t="inlineStr">
        <is>
          <t>Type</t>
        </is>
      </c>
      <c r="H73" s="223" t="inlineStr">
        <is>
          <t>FLS_LIFE_SFTY</t>
        </is>
      </c>
    </row>
    <row r="74">
      <c r="A74" s="223" t="inlineStr">
        <is>
          <t>FLS_SFTY_HAZARD_CLASS_TXT</t>
        </is>
      </c>
      <c r="B74" s="223" t="inlineStr">
        <is>
          <t>TEXT</t>
        </is>
      </c>
      <c r="C74" s="223" t="inlineStr">
        <is>
          <t>FLS</t>
        </is>
      </c>
      <c r="D74" s="223" t="inlineStr">
        <is>
          <t>FLS_TAG_7_PARA_SPR_TXT (Sprinklers)</t>
        </is>
      </c>
      <c r="E74" s="223" t="inlineStr">
        <is>
          <t>S3</t>
        </is>
      </c>
      <c r="F74" s="223" t="inlineStr">
        <is>
          <t>LOW</t>
        </is>
      </c>
      <c r="G74" s="223" t="inlineStr">
        <is>
          <t>Type</t>
        </is>
      </c>
      <c r="H74" s="223" t="inlineStr">
        <is>
          <t>FLS_LIFE_SFTY</t>
        </is>
      </c>
    </row>
    <row r="75">
      <c r="A75" s="223" t="inlineStr">
        <is>
          <t>FLS_SFTY_LOOP_NR</t>
        </is>
      </c>
      <c r="B75" s="223" t="inlineStr">
        <is>
          <t>NUMBER</t>
        </is>
      </c>
      <c r="C75" s="223" t="inlineStr">
        <is>
          <t>FLS</t>
        </is>
      </c>
      <c r="D75" s="223" t="inlineStr">
        <is>
          <t>FLS_TAG_7_PARA_FA_TXT (Fire Alarm Devices)</t>
        </is>
      </c>
      <c r="E75" s="223" t="inlineStr">
        <is>
          <t>S2</t>
        </is>
      </c>
      <c r="F75" s="224" t="inlineStr">
        <is>
          <t>MEDIUM</t>
        </is>
      </c>
      <c r="G75" s="223" t="inlineStr">
        <is>
          <t>Type</t>
        </is>
      </c>
      <c r="H75" s="223" t="inlineStr">
        <is>
          <t>FLS_LIFE_SFTY</t>
        </is>
      </c>
    </row>
    <row r="76">
      <c r="A76" s="223" t="inlineStr">
        <is>
          <t>FLS_SFTY_RTI_TXT</t>
        </is>
      </c>
      <c r="B76" s="223" t="inlineStr">
        <is>
          <t>TEXT</t>
        </is>
      </c>
      <c r="C76" s="223" t="inlineStr">
        <is>
          <t>FLS</t>
        </is>
      </c>
      <c r="D76" s="223" t="inlineStr">
        <is>
          <t>FLS_TAG_7_PARA_SPR_TXT (Sprinklers)</t>
        </is>
      </c>
      <c r="E76" s="223" t="inlineStr">
        <is>
          <t>S2</t>
        </is>
      </c>
      <c r="F76" s="224" t="inlineStr">
        <is>
          <t>MEDIUM</t>
        </is>
      </c>
      <c r="G76" s="223" t="inlineStr">
        <is>
          <t>Type</t>
        </is>
      </c>
      <c r="H76" s="223" t="inlineStr">
        <is>
          <t>FLS_LIFE_SFTY</t>
        </is>
      </c>
    </row>
    <row r="77">
      <c r="A77" s="223" t="inlineStr">
        <is>
          <t>FLS_SFTY_ZONE_NR</t>
        </is>
      </c>
      <c r="B77" s="223" t="inlineStr">
        <is>
          <t>NUMBER</t>
        </is>
      </c>
      <c r="C77" s="223" t="inlineStr">
        <is>
          <t>FLS</t>
        </is>
      </c>
      <c r="D77" s="223" t="inlineStr">
        <is>
          <t>FLS_TAG_7_PARA_FA_TXT (Fire Alarm Devices); FLS_TAG_7_PARA_SPR_TXT (Sprinklers)</t>
        </is>
      </c>
      <c r="E77" s="223" t="inlineStr">
        <is>
          <t>S2</t>
        </is>
      </c>
      <c r="F77" s="224" t="inlineStr">
        <is>
          <t>MEDIUM</t>
        </is>
      </c>
      <c r="G77" s="223" t="inlineStr">
        <is>
          <t>Type</t>
        </is>
      </c>
      <c r="H77" s="223" t="inlineStr">
        <is>
          <t>FLS_LIFE_SFTY</t>
        </is>
      </c>
    </row>
    <row r="78">
      <c r="A78" s="223" t="inlineStr">
        <is>
          <t>HVC_ACTUATOR_TXT</t>
        </is>
      </c>
      <c r="B78" s="223" t="inlineStr">
        <is>
          <t>TEXT</t>
        </is>
      </c>
      <c r="C78" s="223" t="inlineStr">
        <is>
          <t>HVAC</t>
        </is>
      </c>
      <c r="D78" s="223" t="inlineStr">
        <is>
          <t>HVC_TAG_7_PARA_DCTACC_TXT (Duct Accessories)</t>
        </is>
      </c>
      <c r="E78" s="223" t="inlineStr">
        <is>
          <t>S2</t>
        </is>
      </c>
      <c r="F78" s="224" t="inlineStr">
        <is>
          <t>MEDIUM</t>
        </is>
      </c>
      <c r="G78" s="223" t="inlineStr">
        <is>
          <t>Type</t>
        </is>
      </c>
      <c r="H78" s="223" t="inlineStr">
        <is>
          <t>HVC_SYSTEMS</t>
        </is>
      </c>
    </row>
    <row r="79">
      <c r="A79" s="223" t="inlineStr">
        <is>
          <t>HVC_BMS_CONTROL_TYPE_TXT</t>
        </is>
      </c>
      <c r="B79" s="223" t="inlineStr">
        <is>
          <t>TEXT</t>
        </is>
      </c>
      <c r="C79" s="223" t="inlineStr">
        <is>
          <t>HVAC</t>
        </is>
      </c>
      <c r="D79" s="223" t="inlineStr">
        <is>
          <t>HVC_TAG_7_PARA_SPEC_TXT (Mech. Equipment)</t>
        </is>
      </c>
      <c r="E79" s="223" t="inlineStr">
        <is>
          <t>S2</t>
        </is>
      </c>
      <c r="F79" s="224" t="inlineStr">
        <is>
          <t>MEDIUM</t>
        </is>
      </c>
      <c r="G79" s="223" t="inlineStr">
        <is>
          <t>Type</t>
        </is>
      </c>
      <c r="H79" s="223" t="inlineStr">
        <is>
          <t>HVC_SYSTEMS</t>
        </is>
      </c>
    </row>
    <row r="80">
      <c r="A80" s="223" t="inlineStr">
        <is>
          <t>HVC_DCT_CONNECTION_TXT</t>
        </is>
      </c>
      <c r="B80" s="223" t="inlineStr">
        <is>
          <t>TEXT</t>
        </is>
      </c>
      <c r="C80" s="223" t="inlineStr">
        <is>
          <t>HVAC</t>
        </is>
      </c>
      <c r="D80" s="223" t="inlineStr">
        <is>
          <t>HVC_TAG_7_PARA_FLEXDUCT_TXT (Flex Ducts)</t>
        </is>
      </c>
      <c r="E80" s="223" t="inlineStr">
        <is>
          <t>S2</t>
        </is>
      </c>
      <c r="F80" s="224" t="inlineStr">
        <is>
          <t>MEDIUM</t>
        </is>
      </c>
      <c r="G80" s="223" t="inlineStr">
        <is>
          <t>Type</t>
        </is>
      </c>
      <c r="H80" s="223" t="inlineStr">
        <is>
          <t>HVC_SYSTEMS</t>
        </is>
      </c>
    </row>
    <row r="81">
      <c r="A81" s="223" t="inlineStr">
        <is>
          <t>HVC_DCT_DIA_MM</t>
        </is>
      </c>
      <c r="B81" s="223" t="inlineStr">
        <is>
          <t>LENGTH</t>
        </is>
      </c>
      <c r="C81" s="223" t="inlineStr">
        <is>
          <t>HVAC</t>
        </is>
      </c>
      <c r="D81" s="223" t="inlineStr">
        <is>
          <t>HVC_TAG_7_PARA_DUCT_TXT (Ducts); HVC_TAG_7_PARA_FLEXDUCT_TXT (Flex Ducts)</t>
        </is>
      </c>
      <c r="E81" s="223" t="inlineStr">
        <is>
          <t>S1</t>
        </is>
      </c>
      <c r="F81" s="225" t="inlineStr">
        <is>
          <t>HIGH</t>
        </is>
      </c>
      <c r="G81" s="223" t="inlineStr">
        <is>
          <t>Type</t>
        </is>
      </c>
      <c r="H81" s="223" t="inlineStr">
        <is>
          <t>HVC_SYSTEMS</t>
        </is>
      </c>
    </row>
    <row r="82">
      <c r="A82" s="223" t="inlineStr">
        <is>
          <t>HVC_DCT_HANGER_SPACING_MM</t>
        </is>
      </c>
      <c r="B82" s="223" t="inlineStr">
        <is>
          <t>LENGTH</t>
        </is>
      </c>
      <c r="C82" s="223" t="inlineStr">
        <is>
          <t>HVAC</t>
        </is>
      </c>
      <c r="D82" s="223" t="inlineStr">
        <is>
          <t>HVC_TAG_7_PARA_DUCT_TXT (Ducts)</t>
        </is>
      </c>
      <c r="E82" s="223" t="inlineStr">
        <is>
          <t>S3</t>
        </is>
      </c>
      <c r="F82" s="223" t="inlineStr">
        <is>
          <t>LOW</t>
        </is>
      </c>
      <c r="G82" s="223" t="inlineStr">
        <is>
          <t>Type</t>
        </is>
      </c>
      <c r="H82" s="223" t="inlineStr">
        <is>
          <t>HVC_SYSTEMS</t>
        </is>
      </c>
    </row>
    <row r="83">
      <c r="A83" s="223" t="inlineStr">
        <is>
          <t>HVC_DCT_HEIGHT_MM</t>
        </is>
      </c>
      <c r="B83" s="223" t="inlineStr">
        <is>
          <t>LENGTH</t>
        </is>
      </c>
      <c r="C83" s="223" t="inlineStr">
        <is>
          <t>HVAC</t>
        </is>
      </c>
      <c r="D83" s="223" t="inlineStr">
        <is>
          <t>HVC_TAG_7_PARA_DUCT_TXT (Ducts)</t>
        </is>
      </c>
      <c r="E83" s="223" t="inlineStr">
        <is>
          <t>S1</t>
        </is>
      </c>
      <c r="F83" s="225" t="inlineStr">
        <is>
          <t>HIGH</t>
        </is>
      </c>
      <c r="G83" s="223" t="inlineStr">
        <is>
          <t>Type</t>
        </is>
      </c>
      <c r="H83" s="223" t="inlineStr">
        <is>
          <t>HVC_SYSTEMS</t>
        </is>
      </c>
    </row>
    <row r="84">
      <c r="A84" s="223" t="inlineStr">
        <is>
          <t>HVC_DCT_INSULATION_TXT</t>
        </is>
      </c>
      <c r="B84" s="223" t="inlineStr">
        <is>
          <t>TEXT</t>
        </is>
      </c>
      <c r="C84" s="223" t="inlineStr">
        <is>
          <t>HVAC</t>
        </is>
      </c>
      <c r="D84" s="223" t="inlineStr">
        <is>
          <t>HVC_TAG_7_PARA_DUCT_TXT (Ducts)</t>
        </is>
      </c>
      <c r="E84" s="223" t="inlineStr">
        <is>
          <t>S2</t>
        </is>
      </c>
      <c r="F84" s="224" t="inlineStr">
        <is>
          <t>MEDIUM</t>
        </is>
      </c>
      <c r="G84" s="223" t="inlineStr">
        <is>
          <t>Type</t>
        </is>
      </c>
      <c r="H84" s="223" t="inlineStr">
        <is>
          <t>HVC_SYSTEMS</t>
        </is>
      </c>
    </row>
    <row r="85">
      <c r="A85" s="223" t="inlineStr">
        <is>
          <t>HVC_DCT_LINING_TXT</t>
        </is>
      </c>
      <c r="B85" s="223" t="inlineStr">
        <is>
          <t>TEXT</t>
        </is>
      </c>
      <c r="C85" s="223" t="inlineStr">
        <is>
          <t>HVAC</t>
        </is>
      </c>
      <c r="D85" s="223" t="inlineStr">
        <is>
          <t>HVC_TAG_7_PARA_FLEXDUCT_TXT (Flex Ducts)</t>
        </is>
      </c>
      <c r="E85" s="223" t="inlineStr">
        <is>
          <t>S3</t>
        </is>
      </c>
      <c r="F85" s="223" t="inlineStr">
        <is>
          <t>LOW</t>
        </is>
      </c>
      <c r="G85" s="223" t="inlineStr">
        <is>
          <t>Type</t>
        </is>
      </c>
      <c r="H85" s="223" t="inlineStr">
        <is>
          <t>HVC_SYSTEMS</t>
        </is>
      </c>
    </row>
    <row r="86">
      <c r="A86" s="223" t="inlineStr">
        <is>
          <t>HVC_DCT_NECK_SZ_TXT</t>
        </is>
      </c>
      <c r="B86" s="223" t="inlineStr">
        <is>
          <t>TEXT</t>
        </is>
      </c>
      <c r="C86" s="223" t="inlineStr">
        <is>
          <t>HVAC</t>
        </is>
      </c>
      <c r="D86" s="223" t="inlineStr">
        <is>
          <t>HVC_TAG_7_PARA_AT_TXT (Air Terminals)</t>
        </is>
      </c>
      <c r="E86" s="223" t="inlineStr">
        <is>
          <t>S2</t>
        </is>
      </c>
      <c r="F86" s="224" t="inlineStr">
        <is>
          <t>MEDIUM</t>
        </is>
      </c>
      <c r="G86" s="223" t="inlineStr">
        <is>
          <t>Type</t>
        </is>
      </c>
      <c r="H86" s="223" t="inlineStr">
        <is>
          <t>HVC_SYSTEMS</t>
        </is>
      </c>
    </row>
    <row r="87">
      <c r="A87" s="223" t="inlineStr">
        <is>
          <t>HVC_DCT_TERMINAL_SOUND_DB_NR</t>
        </is>
      </c>
      <c r="B87" s="223" t="inlineStr">
        <is>
          <t>NUMBER</t>
        </is>
      </c>
      <c r="C87" s="223" t="inlineStr">
        <is>
          <t>HVAC</t>
        </is>
      </c>
      <c r="D87" s="223" t="inlineStr">
        <is>
          <t>HVC_TAG_7_PARA_AT_TXT (Air Terminals)</t>
        </is>
      </c>
      <c r="E87" s="223" t="inlineStr">
        <is>
          <t>S1</t>
        </is>
      </c>
      <c r="F87" s="225" t="inlineStr">
        <is>
          <t>HIGH</t>
        </is>
      </c>
      <c r="G87" s="223" t="inlineStr">
        <is>
          <t>Type</t>
        </is>
      </c>
      <c r="H87" s="223" t="inlineStr">
        <is>
          <t>HVC_SYSTEMS</t>
        </is>
      </c>
    </row>
    <row r="88">
      <c r="A88" s="223" t="inlineStr">
        <is>
          <t>HVC_DCT_WIDTH_MM</t>
        </is>
      </c>
      <c r="B88" s="223" t="inlineStr">
        <is>
          <t>LENGTH</t>
        </is>
      </c>
      <c r="C88" s="223" t="inlineStr">
        <is>
          <t>HVAC</t>
        </is>
      </c>
      <c r="D88" s="223" t="inlineStr">
        <is>
          <t>HVC_TAG_7_PARA_DUCT_TXT (Ducts)</t>
        </is>
      </c>
      <c r="E88" s="223" t="inlineStr">
        <is>
          <t>S1</t>
        </is>
      </c>
      <c r="F88" s="225" t="inlineStr">
        <is>
          <t>HIGH</t>
        </is>
      </c>
      <c r="G88" s="223" t="inlineStr">
        <is>
          <t>Type</t>
        </is>
      </c>
      <c r="H88" s="223" t="inlineStr">
        <is>
          <t>HVC_SYSTEMS</t>
        </is>
      </c>
    </row>
    <row r="89">
      <c r="A89" s="223" t="inlineStr">
        <is>
          <t>HVC_DUCT_LEAKAGE_CLASS_TXT</t>
        </is>
      </c>
      <c r="B89" s="223" t="inlineStr">
        <is>
          <t>TEXT</t>
        </is>
      </c>
      <c r="C89" s="223" t="inlineStr">
        <is>
          <t>HVAC</t>
        </is>
      </c>
      <c r="D89" s="223" t="inlineStr">
        <is>
          <t>HVC_TAG_7_PARA_DUCT_TXT (Ducts)</t>
        </is>
      </c>
      <c r="E89" s="223" t="inlineStr">
        <is>
          <t>S2</t>
        </is>
      </c>
      <c r="F89" s="224" t="inlineStr">
        <is>
          <t>MEDIUM</t>
        </is>
      </c>
      <c r="G89" s="223" t="inlineStr">
        <is>
          <t>Type</t>
        </is>
      </c>
      <c r="H89" s="223" t="inlineStr">
        <is>
          <t>HVC_SYSTEMS</t>
        </is>
      </c>
    </row>
    <row r="90">
      <c r="A90" s="223" t="inlineStr">
        <is>
          <t>HVC_TERMINAL_DAMPER_BOOL</t>
        </is>
      </c>
      <c r="B90" s="223" t="inlineStr">
        <is>
          <t>YESNO</t>
        </is>
      </c>
      <c r="C90" s="223" t="inlineStr">
        <is>
          <t>HVAC</t>
        </is>
      </c>
      <c r="D90" s="223" t="inlineStr">
        <is>
          <t>HVC_TAG_7_PARA_AT_TXT (Air Terminals)</t>
        </is>
      </c>
      <c r="E90" s="223" t="inlineStr">
        <is>
          <t>S2</t>
        </is>
      </c>
      <c r="F90" s="224" t="inlineStr">
        <is>
          <t>MEDIUM</t>
        </is>
      </c>
      <c r="G90" s="223" t="inlineStr">
        <is>
          <t>Type</t>
        </is>
      </c>
      <c r="H90" s="223" t="inlineStr">
        <is>
          <t>HVC_SYSTEMS</t>
        </is>
      </c>
    </row>
    <row r="91">
      <c r="A91" s="223" t="inlineStr">
        <is>
          <t>HVC_TERMINAL_PD_PA</t>
        </is>
      </c>
      <c r="B91" s="223" t="inlineStr">
        <is>
          <t>TEXT</t>
        </is>
      </c>
      <c r="C91" s="223" t="inlineStr">
        <is>
          <t>HVAC</t>
        </is>
      </c>
      <c r="D91" s="223" t="inlineStr">
        <is>
          <t>HVC_TAG_7_PARA_AT_TXT (Air Terminals)</t>
        </is>
      </c>
      <c r="E91" s="223" t="inlineStr">
        <is>
          <t>S2</t>
        </is>
      </c>
      <c r="F91" s="224" t="inlineStr">
        <is>
          <t>MEDIUM</t>
        </is>
      </c>
      <c r="G91" s="223" t="inlineStr">
        <is>
          <t>Type</t>
        </is>
      </c>
      <c r="H91" s="223" t="inlineStr">
        <is>
          <t>HVC_SYSTEMS</t>
        </is>
      </c>
    </row>
    <row r="92">
      <c r="A92" s="223" t="inlineStr">
        <is>
          <t>HVC_TERMINAL_TYPE_TXT</t>
        </is>
      </c>
      <c r="B92" s="223" t="inlineStr">
        <is>
          <t>TEXT</t>
        </is>
      </c>
      <c r="C92" s="223" t="inlineStr">
        <is>
          <t>HVAC</t>
        </is>
      </c>
      <c r="D92" s="223" t="inlineStr">
        <is>
          <t>HVC_TAG_7_PARA_AT_TXT (Air Terminals)</t>
        </is>
      </c>
      <c r="E92" s="223" t="inlineStr">
        <is>
          <t>S1</t>
        </is>
      </c>
      <c r="F92" s="225" t="inlineStr">
        <is>
          <t>HIGH</t>
        </is>
      </c>
      <c r="G92" s="223" t="inlineStr">
        <is>
          <t>Type</t>
        </is>
      </c>
      <c r="H92" s="223" t="inlineStr">
        <is>
          <t>HVC_SYSTEMS</t>
        </is>
      </c>
    </row>
    <row r="93">
      <c r="A93" s="223" t="inlineStr">
        <is>
          <t>ICT_CAT_RATING_TXT</t>
        </is>
      </c>
      <c r="B93" s="223" t="inlineStr">
        <is>
          <t>TEXT</t>
        </is>
      </c>
      <c r="C93" s="223" t="inlineStr">
        <is>
          <t>ICT</t>
        </is>
      </c>
      <c r="D93" s="223" t="inlineStr">
        <is>
          <t>ICT_TAG_7_PARA_DATA_TXT (Data / Telephone Devices)</t>
        </is>
      </c>
      <c r="E93" s="223" t="inlineStr">
        <is>
          <t>S2, S3</t>
        </is>
      </c>
      <c r="F93" s="224" t="inlineStr">
        <is>
          <t>MEDIUM</t>
        </is>
      </c>
      <c r="G93" s="223" t="inlineStr">
        <is>
          <t>Type</t>
        </is>
      </c>
      <c r="H93" s="223" t="inlineStr">
        <is>
          <t>COM_DAT</t>
        </is>
      </c>
    </row>
    <row r="94">
      <c r="A94" s="223" t="inlineStr">
        <is>
          <t>ICT_PORT_NR</t>
        </is>
      </c>
      <c r="B94" s="223" t="inlineStr">
        <is>
          <t>NUMBER</t>
        </is>
      </c>
      <c r="C94" s="223" t="inlineStr">
        <is>
          <t>ICT</t>
        </is>
      </c>
      <c r="D94" s="223" t="inlineStr">
        <is>
          <t>ICT_TAG_7_PARA_DATA_TXT (Data / Telephone Devices)</t>
        </is>
      </c>
      <c r="E94" s="223" t="inlineStr">
        <is>
          <t>S1</t>
        </is>
      </c>
      <c r="F94" s="225" t="inlineStr">
        <is>
          <t>HIGH</t>
        </is>
      </c>
      <c r="G94" s="223" t="inlineStr">
        <is>
          <t>Type</t>
        </is>
      </c>
      <c r="H94" s="223" t="inlineStr">
        <is>
          <t>COM_DAT</t>
        </is>
      </c>
    </row>
    <row r="95">
      <c r="A95" s="223" t="inlineStr">
        <is>
          <t>LTG_CLR_CCT_K_NR</t>
        </is>
      </c>
      <c r="B95" s="223" t="inlineStr">
        <is>
          <t>NUMBER</t>
        </is>
      </c>
      <c r="C95" s="223" t="inlineStr">
        <is>
          <t>ELEC</t>
        </is>
      </c>
      <c r="D95" s="223" t="inlineStr">
        <is>
          <t>LTG_TAG_7_PARA_SPEC_TXT (Lighting Fixtures)</t>
        </is>
      </c>
      <c r="E95" s="223" t="inlineStr">
        <is>
          <t>S2</t>
        </is>
      </c>
      <c r="F95" s="224" t="inlineStr">
        <is>
          <t>MEDIUM</t>
        </is>
      </c>
      <c r="G95" s="223" t="inlineStr">
        <is>
          <t>Type</t>
        </is>
      </c>
      <c r="H95" s="223" t="inlineStr">
        <is>
          <t>ELC_PWR</t>
        </is>
      </c>
    </row>
    <row r="96">
      <c r="A96" s="223" t="inlineStr">
        <is>
          <t>LTG_CLR_CRI_NR</t>
        </is>
      </c>
      <c r="B96" s="223" t="inlineStr">
        <is>
          <t>NUMBER</t>
        </is>
      </c>
      <c r="C96" s="223" t="inlineStr">
        <is>
          <t>ELEC</t>
        </is>
      </c>
      <c r="D96" s="223" t="inlineStr">
        <is>
          <t>LTG_TAG_7_PARA_SPEC_TXT (Lighting Fixtures)</t>
        </is>
      </c>
      <c r="E96" s="223" t="inlineStr">
        <is>
          <t>S2</t>
        </is>
      </c>
      <c r="F96" s="224" t="inlineStr">
        <is>
          <t>MEDIUM</t>
        </is>
      </c>
      <c r="G96" s="223" t="inlineStr">
        <is>
          <t>Type</t>
        </is>
      </c>
      <c r="H96" s="223" t="inlineStr">
        <is>
          <t>ELC_PWR</t>
        </is>
      </c>
    </row>
    <row r="97">
      <c r="A97" s="223" t="inlineStr">
        <is>
          <t>LTG_FIX_CTRL_INTERFACE_TXT</t>
        </is>
      </c>
      <c r="B97" s="223" t="inlineStr">
        <is>
          <t>TEXT</t>
        </is>
      </c>
      <c r="C97" s="223" t="inlineStr">
        <is>
          <t>ELEC</t>
        </is>
      </c>
      <c r="D97" s="223" t="inlineStr">
        <is>
          <t>LTG_TAG_7_PARA_SPEC_TXT (Lighting Fixtures)</t>
        </is>
      </c>
      <c r="E97" s="223" t="inlineStr">
        <is>
          <t>S2</t>
        </is>
      </c>
      <c r="F97" s="224" t="inlineStr">
        <is>
          <t>MEDIUM</t>
        </is>
      </c>
      <c r="G97" s="223" t="inlineStr">
        <is>
          <t>Type</t>
        </is>
      </c>
      <c r="H97" s="223" t="inlineStr">
        <is>
          <t>ELC_PWR</t>
        </is>
      </c>
    </row>
    <row r="98">
      <c r="A98" s="223" t="inlineStr">
        <is>
          <t>LTG_FIX_DALI_BOOL</t>
        </is>
      </c>
      <c r="B98" s="223" t="inlineStr">
        <is>
          <t>YESNO</t>
        </is>
      </c>
      <c r="C98" s="223" t="inlineStr">
        <is>
          <t>ELEC</t>
        </is>
      </c>
      <c r="D98" s="223" t="inlineStr">
        <is>
          <t>LTG_TAG_7_PARA_SPEC_TXT (Lighting Fixtures)</t>
        </is>
      </c>
      <c r="E98" s="223" t="inlineStr">
        <is>
          <t>S3</t>
        </is>
      </c>
      <c r="F98" s="223" t="inlineStr">
        <is>
          <t>LOW</t>
        </is>
      </c>
      <c r="G98" s="223" t="inlineStr">
        <is>
          <t>Type</t>
        </is>
      </c>
      <c r="H98" s="223" t="inlineStr">
        <is>
          <t>ELC_PWR</t>
        </is>
      </c>
    </row>
    <row r="99">
      <c r="A99" s="223" t="inlineStr">
        <is>
          <t>LTG_FIX_EMERGENCY_BOOL</t>
        </is>
      </c>
      <c r="B99" s="223" t="inlineStr">
        <is>
          <t>YESNO</t>
        </is>
      </c>
      <c r="C99" s="223" t="inlineStr">
        <is>
          <t>ELEC</t>
        </is>
      </c>
      <c r="D99" s="223" t="inlineStr">
        <is>
          <t>LTG_TAG_7_PARA_SPEC_TXT (Lighting Fixtures)</t>
        </is>
      </c>
      <c r="E99" s="223" t="inlineStr">
        <is>
          <t>S3</t>
        </is>
      </c>
      <c r="F99" s="223" t="inlineStr">
        <is>
          <t>LOW</t>
        </is>
      </c>
      <c r="G99" s="223" t="inlineStr">
        <is>
          <t>Type</t>
        </is>
      </c>
      <c r="H99" s="223" t="inlineStr">
        <is>
          <t>ELC_PWR</t>
        </is>
      </c>
    </row>
    <row r="100">
      <c r="A100" s="223" t="inlineStr">
        <is>
          <t>LTG_FIX_IP_RATING_TXT</t>
        </is>
      </c>
      <c r="B100" s="223" t="inlineStr">
        <is>
          <t>TEXT</t>
        </is>
      </c>
      <c r="C100" s="223" t="inlineStr">
        <is>
          <t>ELEC</t>
        </is>
      </c>
      <c r="D100" s="223" t="inlineStr">
        <is>
          <t>LTG_TAG_7_PARA_SPEC_TXT (Lighting Fixtures)</t>
        </is>
      </c>
      <c r="E100" s="223" t="inlineStr">
        <is>
          <t>S2</t>
        </is>
      </c>
      <c r="F100" s="224" t="inlineStr">
        <is>
          <t>MEDIUM</t>
        </is>
      </c>
      <c r="G100" s="223" t="inlineStr">
        <is>
          <t>Type</t>
        </is>
      </c>
      <c r="H100" s="223" t="inlineStr">
        <is>
          <t>ELC_PWR</t>
        </is>
      </c>
    </row>
    <row r="101">
      <c r="A101" s="223" t="inlineStr">
        <is>
          <t>LTG_FIX_MOUNTING_TXT</t>
        </is>
      </c>
      <c r="B101" s="223" t="inlineStr">
        <is>
          <t>TEXT</t>
        </is>
      </c>
      <c r="C101" s="223" t="inlineStr">
        <is>
          <t>ELEC</t>
        </is>
      </c>
      <c r="D101" s="223" t="inlineStr">
        <is>
          <t>LTG_TAG_7_PARA_SPEC_TXT (Lighting Fixtures)</t>
        </is>
      </c>
      <c r="E101" s="223" t="inlineStr">
        <is>
          <t>S1</t>
        </is>
      </c>
      <c r="F101" s="225" t="inlineStr">
        <is>
          <t>HIGH</t>
        </is>
      </c>
      <c r="G101" s="223" t="inlineStr">
        <is>
          <t>Type</t>
        </is>
      </c>
      <c r="H101" s="223" t="inlineStr">
        <is>
          <t>ELC_PWR</t>
        </is>
      </c>
    </row>
    <row r="102">
      <c r="A102" s="223" t="inlineStr">
        <is>
          <t>PER_ACOUSTICS_NRC_NR</t>
        </is>
      </c>
      <c r="B102" s="223" t="inlineStr">
        <is>
          <t>NUMBER</t>
        </is>
      </c>
      <c r="C102" s="223" t="inlineStr">
        <is>
          <t>SUST</t>
        </is>
      </c>
      <c r="D102" s="223" t="inlineStr">
        <is>
          <t>ARCH_TAG_7_PARA_CEIL_TXT (Ceilings)</t>
        </is>
      </c>
      <c r="E102" s="223" t="inlineStr">
        <is>
          <t>S2</t>
        </is>
      </c>
      <c r="F102" s="224" t="inlineStr">
        <is>
          <t>MEDIUM</t>
        </is>
      </c>
      <c r="G102" s="223" t="inlineStr">
        <is>
          <t>Type</t>
        </is>
      </c>
      <c r="H102" s="223" t="inlineStr">
        <is>
          <t>PER_SUST</t>
        </is>
      </c>
    </row>
    <row r="103">
      <c r="A103" s="223" t="inlineStr">
        <is>
          <t>PER_ENV_CLIMATE_ZONE_TXT</t>
        </is>
      </c>
      <c r="B103" s="223" t="inlineStr">
        <is>
          <t>TEXT</t>
        </is>
      </c>
      <c r="C103" s="223" t="inlineStr">
        <is>
          <t>SUST</t>
        </is>
      </c>
      <c r="D103" s="223" t="inlineStr">
        <is>
          <t>ARCH_TAG_7_PARA_WIN_TXT (Windows)</t>
        </is>
      </c>
      <c r="E103" s="223" t="inlineStr">
        <is>
          <t>S3</t>
        </is>
      </c>
      <c r="F103" s="223" t="inlineStr">
        <is>
          <t>LOW</t>
        </is>
      </c>
      <c r="G103" s="223" t="inlineStr">
        <is>
          <t>Type</t>
        </is>
      </c>
      <c r="H103" s="223" t="inlineStr">
        <is>
          <t>PER_SUST</t>
        </is>
      </c>
    </row>
    <row r="104">
      <c r="A104" s="223" t="inlineStr">
        <is>
          <t>PER_ENV_HUMIDITY_PCT</t>
        </is>
      </c>
      <c r="B104" s="223" t="inlineStr">
        <is>
          <t>NUMBER</t>
        </is>
      </c>
      <c r="C104" s="223" t="inlineStr">
        <is>
          <t>SUST</t>
        </is>
      </c>
      <c r="D104" s="223" t="inlineStr">
        <is>
          <t>ARCH_TAG_7_PARA_ROOM_TXT (Rooms/Spaces)</t>
        </is>
      </c>
      <c r="E104" s="223" t="inlineStr">
        <is>
          <t>S3</t>
        </is>
      </c>
      <c r="F104" s="223" t="inlineStr">
        <is>
          <t>LOW</t>
        </is>
      </c>
      <c r="G104" s="223" t="inlineStr">
        <is>
          <t>Type</t>
        </is>
      </c>
      <c r="H104" s="223" t="inlineStr">
        <is>
          <t>PER_SUST</t>
        </is>
      </c>
    </row>
    <row r="105">
      <c r="A105" s="223" t="inlineStr">
        <is>
          <t>PER_ENV_INSECTICIDE_TXT</t>
        </is>
      </c>
      <c r="B105" s="223" t="inlineStr">
        <is>
          <t>TEXT</t>
        </is>
      </c>
      <c r="C105" s="223" t="inlineStr">
        <is>
          <t>SUST</t>
        </is>
      </c>
      <c r="D105" s="223" t="inlineStr">
        <is>
          <t>STR_TAG_7_PARA_FDN_TXT (Str. Foundations)</t>
        </is>
      </c>
      <c r="E105" s="223" t="inlineStr">
        <is>
          <t>S3</t>
        </is>
      </c>
      <c r="F105" s="223" t="inlineStr">
        <is>
          <t>LOW</t>
        </is>
      </c>
      <c r="G105" s="223" t="inlineStr">
        <is>
          <t>Type</t>
        </is>
      </c>
      <c r="H105" s="223" t="inlineStr">
        <is>
          <t>PER_SUST</t>
        </is>
      </c>
    </row>
    <row r="106">
      <c r="A106" s="223" t="inlineStr">
        <is>
          <t>PER_ENV_TERMITE_PROTECTION_TXT</t>
        </is>
      </c>
      <c r="B106" s="223" t="inlineStr">
        <is>
          <t>TEXT</t>
        </is>
      </c>
      <c r="C106" s="223" t="inlineStr">
        <is>
          <t>SUST</t>
        </is>
      </c>
      <c r="D106" s="223" t="inlineStr">
        <is>
          <t>ARCH_TAG_7_PARA_ROOM_TXT (Rooms/Spaces)</t>
        </is>
      </c>
      <c r="E106" s="223" t="inlineStr">
        <is>
          <t>S3</t>
        </is>
      </c>
      <c r="F106" s="223" t="inlineStr">
        <is>
          <t>LOW</t>
        </is>
      </c>
      <c r="G106" s="223" t="inlineStr">
        <is>
          <t>Type</t>
        </is>
      </c>
      <c r="H106" s="223" t="inlineStr">
        <is>
          <t>PER_SUST</t>
        </is>
      </c>
    </row>
    <row r="107">
      <c r="A107" s="223" t="inlineStr">
        <is>
          <t>PER_THERM_ENERGY_RATING_TXT</t>
        </is>
      </c>
      <c r="B107" s="223" t="inlineStr">
        <is>
          <t>TEXT</t>
        </is>
      </c>
      <c r="C107" s="223" t="inlineStr">
        <is>
          <t>SUST</t>
        </is>
      </c>
      <c r="D107" s="223" t="inlineStr">
        <is>
          <t>ARCH_TAG_7_PARA_FACADE_TXT (Curtain Panels); ARCH_TAG_7_PARA_WIN_TXT (Windows)</t>
        </is>
      </c>
      <c r="E107" s="223" t="inlineStr">
        <is>
          <t>S3</t>
        </is>
      </c>
      <c r="F107" s="223" t="inlineStr">
        <is>
          <t>LOW</t>
        </is>
      </c>
      <c r="G107" s="223" t="inlineStr">
        <is>
          <t>Type</t>
        </is>
      </c>
      <c r="H107" s="223" t="inlineStr">
        <is>
          <t>PER_SUST</t>
        </is>
      </c>
    </row>
    <row r="108">
      <c r="A108" s="223" t="inlineStr">
        <is>
          <t>PLM_HOTWTR_FUEL_TXT</t>
        </is>
      </c>
      <c r="B108" s="223" t="inlineStr">
        <is>
          <t>TEXT</t>
        </is>
      </c>
      <c r="C108" s="223" t="inlineStr">
        <is>
          <t>PLM</t>
        </is>
      </c>
      <c r="D108" s="223" t="inlineStr">
        <is>
          <t>PLM_TAG_7_PARA_EQUIPMENT_TXT (Plumbing Equipment)</t>
        </is>
      </c>
      <c r="E108" s="223" t="inlineStr">
        <is>
          <t>S2</t>
        </is>
      </c>
      <c r="F108" s="224" t="inlineStr">
        <is>
          <t>MEDIUM</t>
        </is>
      </c>
      <c r="G108" s="223" t="inlineStr">
        <is>
          <t>Type</t>
        </is>
      </c>
      <c r="H108" s="223" t="inlineStr">
        <is>
          <t>PLM_DRN</t>
        </is>
      </c>
    </row>
    <row r="109">
      <c r="A109" s="223" t="inlineStr">
        <is>
          <t>PLM_HOTWTR_RECOVERY_L_H</t>
        </is>
      </c>
      <c r="B109" s="223" t="inlineStr">
        <is>
          <t>TEXT</t>
        </is>
      </c>
      <c r="C109" s="223" t="inlineStr">
        <is>
          <t>PLM</t>
        </is>
      </c>
      <c r="D109" s="223" t="inlineStr">
        <is>
          <t>PLM_TAG_7_PARA_FIXTURE_TXT (Plumbing Fixtures)</t>
        </is>
      </c>
      <c r="E109" s="223" t="inlineStr">
        <is>
          <t>S2</t>
        </is>
      </c>
      <c r="F109" s="224" t="inlineStr">
        <is>
          <t>MEDIUM</t>
        </is>
      </c>
      <c r="G109" s="223" t="inlineStr">
        <is>
          <t>Type</t>
        </is>
      </c>
      <c r="H109" s="223" t="inlineStr">
        <is>
          <t>PLM_DRN</t>
        </is>
      </c>
    </row>
    <row r="110">
      <c r="A110" s="223" t="inlineStr">
        <is>
          <t>PLM_PPE_INSULATION_TXT</t>
        </is>
      </c>
      <c r="B110" s="223" t="inlineStr">
        <is>
          <t>TEXT</t>
        </is>
      </c>
      <c r="C110" s="223" t="inlineStr">
        <is>
          <t>PLM</t>
        </is>
      </c>
      <c r="D110" s="223" t="inlineStr">
        <is>
          <t>PLM_TAG_7_PARA_PIPE_TXT (Pipes)</t>
        </is>
      </c>
      <c r="E110" s="223" t="inlineStr">
        <is>
          <t>S2</t>
        </is>
      </c>
      <c r="F110" s="224" t="inlineStr">
        <is>
          <t>MEDIUM</t>
        </is>
      </c>
      <c r="G110" s="223" t="inlineStr">
        <is>
          <t>Type</t>
        </is>
      </c>
      <c r="H110" s="223" t="inlineStr">
        <is>
          <t>PLM_DRN</t>
        </is>
      </c>
    </row>
    <row r="111">
      <c r="A111" s="223" t="inlineStr">
        <is>
          <t>PLM_PPE_TEST_PSR_BAR</t>
        </is>
      </c>
      <c r="B111" s="223" t="inlineStr">
        <is>
          <t>TEXT</t>
        </is>
      </c>
      <c r="C111" s="223" t="inlineStr">
        <is>
          <t>PLM</t>
        </is>
      </c>
      <c r="D111" s="223" t="inlineStr">
        <is>
          <t>PLM_TAG_7_PARA_PIPE_TXT (Pipes)</t>
        </is>
      </c>
      <c r="E111" s="223" t="inlineStr">
        <is>
          <t>S3</t>
        </is>
      </c>
      <c r="F111" s="223" t="inlineStr">
        <is>
          <t>LOW</t>
        </is>
      </c>
      <c r="G111" s="223" t="inlineStr">
        <is>
          <t>Type</t>
        </is>
      </c>
      <c r="H111" s="223" t="inlineStr">
        <is>
          <t>PLM_DRN</t>
        </is>
      </c>
    </row>
    <row r="112">
      <c r="A112" s="223" t="inlineStr">
        <is>
          <t>PLM_PPE_TRACER_WIRE_BOOL</t>
        </is>
      </c>
      <c r="B112" s="223" t="inlineStr">
        <is>
          <t>YESNO</t>
        </is>
      </c>
      <c r="C112" s="223" t="inlineStr">
        <is>
          <t>PLM</t>
        </is>
      </c>
      <c r="D112" s="223" t="inlineStr">
        <is>
          <t>PLM_TAG_7_PARA_PIPE_TXT (Pipes)</t>
        </is>
      </c>
      <c r="E112" s="223" t="inlineStr">
        <is>
          <t>S3</t>
        </is>
      </c>
      <c r="F112" s="223" t="inlineStr">
        <is>
          <t>LOW</t>
        </is>
      </c>
      <c r="G112" s="223" t="inlineStr">
        <is>
          <t>Type</t>
        </is>
      </c>
      <c r="H112" s="223" t="inlineStr">
        <is>
          <t>PLM_DRN</t>
        </is>
      </c>
    </row>
    <row r="113">
      <c r="A113" s="223" t="inlineStr">
        <is>
          <t>PLM_VLV_ACTUATOR_TXT</t>
        </is>
      </c>
      <c r="B113" s="223" t="inlineStr">
        <is>
          <t>TEXT</t>
        </is>
      </c>
      <c r="C113" s="223" t="inlineStr">
        <is>
          <t>PLM</t>
        </is>
      </c>
      <c r="D113" s="223" t="inlineStr">
        <is>
          <t>PLM_TAG_7_PARA_PIPEACC_TXT (Pipe Accessories)</t>
        </is>
      </c>
      <c r="E113" s="223" t="inlineStr">
        <is>
          <t>S2</t>
        </is>
      </c>
      <c r="F113" s="224" t="inlineStr">
        <is>
          <t>MEDIUM</t>
        </is>
      </c>
      <c r="G113" s="223" t="inlineStr">
        <is>
          <t>Type</t>
        </is>
      </c>
      <c r="H113" s="223" t="inlineStr">
        <is>
          <t>PLM_DRN</t>
        </is>
      </c>
    </row>
    <row r="114">
      <c r="A114" s="223" t="inlineStr">
        <is>
          <t>PLM_VLV_END_CONN_TXT</t>
        </is>
      </c>
      <c r="B114" s="223" t="inlineStr">
        <is>
          <t>TEXT</t>
        </is>
      </c>
      <c r="C114" s="223" t="inlineStr">
        <is>
          <t>PLM</t>
        </is>
      </c>
      <c r="D114" s="223" t="inlineStr">
        <is>
          <t>PLM_TAG_7_PARA_PIPEACC_TXT (Pipe Accessories)</t>
        </is>
      </c>
      <c r="E114" s="223" t="inlineStr">
        <is>
          <t>S2</t>
        </is>
      </c>
      <c r="F114" s="224" t="inlineStr">
        <is>
          <t>MEDIUM</t>
        </is>
      </c>
      <c r="G114" s="223" t="inlineStr">
        <is>
          <t>Type</t>
        </is>
      </c>
      <c r="H114" s="223" t="inlineStr">
        <is>
          <t>PLM_DRN</t>
        </is>
      </c>
    </row>
    <row r="115">
      <c r="A115" s="223" t="inlineStr">
        <is>
          <t>PLM_VLV_SZ_NR</t>
        </is>
      </c>
      <c r="B115" s="223" t="inlineStr">
        <is>
          <t>NUMBER</t>
        </is>
      </c>
      <c r="C115" s="223" t="inlineStr">
        <is>
          <t>PLM</t>
        </is>
      </c>
      <c r="D115" s="223" t="inlineStr">
        <is>
          <t>PLM_TAG_7_PARA_PIPEACC_TXT (Pipe Accessories)</t>
        </is>
      </c>
      <c r="E115" s="223" t="inlineStr">
        <is>
          <t>S1</t>
        </is>
      </c>
      <c r="F115" s="225" t="inlineStr">
        <is>
          <t>HIGH</t>
        </is>
      </c>
      <c r="G115" s="223" t="inlineStr">
        <is>
          <t>Type</t>
        </is>
      </c>
      <c r="H115" s="223" t="inlineStr">
        <is>
          <t>PLM_DRN</t>
        </is>
      </c>
    </row>
    <row r="116">
      <c r="A116" s="223" t="inlineStr">
        <is>
          <t>PLM_VLV_TYPE_TXT</t>
        </is>
      </c>
      <c r="B116" s="223" t="inlineStr">
        <is>
          <t>TEXT</t>
        </is>
      </c>
      <c r="C116" s="223" t="inlineStr">
        <is>
          <t>PLM</t>
        </is>
      </c>
      <c r="D116" s="223" t="inlineStr">
        <is>
          <t>PLM_TAG_7_PARA_PIPEACC_TXT (Pipe Accessories)</t>
        </is>
      </c>
      <c r="E116" s="223" t="inlineStr">
        <is>
          <t>S2</t>
        </is>
      </c>
      <c r="F116" s="224" t="inlineStr">
        <is>
          <t>MEDIUM</t>
        </is>
      </c>
      <c r="G116" s="223" t="inlineStr">
        <is>
          <t>Type</t>
        </is>
      </c>
      <c r="H116" s="223" t="inlineStr">
        <is>
          <t>PLM_DRN</t>
        </is>
      </c>
    </row>
    <row r="117">
      <c r="A117" s="223" t="inlineStr">
        <is>
          <t>RGL_ACCESS_BRAILLE_SIGN_BOOL</t>
        </is>
      </c>
      <c r="B117" s="223" t="inlineStr">
        <is>
          <t>YESNO</t>
        </is>
      </c>
      <c r="C117" s="223" t="inlineStr">
        <is>
          <t>RGL</t>
        </is>
      </c>
      <c r="D117" s="223" t="inlineStr">
        <is>
          <t>ARCH_TAG_7_PARA_DOOR_TXT (Doors)</t>
        </is>
      </c>
      <c r="E117" s="223" t="inlineStr">
        <is>
          <t>S3</t>
        </is>
      </c>
      <c r="F117" s="223" t="inlineStr">
        <is>
          <t>LOW</t>
        </is>
      </c>
      <c r="G117" s="223" t="inlineStr">
        <is>
          <t>Type</t>
        </is>
      </c>
      <c r="H117" s="223" t="inlineStr">
        <is>
          <t>RGL_CMPL</t>
        </is>
      </c>
    </row>
    <row r="118">
      <c r="A118" s="223" t="inlineStr">
        <is>
          <t>RGL_KCCA_APPROVAL_TXT</t>
        </is>
      </c>
      <c r="B118" s="223" t="inlineStr">
        <is>
          <t>TEXT</t>
        </is>
      </c>
      <c r="C118" s="223" t="inlineStr">
        <is>
          <t>RGL</t>
        </is>
      </c>
      <c r="D118" s="223" t="inlineStr">
        <is>
          <t>ARCH_TAG_7_PARA_FACADE_TXT (Curtain Panels); ARCH_TAG_7_PARA_RAMP_TXT (Ramps); ARCH_TAG_7_PARA_WIN_TXT (Windows)</t>
        </is>
      </c>
      <c r="E118" s="223" t="inlineStr">
        <is>
          <t>S3</t>
        </is>
      </c>
      <c r="F118" s="223" t="inlineStr">
        <is>
          <t>LOW</t>
        </is>
      </c>
      <c r="G118" s="223" t="inlineStr">
        <is>
          <t>Type</t>
        </is>
      </c>
      <c r="H118" s="223" t="inlineStr">
        <is>
          <t>RGL_CMPL</t>
        </is>
      </c>
    </row>
    <row r="119">
      <c r="A119" s="223" t="inlineStr">
        <is>
          <t>RGL_NEMA_APPROVAL_TXT</t>
        </is>
      </c>
      <c r="B119" s="223" t="inlineStr">
        <is>
          <t>TEXT</t>
        </is>
      </c>
      <c r="C119" s="223" t="inlineStr">
        <is>
          <t>RGL</t>
        </is>
      </c>
      <c r="D119" s="223" t="inlineStr">
        <is>
          <t>ELC_TAG_7_PARA_PANEL_TXT (Elec. Equipment
(DB Panels))</t>
        </is>
      </c>
      <c r="E119" s="223" t="inlineStr">
        <is>
          <t>S3</t>
        </is>
      </c>
      <c r="F119" s="223" t="inlineStr">
        <is>
          <t>LOW</t>
        </is>
      </c>
      <c r="G119" s="223" t="inlineStr">
        <is>
          <t>Type</t>
        </is>
      </c>
      <c r="H119" s="223" t="inlineStr">
        <is>
          <t>RGL_CMPL</t>
        </is>
      </c>
    </row>
    <row r="120">
      <c r="A120" s="223" t="inlineStr">
        <is>
          <t>RGL_NWSC_APPROVAL_TXT</t>
        </is>
      </c>
      <c r="B120" s="223" t="inlineStr">
        <is>
          <t>TEXT</t>
        </is>
      </c>
      <c r="C120" s="223" t="inlineStr">
        <is>
          <t>RGL</t>
        </is>
      </c>
      <c r="D120" s="223" t="inlineStr">
        <is>
          <t>PLM_TAG_7_PARA_EQUIPMENT_TXT (Plumbing Equipment); PLM_TAG_7_PARA_FIXTURE_TXT (Plumbing Fixtures); PLM_TAG_7_PARA_PIPE_TXT (Pipes)</t>
        </is>
      </c>
      <c r="E120" s="223" t="inlineStr">
        <is>
          <t>S3</t>
        </is>
      </c>
      <c r="F120" s="223" t="inlineStr">
        <is>
          <t>LOW</t>
        </is>
      </c>
      <c r="G120" s="223" t="inlineStr">
        <is>
          <t>Type</t>
        </is>
      </c>
      <c r="H120" s="223" t="inlineStr">
        <is>
          <t>RGL_CMPL</t>
        </is>
      </c>
    </row>
    <row r="121">
      <c r="A121" s="223" t="inlineStr">
        <is>
          <t>RGL_UMEME_APPROVAL_TXT</t>
        </is>
      </c>
      <c r="B121" s="223" t="inlineStr">
        <is>
          <t>TEXT</t>
        </is>
      </c>
      <c r="C121" s="223" t="inlineStr">
        <is>
          <t>RGL</t>
        </is>
      </c>
      <c r="D121" s="223" t="inlineStr">
        <is>
          <t>ELC_TAG_7_PARA_CIRCUIT_TXT (Elec. Fixtures
(Points &amp; Sockets)); ELC_TAG_7_PARA_PANEL_TXT (Elec. Equipment
(DB Panels)); LTG_TAG_7_PARA_SPEC_TXT (Lighting Fixtures)</t>
        </is>
      </c>
      <c r="E121" s="223" t="inlineStr">
        <is>
          <t>S3</t>
        </is>
      </c>
      <c r="F121" s="223" t="inlineStr">
        <is>
          <t>LOW</t>
        </is>
      </c>
      <c r="G121" s="223" t="inlineStr">
        <is>
          <t>Type</t>
        </is>
      </c>
      <c r="H121" s="223" t="inlineStr">
        <is>
          <t>RGL_CMPL</t>
        </is>
      </c>
    </row>
    <row r="122">
      <c r="A122" s="223" t="inlineStr">
        <is>
          <t>SEC_CBL_NR</t>
        </is>
      </c>
      <c r="B122" s="223" t="inlineStr">
        <is>
          <t>NUMBER</t>
        </is>
      </c>
      <c r="C122" s="223" t="inlineStr">
        <is>
          <t>ICT</t>
        </is>
      </c>
      <c r="D122" s="223" t="inlineStr">
        <is>
          <t>SEC_TAG_7_PARA_SECURITY_TXT (Security Devices)</t>
        </is>
      </c>
      <c r="E122" s="223" t="inlineStr">
        <is>
          <t>S1</t>
        </is>
      </c>
      <c r="F122" s="225" t="inlineStr">
        <is>
          <t>HIGH</t>
        </is>
      </c>
      <c r="G122" s="223" t="inlineStr">
        <is>
          <t>Type</t>
        </is>
      </c>
      <c r="H122" s="223" t="inlineStr">
        <is>
          <t>COM_DAT</t>
        </is>
      </c>
    </row>
    <row r="124">
      <c r="A124" s="226" t="inlineStr">
        <is>
          <t>TOTAL: 120 params</t>
        </is>
      </c>
    </row>
    <row r="125">
      <c r="A125" s="227" t="inlineStr">
        <is>
          <t>HIGH: 24 | MEDIUM: 65 | LOW: 31</t>
        </is>
      </c>
    </row>
  </sheetData>
  <mergeCells count="1">
    <mergeCell ref="A1:H1"/>
  </mergeCells>
  <pageMargins left="0.75" right="0.75" top="1" bottom="1" header="0.5" footer="0.5"/>
</worksheet>
</file>

<file path=xl/worksheets/sheet11.xml><?xml version="1.0" encoding="utf-8"?>
<worksheet xmlns="http://schemas.openxmlformats.org/spreadsheetml/2006/main">
  <sheetPr>
    <tabColor rgb="008FC640"/>
    <outlinePr summaryBelow="1" summaryRight="1"/>
    <pageSetUpPr/>
  </sheetPr>
  <dimension ref="A1:L88"/>
  <sheetViews>
    <sheetView workbookViewId="0">
      <selection activeCell="A1" sqref="A1"/>
    </sheetView>
  </sheetViews>
  <sheetFormatPr baseColWidth="8" defaultRowHeight="15"/>
  <cols>
    <col width="14" customWidth="1" style="123" min="1" max="1"/>
    <col width="45" customWidth="1" style="123" min="2" max="2"/>
    <col width="15" customWidth="1" style="123" min="3" max="3"/>
    <col width="10" customWidth="1" style="123" min="4" max="4"/>
    <col width="80" customWidth="1" style="123" min="5" max="5"/>
    <col width="60" customWidth="1" style="123" min="6" max="6"/>
    <col width="60" customWidth="1" style="123" min="7" max="7"/>
    <col width="8" customWidth="1" style="123" min="8" max="8"/>
    <col width="8" customWidth="1" style="123" min="9" max="9"/>
    <col width="38" customWidth="1" style="123" min="10" max="10"/>
    <col width="18" customWidth="1" style="123" min="11" max="11"/>
    <col width="15" customWidth="1" style="123" min="12" max="12"/>
  </cols>
  <sheetData>
    <row r="1">
      <c r="A1" s="221" t="inlineStr">
        <is>
          <t>v4.3 new formulas: 83 additions (paragraphs, warnings, derived calcs). Total formulas: 280.</t>
        </is>
      </c>
    </row>
    <row r="2">
      <c r="A2" s="228" t="inlineStr">
        <is>
          <t>Type</t>
        </is>
      </c>
      <c r="B2" s="228" t="inlineStr">
        <is>
          <t>Parameter name</t>
        </is>
      </c>
      <c r="C2" s="228" t="inlineStr">
        <is>
          <t>Discipline</t>
        </is>
      </c>
      <c r="D2" s="228" t="inlineStr">
        <is>
          <t>Data type</t>
        </is>
      </c>
      <c r="E2" s="228" t="inlineStr">
        <is>
          <t>Revit formula</t>
        </is>
      </c>
      <c r="F2" s="228" t="inlineStr">
        <is>
          <t>Description</t>
        </is>
      </c>
      <c r="G2" s="228" t="inlineStr">
        <is>
          <t>Input parameters</t>
        </is>
      </c>
      <c r="H2" s="228" t="inlineStr">
        <is>
          <t>Unit</t>
        </is>
      </c>
      <c r="I2" s="228" t="inlineStr">
        <is>
          <t>Dep. level</t>
        </is>
      </c>
      <c r="J2" s="228" t="inlineStr">
        <is>
          <t>GUID</t>
        </is>
      </c>
      <c r="K2" s="228" t="inlineStr">
        <is>
          <t>Standard/code ref</t>
        </is>
      </c>
      <c r="L2" s="228" t="inlineStr">
        <is>
          <t>Category scope</t>
        </is>
      </c>
    </row>
    <row r="3">
      <c r="A3" s="229" t="inlineStr">
        <is>
          <t>PARAGRAPH</t>
        </is>
      </c>
      <c r="B3" s="223" t="inlineStr">
        <is>
          <t>ARCH_TAG_7_PARA_WALL_TXT</t>
        </is>
      </c>
      <c r="C3" s="223" t="inlineStr">
        <is>
          <t>ARCHITECTURAL</t>
        </is>
      </c>
      <c r="D3" s="223" t="inlineStr">
        <is>
          <t>TEXT</t>
        </is>
      </c>
      <c r="E3" s="223" t="inlineStr">
        <is>
          <t xml:space="preserve">if(TAG_PARA_STATE_3_BOOL, (if(BLE_WALL_FUNCTION_TXT&lt;&gt;"",BLE_WALL_FUNCTION_TXT,"This") + " wall is " + if(BLE_WALL_THICKNESS_MM&lt;&gt;"",BLE_WALL_THICKNESS_MM+"mm thick","of unspecified thickness") + ", constructed by " + if(BLE_WALL_CST_METHOD_TXT&lt;&gt;"",BLE_WALL_CST_METHOD_TXT,"unspecified method") + ". Primary material: " + if(BLE_WALL_PRIMARY_WALL_MAT_TXT&lt;&gt;"",BLE_WALL_PRIMARY_WALL_MAT_TXT,"TBC") + ". Type: " + if(BLE_WALL_TYPE_CLASSIFICATION_TXT&lt;&gt;"",BLE_WALL_TYPE_CLASSIFICATION_TXT,"unclassified") + </t>
        </is>
      </c>
      <c r="F3" s="223" t="inlineStr">
        <is>
          <t>3-state paragraph for Walls. S1=compact, S2=standard, S3=comprehensive. Gated by TAG_PARA_STATE_1/2/3_BOOL.</t>
        </is>
      </c>
      <c r="G3" s="223" t="inlineStr">
        <is>
          <t>BLE_WALL_CST_METHOD_TXT, BLE_WALL_EXTERIOR_FINISH_TXT, BLE_WALL_FUNCTION_TXT, BLE_WALL_INTERIOR_FINISH_TXT, BLE_WALL_MOISTURE_BARRIER_INCLUDED_TXT, BLE_WALL_PRIMARY_WALL_MAT_TXT, BLE_WALL_SOUND_TRANSMISSION_CLASS_RATING_NR, BLE_WALL_THICKNESS_MM, BLE_WALL_TYPE_CLASSIFICATION_TXT, FLS_PROT_FLS_RESISTANCE_RATING_MINUTES_MIN, PER_SUST_CARBON_FOOTPRINT_KG, PER_SUST_RECYCLED_CONTENT_PCT, PER_THERM_CONDENSATION_RISK_TXT, PER_THERM_R_VALUE_M2K_W, PER_THERM_U_VALUE_W_M2K_NR, PROP_DENSITY_KG_M3, RGL_STD_TXT, TAG_PARA_STATE_1_BOOL, TAG_PARA_STATE_2_BOOL, TAG_PARA_STATE_3_BOOL, TAG_WARN_VISIBLE_BOOL</t>
        </is>
      </c>
      <c r="H3" s="223" t="inlineStr">
        <is>
          <t>text</t>
        </is>
      </c>
      <c r="I3" s="223" t="n">
        <v>1</v>
      </c>
      <c r="J3" s="223" t="inlineStr">
        <is>
          <t>c0ba10c1-c570-5f35-a932-5364aaccf367</t>
        </is>
      </c>
      <c r="K3" s="223" t="inlineStr"/>
      <c r="L3" s="223" t="inlineStr"/>
    </row>
    <row r="4">
      <c r="A4" s="229" t="inlineStr">
        <is>
          <t>PARAGRAPH</t>
        </is>
      </c>
      <c r="B4" s="223" t="inlineStr">
        <is>
          <t>ARCH_TAG_7_PARA_FLOOR_TXT</t>
        </is>
      </c>
      <c r="C4" s="223" t="inlineStr">
        <is>
          <t>ARCHITECTURAL</t>
        </is>
      </c>
      <c r="D4" s="223" t="inlineStr">
        <is>
          <t>TEXT</t>
        </is>
      </c>
      <c r="E4" s="223" t="inlineStr">
        <is>
          <t>if(TAG_PARA_STATE_3_BOOL, (if(BLE_FLR_TYPE_TXT&lt;&gt;"",BLE_FLR_TYPE_TXT,"Floor") + ": " + if(BLE_FLR_FINISH_TXT&lt;&gt;"",BLE_FLR_FINISH_TXT,"finish TBC") + ", " + if(BLE_FLR_THICKNESS_MM&lt;&gt;"",BLE_FLR_THICKNESS_MM+"mm thick","thickness TBC") + ". Subfloor: " + if(BLE_FLR_SUBFLOOR_TXT&lt;&gt;"",BLE_FLR_SUBFLOOR_TXT,"TBC") + ".") + " | " + ("Thermal: U=" + if(PER_THERM_U_VALUE_W_M2K_NR&lt;&gt;"",PER_THERM_U_VALUE_W_M2K_NR+"W/m²K","TBC") + ". DPM: " + if(BLE_FLR_MOISTURE_BARRIER_TXT&lt;&gt;"",BLE_FLR_MOISTURE_BARRIER_TXT,"TBC"</t>
        </is>
      </c>
      <c r="F4" s="223" t="inlineStr">
        <is>
          <t>3-state paragraph for Floors. S1=compact, S2=standard, S3=comprehensive. Gated by TAG_PARA_STATE_1/2/3_BOOL.</t>
        </is>
      </c>
      <c r="G4" s="223" t="inlineStr">
        <is>
          <t>BLE_FLR_FINISH_TXT, BLE_FLR_MOISTURE_BARRIER_TXT, BLE_FLR_STRUCTURAL_RATING_TXT, BLE_FLR_SUBFLOOR_TXT, BLE_FLR_THICKNESS_MM, BLE_FLR_TYPE_TXT, CST_S_SUPPLIER_TXT, CST_S_UNIT_RATE_UGX_NR, MAT_EPD_REF_TXT, PER_THERM_U_VALUE_W_M2K_NR, RGL_STD_TXT, TAG_PARA_STATE_1_BOOL, TAG_PARA_STATE_2_BOOL, TAG_PARA_STATE_3_BOOL, TAG_WARN_VISIBLE_BOOL</t>
        </is>
      </c>
      <c r="H4" s="223" t="inlineStr">
        <is>
          <t>text</t>
        </is>
      </c>
      <c r="I4" s="223" t="n">
        <v>1</v>
      </c>
      <c r="J4" s="223" t="inlineStr">
        <is>
          <t>79f63378-cf89-53ed-8d08-b7ef224664bc</t>
        </is>
      </c>
      <c r="K4" s="223" t="inlineStr"/>
      <c r="L4" s="223" t="inlineStr"/>
    </row>
    <row r="5">
      <c r="A5" s="229" t="inlineStr">
        <is>
          <t>PARAGRAPH</t>
        </is>
      </c>
      <c r="B5" s="223" t="inlineStr">
        <is>
          <t>ARCH_TAG_7_PARA_CEIL_TXT</t>
        </is>
      </c>
      <c r="C5" s="223" t="inlineStr">
        <is>
          <t>ARCHITECTURAL</t>
        </is>
      </c>
      <c r="D5" s="223" t="inlineStr">
        <is>
          <t>TEXT</t>
        </is>
      </c>
      <c r="E5" s="223" t="inlineStr">
        <is>
          <t>if(TAG_PARA_STATE_3_BOOL, (if(ASS_DESCRIPTION_TXT&lt;&gt;"",ASS_DESCRIPTION_TXT,"Ceiling type TBC") + ". Suspension: " + if(BLE_CEIL_SUSPENSION_TXT&lt;&gt;"",BLE_CEIL_SUSPENSION_TXT,"TBC") + ". Grid: " + if(BLE_CEIL_GRID_MM&lt;&gt;"",BLE_CEIL_GRID_MM+"mm","TBC") + ".") + " | " + ("Acoustic: NRC=" + if(PER_ACOUSTICS_NRC_NR&lt;&gt;"",PER_ACOUSTICS_NRC_NR,"TBC") + ", background noise=" + if(PER_ACOUSTICS_BACKGROUND_NOISE_DB&lt;&gt;"",PER_ACOUSTICS_BACKGROUND_NOISE_DB+"dB","TBC") + ". Thermal: U=" + if(PER_THERM_U_VALUE_W_M2K_NR</t>
        </is>
      </c>
      <c r="F5" s="223" t="inlineStr">
        <is>
          <t>3-state paragraph for Ceilings. S1=compact, S2=standard, S3=comprehensive. Gated by TAG_PARA_STATE_1/2/3_BOOL.</t>
        </is>
      </c>
      <c r="G5" s="223" t="inlineStr">
        <is>
          <t>ASS_DESCRIPTION_TXT, BLE_CEIL_GRID_MM, BLE_CEIL_SUSPENSION_TXT, CST_S_SUPPLIER_TXT, FLS_PROT_FLS_RESISTANCE_RATING_MINUTES_MIN, MAT_EPD_REF_TXT, PER_ACOUSTICS_BACKGROUND_NOISE_DB, PER_ACOUSTICS_NRC_NR, PER_THERM_U_VALUE_W_M2K_NR, TAG_PARA_STATE_1_BOOL, TAG_PARA_STATE_2_BOOL, TAG_PARA_STATE_3_BOOL, TAG_WARN_VISIBLE_BOOL</t>
        </is>
      </c>
      <c r="H5" s="223" t="inlineStr">
        <is>
          <t>text</t>
        </is>
      </c>
      <c r="I5" s="223" t="n">
        <v>1</v>
      </c>
      <c r="J5" s="223" t="inlineStr">
        <is>
          <t>ec301803-ef10-50a5-8cd0-12c129155328</t>
        </is>
      </c>
      <c r="K5" s="223" t="inlineStr"/>
      <c r="L5" s="223" t="inlineStr"/>
    </row>
    <row r="6">
      <c r="A6" s="229" t="inlineStr">
        <is>
          <t>PARAGRAPH</t>
        </is>
      </c>
      <c r="B6" s="223" t="inlineStr">
        <is>
          <t>ARCH_TAG_7_PARA_ROOF_TXT</t>
        </is>
      </c>
      <c r="C6" s="223" t="inlineStr">
        <is>
          <t>ARCHITECTURAL</t>
        </is>
      </c>
      <c r="D6" s="223" t="inlineStr">
        <is>
          <t>TEXT</t>
        </is>
      </c>
      <c r="E6" s="223" t="inlineStr">
        <is>
          <t>if(TAG_PARA_STATE_3_BOOL, (if(ASS_DESCRIPTION_TXT&lt;&gt;"",ASS_DESCRIPTION_TXT,"Roof type TBC") + ". Pitch: " + if(BLE_ROOF_PITCH_DEG&lt;&gt;"",BLE_ROOF_PITCH_DEG+"°","TBC") + ". Primary material: " + if(BLE_ROOF_PRIMARY_MAT_TXT&lt;&gt;"",BLE_ROOF_PRIMARY_MAT_TXT,"TBC") + ".") + " | " + ("Thermal: U=" + if(PER_THERM_U_VALUE_W_M2K_NR&lt;&gt;"",PER_THERM_U_VALUE_W_M2K_NR+"W/m²K","TBC") + ". Insulation: " + if(BLE_ROOF_INSULATION_TXT&lt;&gt;"",BLE_ROOF_INSULATION_TXT,"TBC") + ". Waterproofing: " + if(BLE_ROOF_WATERPROOFING_TXT</t>
        </is>
      </c>
      <c r="F6" s="223" t="inlineStr">
        <is>
          <t>3-state paragraph for Roofs. S1=compact, S2=standard, S3=comprehensive. Gated by TAG_PARA_STATE_1/2/3_BOOL.</t>
        </is>
      </c>
      <c r="G6" s="223" t="inlineStr">
        <is>
          <t>ASS_DESCRIPTION_TXT, BLE_ROOF_INSULATION_TXT, BLE_ROOF_PITCH_DEG, BLE_ROOF_PRIMARY_MAT_TXT, BLE_ROOF_WATERPROOFING_TXT, CST_S_SUPPLIER_TXT, PER_SUST_CARBON_FOOTPRINT_KG, PER_THERM_U_VALUE_W_M2K_NR, RGL_STD_TXT, TAG_PARA_STATE_1_BOOL, TAG_PARA_STATE_2_BOOL, TAG_PARA_STATE_3_BOOL, TAG_WARN_VISIBLE_BOOL</t>
        </is>
      </c>
      <c r="H6" s="223" t="inlineStr">
        <is>
          <t>text</t>
        </is>
      </c>
      <c r="I6" s="223" t="n">
        <v>1</v>
      </c>
      <c r="J6" s="223" t="inlineStr">
        <is>
          <t>15306275-b3a6-509c-995a-d1a48b11f567</t>
        </is>
      </c>
      <c r="K6" s="223" t="inlineStr"/>
      <c r="L6" s="223" t="inlineStr"/>
    </row>
    <row r="7">
      <c r="A7" s="229" t="inlineStr">
        <is>
          <t>PARAGRAPH</t>
        </is>
      </c>
      <c r="B7" s="223" t="inlineStr">
        <is>
          <t>ARCH_TAG_7_PARA_DOOR_TXT</t>
        </is>
      </c>
      <c r="C7" s="223" t="inlineStr">
        <is>
          <t>ARCHITECTURAL</t>
        </is>
      </c>
      <c r="D7" s="223" t="inlineStr">
        <is>
          <t>TEXT</t>
        </is>
      </c>
      <c r="E7" s="223" t="inlineStr">
        <is>
          <t>if(TAG_PARA_STATE_3_BOOL, (if(BLE_DOOR_WIDTH_MM&lt;&gt;"",BLE_DOOR_WIDTH_MM,"?") + "x" + if(BLE_DOOR_HEIGHT_MM&lt;&gt;"",BLE_DOOR_HEIGHT_MM,"?") + "mm " + if(BLE_DOOR_OPERATION_TYPE_TXT&lt;&gt;"",BLE_DOOR_OPERATION_TYPE_TXT,"") + " door, " + if(BLE_DOOR_MATERIAL_FINISH_TXT&lt;&gt;"",BLE_DOOR_MATERIAL_FINISH_TXT,"material TBC") + " frame and leaf.") + " | " + ("Hardware: " + if(BLE_DOOR_HARDWARE_SPECIFICATION_TXT&lt;&gt;"",BLE_DOOR_HARDWARE_SPECIFICATION_TXT,"TBC") + ". FRR: " + if(FLS_PROT_FLS_RESISTANCE_RATING_MINUTES_MIN&lt;&gt;</t>
        </is>
      </c>
      <c r="F7" s="223" t="inlineStr">
        <is>
          <t>3-state paragraph for Doors. S1=compact, S2=standard, S3=comprehensive. Gated by TAG_PARA_STATE_1/2/3_BOOL.</t>
        </is>
      </c>
      <c r="G7" s="223" t="inlineStr">
        <is>
          <t>BLE_DOOR_GLAZING_PCT, BLE_DOOR_HARDWARE_SPECIFICATION_TXT, BLE_DOOR_HEIGHT_MM, BLE_DOOR_MATERIAL_FINISH_TXT, BLE_DOOR_OPERATION_TYPE_TXT, BLE_DOOR_SECURITY_GRADE_TXT, BLE_DOOR_WIDTH_MM, CST_S_LEAD_TIME_WEEKS_NR, CST_S_UNIT_RATE_UGX_NR, FLS_PROT_FLS_RESISTANCE_RATING_MINUTES_MIN, RGL_ACCESS_BRAILLE_SIGN_BOOL, RGL_ACCESS_CLEAR_WIDTH_MM, TAG_PARA_STATE_1_BOOL, TAG_PARA_STATE_2_BOOL, TAG_PARA_STATE_3_BOOL, TAG_WARN_VISIBLE_BOOL</t>
        </is>
      </c>
      <c r="H7" s="223" t="inlineStr">
        <is>
          <t>text</t>
        </is>
      </c>
      <c r="I7" s="223" t="n">
        <v>1</v>
      </c>
      <c r="J7" s="223" t="inlineStr">
        <is>
          <t>86482d6d-49dc-5efc-adc3-16fdfd742ea3</t>
        </is>
      </c>
      <c r="K7" s="223" t="inlineStr"/>
      <c r="L7" s="223" t="inlineStr"/>
    </row>
    <row r="8">
      <c r="A8" s="229" t="inlineStr">
        <is>
          <t>PARAGRAPH</t>
        </is>
      </c>
      <c r="B8" s="223" t="inlineStr">
        <is>
          <t>ARCH_TAG_7_PARA_WIN_TXT</t>
        </is>
      </c>
      <c r="C8" s="223" t="inlineStr">
        <is>
          <t>ARCHITECTURAL</t>
        </is>
      </c>
      <c r="D8" s="223" t="inlineStr">
        <is>
          <t>TEXT</t>
        </is>
      </c>
      <c r="E8" s="223" t="inlineStr">
        <is>
          <t>if(TAG_PARA_STATE_3_BOOL, (if(BLE_WINDOW_WIDTH_MM&lt;&gt;"",BLE_WINDOW_WIDTH_MM,"?") + "x" + if(BLE_WINDOW_HEIGHT_MM&lt;&gt;"",BLE_WINDOW_HEIGHT_MM,"?") + "mm " + if(BLE_WINDOW_OPERATION_TYPE_TXT&lt;&gt;"",BLE_WINDOW_OPERATION_TYPE_TXT,"") + " window. Frame: " + if(BLE_WINDOW_FRAME_MAT_TXT&lt;&gt;"",BLE_WINDOW_FRAME_MAT_TXT,"TBC") + ". Glazing: " + if(BLE_WINDOW_GLAZING_TYPE_TXT&lt;&gt;"",BLE_WINDOW_GLAZING_TYPE_TXT,"TBC") + ".") + " | " + ("Thermal: U=" + if(PER_THERM_U_VALUE_W_M2K_NR&lt;&gt;"",PER_THERM_U_VALUE_W_M2K_NR+"W/m²K",</t>
        </is>
      </c>
      <c r="F8" s="223" t="inlineStr">
        <is>
          <t>3-state paragraph for Windows. S1=compact, S2=standard, S3=comprehensive. Gated by TAG_PARA_STATE_1/2/3_BOOL.</t>
        </is>
      </c>
      <c r="G8" s="223" t="inlineStr">
        <is>
          <t>BLE_WINDOW_BURGLAR_BARS_BOOL, BLE_WINDOW_FRAME_MAT_TXT, BLE_WINDOW_GLAZING_TYPE_TXT, BLE_WINDOW_HEIGHT_MM, BLE_WINDOW_MOSQUITO_SCREEN_BOOL, BLE_WINDOW_OPERATION_TYPE_TXT, BLE_WINDOW_SHADING_DEVICE_TXT, BLE_WINDOW_SOLAR_HEAT_GAIN_COEFFICIENT_NR, BLE_WINDOW_VLT_PCT, BLE_WINDOW_WIDTH_MM, PER_ENV_CLIMATE_ZONE_TXT, PER_THERM_ENERGY_RATING_TXT, PER_THERM_U_VALUE_W_M2K_NR, RGL_KCCA_APPROVAL_TXT, TAG_PARA_STATE_1_BOOL, TAG_PARA_STATE_2_BOOL, TAG_PARA_STATE_3_BOOL, TAG_WARN_VISIBLE_BOOL</t>
        </is>
      </c>
      <c r="H8" s="223" t="inlineStr">
        <is>
          <t>text</t>
        </is>
      </c>
      <c r="I8" s="223" t="n">
        <v>1</v>
      </c>
      <c r="J8" s="223" t="inlineStr">
        <is>
          <t>abae0302-a908-5e5c-8244-fac437ef2272</t>
        </is>
      </c>
      <c r="K8" s="223" t="inlineStr"/>
      <c r="L8" s="223" t="inlineStr"/>
    </row>
    <row r="9">
      <c r="A9" s="229" t="inlineStr">
        <is>
          <t>PARAGRAPH</t>
        </is>
      </c>
      <c r="B9" s="223" t="inlineStr">
        <is>
          <t>ARCH_TAG_7_PARA_ROOM_TXT</t>
        </is>
      </c>
      <c r="C9" s="223" t="inlineStr">
        <is>
          <t>ARCHITECTURAL</t>
        </is>
      </c>
      <c r="D9" s="223" t="inlineStr">
        <is>
          <t>TEXT</t>
        </is>
      </c>
      <c r="E9" s="223" t="inlineStr">
        <is>
          <t>if(TAG_PARA_STATE_3_BOOL, (if(BLE_ROOM_NAME_TXT&lt;&gt;"",BLE_ROOM_NAME_TXT,"Room") + " " + if(ASS_ROOM_NUMBER_TXT&lt;&gt;"",ASS_ROOM_NUMBER_TXT,"") + " | Dept: " + if(ASS_ROOM_DEPARTMENT_TXT&lt;&gt;"",ASS_ROOM_DEPARTMENT_TXT,"TBC") + " | Area: " + if(ASS_ROOM_AREA_SQ_M&lt;&gt;"",ASS_ROOM_AREA_SQ_M+"m²","TBC") + " | Occupancy: " + if(BLE_ROOM_OCCUPANCY_NR&lt;&gt;"",BLE_ROOM_OCCUPANCY_NR+" persons","TBC") + ".") + " | " + ("Design lux: " + if(ASS_DESIGN_LTG_LVL_LUX_NR&lt;&gt;"",ASS_DESIGN_LTG_LVL_LUX_NR+"lux","TBC") + ". Ventilatio</t>
        </is>
      </c>
      <c r="F9" s="223" t="inlineStr">
        <is>
          <t>3-state paragraph for Rooms/Spaces. S1=compact, S2=standard, S3=comprehensive. Gated by TAG_PARA_STATE_1/2/3_BOOL.</t>
        </is>
      </c>
      <c r="G9" s="223" t="inlineStr">
        <is>
          <t>ASS_DESIGN_LTG_LVL_LUX_NR, ASS_DESIGN_VENT_RATE_L_S_P, ASS_ROOM_AREA_SQ_M, ASS_ROOM_DEPARTMENT_TXT, ASS_ROOM_NUMBER_TXT, BLE_ROOM_NAME_TXT, BLE_ROOM_OCCUPANCY_NR, BLE_ROOM_THERMAL_ZONE_TXT, FLS_PROT_REFUGE_AREA_BOOL, PER_ACOUSTICS_BACKGROUND_NOISE_DB, PER_ENV_HUMIDITY_PCT, PER_ENV_TERMITE_PROTECTION_TXT, RGL_ACCESS_CLEAR_WIDTH_MM, RGL_ACCESS_HEARING_LOOP_BOOL, TAG_PARA_STATE_1_BOOL, TAG_PARA_STATE_2_BOOL, TAG_PARA_STATE_3_BOOL, TAG_WARN_VISIBLE_BOOL</t>
        </is>
      </c>
      <c r="H9" s="223" t="inlineStr">
        <is>
          <t>text</t>
        </is>
      </c>
      <c r="I9" s="223" t="n">
        <v>1</v>
      </c>
      <c r="J9" s="223" t="inlineStr">
        <is>
          <t>dc8a2075-2dfd-5f4c-9b4b-4cc938e87797</t>
        </is>
      </c>
      <c r="K9" s="223" t="inlineStr"/>
      <c r="L9" s="223" t="inlineStr"/>
    </row>
    <row r="10">
      <c r="A10" s="229" t="inlineStr">
        <is>
          <t>PARAGRAPH</t>
        </is>
      </c>
      <c r="B10" s="223" t="inlineStr">
        <is>
          <t>STR_TAG_7_PARA_FDN_TXT</t>
        </is>
      </c>
      <c r="C10" s="223" t="inlineStr">
        <is>
          <t>ARCHITECTURAL</t>
        </is>
      </c>
      <c r="D10" s="223" t="inlineStr">
        <is>
          <t>TEXT</t>
        </is>
      </c>
      <c r="E10" s="223" t="inlineStr">
        <is>
          <t>if(TAG_PARA_STATE_3_BOOL, (if(BLE_STRUCT_FOUNDATION_TYPE_TXT&lt;&gt;"",BLE_STRUCT_FOUNDATION_TYPE_TXT,"Foundation") + " " + if(BLE_STRUCT_FOUNDATION_SZ_TXT&lt;&gt;"",BLE_STRUCT_FOUNDATION_SZ_TXT,"(size TBC)") + ". Concrete: " + if(BLE_STRUCT_CONCRETE_GRADE_TXT&lt;&gt;"",BLE_STRUCT_CONCRETE_GRADE_TXT,"grade TBC") + ". Reinforcement: " + if(BLE_STRUCT_REINFORCEMENT_TXT&lt;&gt;"",BLE_STRUCT_REINFORCEMENT_TXT,"TBC") + ".") + " | " + ("Bearing capacity: " + if(BLE_STRUCT_BEARING_KPA&lt;&gt;"",BLE_STRUCT_BEARING_KPA+"kPa","TBC") +</t>
        </is>
      </c>
      <c r="F10" s="223" t="inlineStr">
        <is>
          <t>3-state paragraph for Str. Foundations. S1=compact, S2=standard, S3=comprehensive. Gated by TAG_PARA_STATE_1/2/3_BOOL.</t>
        </is>
      </c>
      <c r="G10" s="223" t="inlineStr">
        <is>
          <t>ASS_QA_CERT_TXT, BLE_STRUCT_BEARING_KPA, BLE_STRUCT_CONCRETE_GRADE_TXT, BLE_STRUCT_DPC_TXT, BLE_STRUCT_FOUNDATION_SZ_TXT, BLE_STRUCT_FOUNDATION_TYPE_TXT, BLE_STRUCT_REINFORCEMENT_TXT, CST_TAG_7_PARA_CONCRETE_TXT, PER_ENV_INSECTICIDE_TXT, RGL_STD_TXT, TAG_PARA_STATE_1_BOOL, TAG_PARA_STATE_2_BOOL, TAG_PARA_STATE_3_BOOL, TAG_WARN_VISIBLE_BOOL</t>
        </is>
      </c>
      <c r="H10" s="223" t="inlineStr">
        <is>
          <t>text</t>
        </is>
      </c>
      <c r="I10" s="223" t="n">
        <v>1</v>
      </c>
      <c r="J10" s="223" t="inlineStr">
        <is>
          <t>2c89bf41-1688-5d19-9ab9-eff5b3b7a129</t>
        </is>
      </c>
      <c r="K10" s="223" t="inlineStr"/>
      <c r="L10" s="223" t="inlineStr"/>
    </row>
    <row r="11">
      <c r="A11" s="229" t="inlineStr">
        <is>
          <t>PARAGRAPH</t>
        </is>
      </c>
      <c r="B11" s="223" t="inlineStr">
        <is>
          <t>STR_TAG_7_PARA_COL_TXT</t>
        </is>
      </c>
      <c r="C11" s="223" t="inlineStr">
        <is>
          <t>ARCHITECTURAL</t>
        </is>
      </c>
      <c r="D11" s="223" t="inlineStr">
        <is>
          <t>TEXT</t>
        </is>
      </c>
      <c r="E11" s="223" t="inlineStr">
        <is>
          <t>if(TAG_PARA_STATE_3_BOOL, (if(BLE_STRUCT_COLUMN_SZ_TXT&lt;&gt;"",BLE_STRUCT_COLUMN_SZ_TXT,"(size TBC)") + " RC column. Concrete: " + if(BLE_STRUCT_CONCRETE_GRADE_TXT&lt;&gt;"",BLE_STRUCT_CONCRETE_GRADE_TXT,"grade TBC") + ". Rebar: " + if(BLE_STRUCT_REINFORCEMENT_TXT&lt;&gt;"",BLE_STRUCT_REINFORCEMENT_TXT,"TBC") + ".") + " | " + ("Cover: " + if(BLE_STRUCT_COVER_MM&lt;&gt;"",BLE_STRUCT_COVER_MM+"mm","TBC") + ". Formwork: " + if(BLE_STRUCT_FORMWORK_TXT&lt;&gt;"",BLE_STRUCT_FORMWORK_TXT,"TBC") + ". Fire protection: " + if(FLS_PR</t>
        </is>
      </c>
      <c r="F11" s="223" t="inlineStr">
        <is>
          <t>3-state paragraph for Str. Columns. S1=compact, S2=standard, S3=comprehensive. Gated by TAG_PARA_STATE_1/2/3_BOOL.</t>
        </is>
      </c>
      <c r="G11" s="223" t="inlineStr">
        <is>
          <t>ASS_QA_CUBE_TEST_TXT, BLE_STRUCT_COLUMN_SZ_TXT, BLE_STRUCT_CONCRETE_GRADE_TXT, BLE_STRUCT_COVER_MM, BLE_STRUCT_FORMWORK_TXT, BLE_STRUCT_REINFORCEMENT_TXT, FLS_PROT_FLS_RESISTANCE_RATING_MINUTES_MIN, RGL_STD_TXT, TAG_PARA_STATE_1_BOOL, TAG_PARA_STATE_2_BOOL, TAG_PARA_STATE_3_BOOL, TAG_WARN_VISIBLE_BOOL</t>
        </is>
      </c>
      <c r="H11" s="223" t="inlineStr">
        <is>
          <t>text</t>
        </is>
      </c>
      <c r="I11" s="223" t="n">
        <v>1</v>
      </c>
      <c r="J11" s="223" t="inlineStr">
        <is>
          <t>6742bedc-d054-5aba-bda9-e2ed8baa938e</t>
        </is>
      </c>
      <c r="K11" s="223" t="inlineStr"/>
      <c r="L11" s="223" t="inlineStr"/>
    </row>
    <row r="12">
      <c r="A12" s="229" t="inlineStr">
        <is>
          <t>PARAGRAPH</t>
        </is>
      </c>
      <c r="B12" s="223" t="inlineStr">
        <is>
          <t>STR_TAG_7_PARA_BEAM_TXT</t>
        </is>
      </c>
      <c r="C12" s="223" t="inlineStr">
        <is>
          <t>ARCHITECTURAL</t>
        </is>
      </c>
      <c r="D12" s="223" t="inlineStr">
        <is>
          <t>TEXT</t>
        </is>
      </c>
      <c r="E12" s="223" t="inlineStr">
        <is>
          <t>if(TAG_PARA_STATE_3_BOOL, (if(BLE_STRUCT_BEAM_SZ_TXT&lt;&gt;"",BLE_STRUCT_BEAM_SZ_TXT,"(size TBC)") + " " + if(BLE_STRUCT_STEEL_GRADE_TXT&lt;&gt;"",BLE_STRUCT_STEEL_GRADE_TXT,"RC") + " beam/slab. Grade: " + if(BLE_STRUCT_CONCRETE_GRADE_TXT&lt;&gt;"",BLE_STRUCT_CONCRETE_GRADE_TXT,"TBC") + ".") + " | " + ("Cover: " + if(BLE_STRUCT_COVER_MM&lt;&gt;"",BLE_STRUCT_COVER_MM+"mm","TBC") + ". Rebar: " + if(BLE_STRUCT_REINFORCEMENT_TXT&lt;&gt;"",BLE_STRUCT_REINFORCEMENT_TXT,"TBC") + ". Steel section: " + if(BLE_STRUCT_STEEL_SECTION_TX</t>
        </is>
      </c>
      <c r="F12" s="223" t="inlineStr">
        <is>
          <t>3-state paragraph for Str. Framing. S1=compact, S2=standard, S3=comprehensive. Gated by TAG_PARA_STATE_1/2/3_BOOL.</t>
        </is>
      </c>
      <c r="G12" s="223" t="inlineStr">
        <is>
          <t>BLE_STRUCT_BEAM_SZ_TXT, BLE_STRUCT_CONCRETE_GRADE_TXT, BLE_STRUCT_COVER_MM, BLE_STRUCT_REINFORCEMENT_TXT, BLE_STRUCT_STEEL_GRADE_TXT, BLE_STRUCT_STEEL_SECTION_TXT, FLS_PROT_FLS_RESISTANCE_RATING_MINUTES_MIN, RGL_STD_TXT, TAG_PARA_STATE_1_BOOL, TAG_PARA_STATE_2_BOOL, TAG_PARA_STATE_3_BOOL, TAG_WARN_VISIBLE_BOOL</t>
        </is>
      </c>
      <c r="H12" s="223" t="inlineStr">
        <is>
          <t>text</t>
        </is>
      </c>
      <c r="I12" s="223" t="n">
        <v>1</v>
      </c>
      <c r="J12" s="223" t="inlineStr">
        <is>
          <t>9406ea5b-766e-55bd-aeec-6dfced98a8ba</t>
        </is>
      </c>
      <c r="K12" s="223" t="inlineStr"/>
      <c r="L12" s="223" t="inlineStr"/>
    </row>
    <row r="13">
      <c r="A13" s="229" t="inlineStr">
        <is>
          <t>PARAGRAPH</t>
        </is>
      </c>
      <c r="B13" s="223" t="inlineStr">
        <is>
          <t>ARCH_TAG_7_PARA_STAIR_TXT</t>
        </is>
      </c>
      <c r="C13" s="223" t="inlineStr">
        <is>
          <t>ARCHITECTURAL</t>
        </is>
      </c>
      <c r="D13" s="223" t="inlineStr">
        <is>
          <t>TEXT</t>
        </is>
      </c>
      <c r="E13" s="223" t="inlineStr">
        <is>
          <t>if(TAG_PARA_STATE_3_BOOL, (if(BLE_STAIR_MAT_TXT&lt;&gt;"",BLE_STAIR_MAT_TXT,"") + " stair, " + if(BLE_STAIR_RISE_MM&lt;&gt;"",BLE_STAIR_RISE_MM+"mm","?mm") + " rise, " + if(BLE_STAIR_GOING_MM&lt;&gt;"",BLE_STAIR_GOING_MM+"mm","?mm") + " going, " + if(BLE_STAIR_WIDTH_MM&lt;&gt;"",BLE_STAIR_WIDTH_MM+"mm","?mm") + " wide. Tread: " + if(BLE_STAIR_TREAD_FINISH_TXT&lt;&gt;"",BLE_STAIR_TREAD_FINISH_TXT,"TBC") + ". Handrail: " + if(BLE_STAIR_HANDRAIL_MAT_TXT&lt;&gt;"",BLE_STAIR_HANDRAIL_MAT_TXT,"TBC") + ".") + " | " + ("Nosing: " + if(BLE</t>
        </is>
      </c>
      <c r="F13" s="223" t="inlineStr">
        <is>
          <t>3-state paragraph for Stairs. S1=compact, S2=standard, S3=comprehensive. Gated by TAG_PARA_STATE_1/2/3_BOOL.</t>
        </is>
      </c>
      <c r="G13" s="223" t="inlineStr">
        <is>
          <t>BLE_STAIR_BALUSTRADE_SPEC_TXT, BLE_STAIR_GOING_MM, BLE_STAIR_HANDRAIL_MAT_TXT, BLE_STAIR_MAT_TXT, BLE_STAIR_NOSING_TXT, BLE_STAIR_RISE_MM, BLE_STAIR_TREAD_FINISH_TXT, BLE_STAIR_WIDTH_MM, CST_S_UNIT_RATE_UGX_NR, FLS_PROT_FLS_RESISTANCE_RATING_MINUTES_MIN, RGL_ACCESS_CLEAR_WIDTH_MM, RGL_STD_TXT, TAG_PARA_STATE_1_BOOL, TAG_PARA_STATE_2_BOOL, TAG_PARA_STATE_3_BOOL, TAG_WARN_VISIBLE_BOOL</t>
        </is>
      </c>
      <c r="H13" s="223" t="inlineStr">
        <is>
          <t>text</t>
        </is>
      </c>
      <c r="I13" s="223" t="n">
        <v>1</v>
      </c>
      <c r="J13" s="223" t="inlineStr">
        <is>
          <t>0eb59837-cbf1-5c91-a6c0-7bd8820e452a</t>
        </is>
      </c>
      <c r="K13" s="223" t="inlineStr"/>
      <c r="L13" s="223" t="inlineStr"/>
    </row>
    <row r="14">
      <c r="A14" s="229" t="inlineStr">
        <is>
          <t>PARAGRAPH</t>
        </is>
      </c>
      <c r="B14" s="223" t="inlineStr">
        <is>
          <t>ARCH_TAG_7_PARA_RAMP_TXT</t>
        </is>
      </c>
      <c r="C14" s="223" t="inlineStr">
        <is>
          <t>ARCHITECTURAL</t>
        </is>
      </c>
      <c r="D14" s="223" t="inlineStr">
        <is>
          <t>TEXT</t>
        </is>
      </c>
      <c r="E14" s="223" t="inlineStr">
        <is>
          <t>if(TAG_PARA_STATE_3_BOOL, ("Ramp at " + if(BLE_RAMP_SLOPE_PCT&lt;&gt;"",BLE_RAMP_SLOPE_PCT+"%","?%") + " gradient, " + if(BLE_RAMP_SURFACE_FINISH_TXT&lt;&gt;"",BLE_RAMP_SURFACE_FINISH_TXT,"surface TBC") + " finish. Handrails: " + if(BLE_RAMP_HANDRAIL_BOTH_SIDES_BOOL&lt;&gt;"",BLE_RAMP_HANDRAIL_BOTH_SIDES_BOOL,"TBC") + ". Clear width: " + if(RGL_ACCESS_CLEAR_WIDTH_MM&lt;&gt;"",RGL_ACCESS_CLEAR_WIDTH_MM+"mm","TBC") + ".") + " | " + ("Landing: " + if(BLE_RAMP_LANDING_DIM_TXT&lt;&gt;"",BLE_RAMP_LANDING_DIM_TXT,"TBC") + ". Handra</t>
        </is>
      </c>
      <c r="F14" s="223" t="inlineStr">
        <is>
          <t>3-state paragraph for Ramps. S1=compact, S2=standard, S3=comprehensive. Gated by TAG_PARA_STATE_1/2/3_BOOL.</t>
        </is>
      </c>
      <c r="G14" s="223" t="inlineStr">
        <is>
          <t>BLE_RAMP_HANDRAIL_BOTH_SIDES_BOOL, BLE_RAMP_HANDRAIL_HGT_MM, BLE_RAMP_LANDING_DIM_TXT, BLE_RAMP_NONSLIP_TREATMENT_TXT, BLE_RAMP_SLOPE_PCT, BLE_RAMP_SURFACE_FINISH_TXT, RGL_ACCESS_CLEAR_WIDTH_MM, RGL_KCCA_APPROVAL_TXT, TAG_PARA_STATE_1_BOOL, TAG_PARA_STATE_2_BOOL, TAG_PARA_STATE_3_BOOL, TAG_WARN_VISIBLE_BOOL</t>
        </is>
      </c>
      <c r="H14" s="223" t="inlineStr">
        <is>
          <t>text</t>
        </is>
      </c>
      <c r="I14" s="223" t="n">
        <v>1</v>
      </c>
      <c r="J14" s="223" t="inlineStr">
        <is>
          <t>ef02ada2-6d8c-5040-9cb7-700ac1cab810</t>
        </is>
      </c>
      <c r="K14" s="223" t="inlineStr"/>
      <c r="L14" s="223" t="inlineStr"/>
    </row>
    <row r="15">
      <c r="A15" s="229" t="inlineStr">
        <is>
          <t>PARAGRAPH</t>
        </is>
      </c>
      <c r="B15" s="223" t="inlineStr">
        <is>
          <t>ARCH_TAG_7_PARA_FACADE_TXT</t>
        </is>
      </c>
      <c r="C15" s="223" t="inlineStr">
        <is>
          <t>ARCHITECTURAL</t>
        </is>
      </c>
      <c r="D15" s="223" t="inlineStr">
        <is>
          <t>TEXT</t>
        </is>
      </c>
      <c r="E15" s="223" t="inlineStr">
        <is>
          <t>if(TAG_PARA_STATE_3_BOOL, (if(BLE_FACADE_CLR_TXT&lt;&gt;"",BLE_FACADE_CLR_TXT,"") + " " + if(BLE_FACADE_FINISH_TXT&lt;&gt;"",BLE_FACADE_FINISH_TXT,"") + " curtain panel, " + if(BLE_FACADE_FIX_SYSTEM_TXT&lt;&gt;"",BLE_FACADE_FIX_SYSTEM_TXT,"fixing TBC") + " fixing. Glass: " + if(BLE_FACADE_GLASS_TYPE_TXT&lt;&gt;"",BLE_FACADE_GLASS_TYPE_TXT,"TBC") + ". U: " + if(PER_THERM_U_VALUE_W_M2K_NR&lt;&gt;"",PER_THERM_U_VALUE_W_M2K_NR+"W/m²K","TBC") + ".") + " | " + ("Panel size: " + if(BLE_FACADE_PANEL_WIDTH_MM&lt;&gt;"",BLE_FACADE_PANEL_WID</t>
        </is>
      </c>
      <c r="F15" s="223" t="inlineStr">
        <is>
          <t>3-state paragraph for Curtain Panels. S1=compact, S2=standard, S3=comprehensive. Gated by TAG_PARA_STATE_1/2/3_BOOL.</t>
        </is>
      </c>
      <c r="G15" s="223" t="inlineStr">
        <is>
          <t>BLE_FACADE_CLR_TXT, BLE_FACADE_FINISH_TXT, BLE_FACADE_FIX_SYSTEM_TXT, BLE_FACADE_GLASS_TYPE_TXT, BLE_FACADE_INSULATION_TXT, BLE_FACADE_PANEL_HEIGHT_MM, BLE_FACADE_PANEL_WIDTH_MM, BLE_FACADE_WTR_PENETRATION_TXT, MAT_EPD_REF_TXT, PER_THERM_ENERGY_RATING_TXT, PER_THERM_U_VALUE_W_M2K_NR, RGL_KCCA_APPROVAL_TXT, TAG_PARA_STATE_1_BOOL, TAG_PARA_STATE_2_BOOL, TAG_PARA_STATE_3_BOOL, TAG_WARN_VISIBLE_BOOL</t>
        </is>
      </c>
      <c r="H15" s="223" t="inlineStr">
        <is>
          <t>text</t>
        </is>
      </c>
      <c r="I15" s="223" t="n">
        <v>1</v>
      </c>
      <c r="J15" s="223" t="inlineStr">
        <is>
          <t>7a6fff97-e8fe-5ac2-a229-b375e9ae9eac</t>
        </is>
      </c>
      <c r="K15" s="223" t="inlineStr"/>
      <c r="L15" s="223" t="inlineStr"/>
    </row>
    <row r="16">
      <c r="A16" s="229" t="inlineStr">
        <is>
          <t>PARAGRAPH</t>
        </is>
      </c>
      <c r="B16" s="223" t="inlineStr">
        <is>
          <t>ARCH_TAG_7_PARA_CASEWORK_TXT</t>
        </is>
      </c>
      <c r="C16" s="223" t="inlineStr">
        <is>
          <t>ARCHITECTURAL</t>
        </is>
      </c>
      <c r="D16" s="223" t="inlineStr">
        <is>
          <t>TEXT</t>
        </is>
      </c>
      <c r="E16" s="223" t="inlineStr">
        <is>
          <t>if(TAG_PARA_STATE_3_BOOL, ("This " + if(ASS_DESCRIPTION_TXT&lt;&gt;"",ASS_DESCRIPTION_TXT,"casework unit") + ". By " + if(ASS_MANUFACTURER_TXT&lt;&gt;"",ASS_MANUFACTURER_TXT,"TBC") + " model " + if(ASS_MODEL_NR_TXT&lt;&gt;"",ASS_MODEL_NR_TXT,"TBC") + ".") + " | " + ("Material: " + if(BLE_CASE_MAT_TXT&lt;&gt;"",BLE_CASE_MAT_TXT,"TBC") + ". Finish: " + if(BLE_CASE_FINISH_TXT&lt;&gt;"",BLE_CASE_FINISH_TXT,"TBC") + ". FRR: " + if(FLS_PROT_FLS_RESISTANCE_RATING_MINUTES_MIN&lt;&gt;"",FLS_PROT_FLS_RESISTANCE_RATING_MINUTES_MIN+"min","N/A</t>
        </is>
      </c>
      <c r="F16" s="223" t="inlineStr">
        <is>
          <t>3-state paragraph for Casework. S1=compact, S2=standard, S3=comprehensive. Gated by TAG_PARA_STATE_1/2/3_BOOL.</t>
        </is>
      </c>
      <c r="G16" s="223" t="inlineStr">
        <is>
          <t>ASS_DESCRIPTION_TXT, ASS_LEAD_TIME_TXT, ASS_MANUFACTURER_TXT, ASS_MODEL_NR_TXT, BLE_CASE_FINISH_TXT, BLE_CASE_MAT_TXT, BLE_CSWORK_MAT_TXT, FLS_PROT_FLS_RESISTANCE_RATING_MINUTES_MIN, RGL_STD_TXT, TAG_PARA_STATE_1_BOOL, TAG_PARA_STATE_2_BOOL, TAG_PARA_STATE_3_BOOL, TAG_WARN_VISIBLE_BOOL</t>
        </is>
      </c>
      <c r="H16" s="223" t="inlineStr">
        <is>
          <t>text</t>
        </is>
      </c>
      <c r="I16" s="223" t="n">
        <v>1</v>
      </c>
      <c r="J16" s="223" t="inlineStr">
        <is>
          <t>e55db34e-129d-5ea8-83be-e09e5e65604f</t>
        </is>
      </c>
      <c r="K16" s="223" t="inlineStr"/>
      <c r="L16" s="223" t="inlineStr"/>
    </row>
    <row r="17">
      <c r="A17" s="229" t="inlineStr">
        <is>
          <t>PARAGRAPH</t>
        </is>
      </c>
      <c r="B17" s="223" t="inlineStr">
        <is>
          <t>ARCH_TAG_7_PARA_FURNITURE_TXT</t>
        </is>
      </c>
      <c r="C17" s="223" t="inlineStr">
        <is>
          <t>ARCHITECTURAL</t>
        </is>
      </c>
      <c r="D17" s="223" t="inlineStr">
        <is>
          <t>TEXT</t>
        </is>
      </c>
      <c r="E17" s="223" t="inlineStr">
        <is>
          <t>if(TAG_PARA_STATE_3_BOOL, ("This " + if(ASS_DESCRIPTION_TXT&lt;&gt;"",ASS_DESCRIPTION_TXT,"furniture item") + ". By " + if(ASS_MANUFACTURER_TXT&lt;&gt;"",ASS_MANUFACTURER_TXT,"TBC") + " model " + if(ASS_MODEL_NR_TXT&lt;&gt;"",ASS_MODEL_NR_TXT,"TBC") + ". Status: " + if(ASS_STATUS_TXT&lt;&gt;"",ASS_STATUS_TXT,"TBC") + ".") + " | " + ("Qty: " + if(ASS_DESCRIPTION_TXT&lt;&gt;"",ASS_DESCRIPTION_TXT,"TBC") + ". Material: " + if(BLE_FURN_MAT_TXT&lt;&gt;"",BLE_FURN_MAT_TXT,"TBC") + ". Finish: " + if(BLE_FURN_FINISH_TXT&lt;&gt;"",BLE_FURN_FINIS</t>
        </is>
      </c>
      <c r="F17" s="223" t="inlineStr">
        <is>
          <t>3-state paragraph for Furniture. S1=compact, S2=standard, S3=comprehensive. Gated by TAG_PARA_STATE_1/2/3_BOOL.</t>
        </is>
      </c>
      <c r="G17" s="223" t="inlineStr">
        <is>
          <t>ASS_CST_TOTAL_UGX_NR, ASS_DESCRIPTION_TXT, ASS_MANUFACTURER_TXT, ASS_MODEL_NR_TXT, ASS_QTY_NR, ASS_STATUS_TXT, ASS_WARRANTY_TXT, BLE_ROOM_NAME_TXT, TAG_PARA_STATE_1_BOOL, TAG_PARA_STATE_2_BOOL, TAG_PARA_STATE_3_BOOL, TAG_WARN_VISIBLE_BOOL</t>
        </is>
      </c>
      <c r="H17" s="223" t="inlineStr">
        <is>
          <t>text</t>
        </is>
      </c>
      <c r="I17" s="223" t="n">
        <v>1</v>
      </c>
      <c r="J17" s="223" t="inlineStr">
        <is>
          <t>b1d47bbb-397e-520b-9610-b471226f9441</t>
        </is>
      </c>
      <c r="K17" s="223" t="inlineStr"/>
      <c r="L17" s="223" t="inlineStr"/>
    </row>
    <row r="18">
      <c r="A18" s="229" t="inlineStr">
        <is>
          <t>PARAGRAPH</t>
        </is>
      </c>
      <c r="B18" s="223" t="inlineStr">
        <is>
          <t>HVC_TAG_7_PARA_SPEC_TXT</t>
        </is>
      </c>
      <c r="C18" s="223" t="inlineStr">
        <is>
          <t>HVAC</t>
        </is>
      </c>
      <c r="D18" s="223" t="inlineStr">
        <is>
          <t>TEXT</t>
        </is>
      </c>
      <c r="E18" s="223" t="inlineStr">
        <is>
          <t>if(TAG_PARA_STATE_3_BOOL, ("" + if(ASS_DESCRIPTION_TXT&lt;&gt;"",ASS_DESCRIPTION_TXT,"HVAC equipment") + ". Capacity: " + if(HVC_CAP_KW&lt;&gt;"",HVC_CAP_KW+"kW","TBC") + ". Refrigerant: " + if(HVC_REFRIGERANT_TXT&lt;&gt;"",HVC_REFRIGERANT_TXT,"TBC") + ". Power: " + if(HVC_PWR_KW&lt;&gt;"",HVC_PWR_KW+"kW","TBC") + ". COP/EER: " + if(HVC_EFF_RATIO_NR&lt;&gt;"",HVC_EFF_RATIO_NR,"TBC") + ". " + if(ASS_MANUFACTURER_TXT&lt;&gt;"",ASS_MANUFACTURER_TXT,"") + " " + if(ASS_MODEL_NR_TXT&lt;&gt;"",ASS_MODEL_NR_TXT,"") + ".") + " | " + ("BMS contro</t>
        </is>
      </c>
      <c r="F18" s="223" t="inlineStr">
        <is>
          <t>3-state paragraph for Mech. Equipment. S1=compact, S2=standard, S3=comprehensive. Gated by TAG_PARA_STATE_1/2/3_BOOL.</t>
        </is>
      </c>
      <c r="G18" s="223" t="inlineStr">
        <is>
          <t>ASS_COMMISSION_REQ_TXT, ASS_DESCRIPTION_TXT, ASS_INSPECT_FREQ_TXT, ASS_INST_DETAIL_NUM_TXT, ASS_MANUFACTURER_TXT, ASS_MODEL_NR_TXT, ASS_QA_CERT_TXT, ELC_PNL_PHS_COUNT_NR, HVC_BMS_CONTROL_TYPE_TXT, HVC_CAP_KW, HVC_EFF_RATIO_NR, HVC_PWR_KW, HVC_REFRIGERANT_TXT, HVC_VLT_V, MNT_HGT_MM, TAG_PARA_STATE_1_BOOL, TAG_PARA_STATE_2_BOOL, TAG_PARA_STATE_3_BOOL, TAG_WARN_VISIBLE_BOOL</t>
        </is>
      </c>
      <c r="H18" s="223" t="inlineStr">
        <is>
          <t>text</t>
        </is>
      </c>
      <c r="I18" s="223" t="n">
        <v>1</v>
      </c>
      <c r="J18" s="223" t="inlineStr">
        <is>
          <t>b62dfc26-b575-5f57-8a51-15a0296eb912</t>
        </is>
      </c>
      <c r="K18" s="223" t="inlineStr"/>
      <c r="L18" s="223" t="inlineStr"/>
    </row>
    <row r="19">
      <c r="A19" s="229" t="inlineStr">
        <is>
          <t>PARAGRAPH</t>
        </is>
      </c>
      <c r="B19" s="223" t="inlineStr">
        <is>
          <t>HVC_TAG_7_PARA_DUCT_TXT</t>
        </is>
      </c>
      <c r="C19" s="223" t="inlineStr">
        <is>
          <t>HVAC</t>
        </is>
      </c>
      <c r="D19" s="223" t="inlineStr">
        <is>
          <t>TEXT</t>
        </is>
      </c>
      <c r="E19" s="223" t="inlineStr">
        <is>
          <t>if(TAG_PARA_STATE_3_BOOL, (if(HVC_DUCT_CLASS_TXT&lt;&gt;"",HVC_DUCT_CLASS_TXT,"") + "-class " + if(HVC_DCT_MAT_TXT&lt;&gt;"",HVC_DCT_MAT_TXT,"GI") + " duct " + if(HVC_DCT_WIDTH_MM&lt;&gt;"",HVC_DCT_WIDTH_MM+"x","") + if(HVC_DCT_HEIGHT_MM&lt;&gt;"",HVC_DCT_HEIGHT_MM+"mm ","") + if(HVC_DCT_DIA_MM&lt;&gt;"","DN"+HVC_DCT_DIA_MM+" ","") + ". Lining: " + if(HVC_DUCT_LINING_TXT&lt;&gt;"",HVC_DUCT_LINING_TXT,"none") + ". Flow: " + if(HVC_DCT_FLW_CFM&lt;&gt;"",HVC_DCT_FLW_CFM+"CFM","TBC") + ".") + " | " + ("Velocity: " + if(HVC_VEL_MPS&lt;&gt;"",HVC_V</t>
        </is>
      </c>
      <c r="F19" s="223" t="inlineStr">
        <is>
          <t>3-state paragraph for Ducts. S1=compact, S2=standard, S3=comprehensive. Gated by TAG_PARA_STATE_1/2/3_BOOL.</t>
        </is>
      </c>
      <c r="G19" s="223" t="inlineStr">
        <is>
          <t>ASS_SYSTEM_TYPE_TXT, ASS_ZONE_TXT, HVC_DCT_DIA_MM, HVC_DCT_FLW_CFM, HVC_DCT_HANGER_SPACING_MM, HVC_DCT_HEIGHT_MM, HVC_DCT_INSULATION_TXT, HVC_DCT_MAT_TXT, HVC_DCT_WIDTH_MM, HVC_DUCT_CLASS_TXT, HVC_DUCT_LEAKAGE_CLASS_TXT, HVC_DUCT_LINING_TXT, HVC_VEL_MPS, TAG_PARA_STATE_1_BOOL, TAG_PARA_STATE_2_BOOL, TAG_PARA_STATE_3_BOOL, TAG_WARN_VISIBLE_BOOL</t>
        </is>
      </c>
      <c r="H19" s="223" t="inlineStr">
        <is>
          <t>text</t>
        </is>
      </c>
      <c r="I19" s="223" t="n">
        <v>1</v>
      </c>
      <c r="J19" s="223" t="inlineStr">
        <is>
          <t>afc99d4a-df1f-52e3-8e5a-3187771464af</t>
        </is>
      </c>
      <c r="K19" s="223" t="inlineStr"/>
      <c r="L19" s="223" t="inlineStr"/>
    </row>
    <row r="20">
      <c r="A20" s="229" t="inlineStr">
        <is>
          <t>PARAGRAPH</t>
        </is>
      </c>
      <c r="B20" s="223" t="inlineStr">
        <is>
          <t>HVC_TAG_7_PARA_FLEXDUCT_TXT</t>
        </is>
      </c>
      <c r="C20" s="223" t="inlineStr">
        <is>
          <t>HVAC</t>
        </is>
      </c>
      <c r="D20" s="223" t="inlineStr">
        <is>
          <t>TEXT</t>
        </is>
      </c>
      <c r="E20" s="223" t="inlineStr">
        <is>
          <t>if(TAG_PARA_STATE_3_BOOL, ("Flexible " + if(HVC_DCT_MAT_TXT&lt;&gt;"",HVC_DCT_MAT_TXT,"") + " duct " + if(HVC_DCT_DIA_MM&lt;&gt;"","DN"+HVC_DCT_DIA_MM,"size TBC") + ", " + if(HVC_DUCT_LINING_TXT&lt;&gt;"",HVC_DUCT_LINING_TXT,"") + " lining. Velocity: " + if(HVC_VEL_MPS&lt;&gt;"",HVC_VEL_MPS+"m/s","TBC") + ".") + " | " + ("Flow: " + if(HVC_DCT_FLW_CFM&lt;&gt;"",HVC_DCT_FLW_CFM+"CFM","TBC") + ". Connection: " + if(HVC_DCT_CONNECTION_TXT&lt;&gt;"",HVC_DCT_CONNECTION_TXT,"TBC") + ".") + " | " + ("Standard: SMACNA max 1500mm. Install l</t>
        </is>
      </c>
      <c r="F20" s="223" t="inlineStr">
        <is>
          <t>3-state paragraph for Flex Ducts. S1=compact, S2=standard, S3=comprehensive. Gated by TAG_PARA_STATE_1/2/3_BOOL.</t>
        </is>
      </c>
      <c r="G20" s="223" t="inlineStr">
        <is>
          <t>ASS_QA_CERT_TXT, HVC_DCT_CONNECTION_TXT, HVC_DCT_DIA_MM, HVC_DCT_FLW_CFM, HVC_DCT_LINING_TXT, HVC_DCT_MAT_TXT, HVC_DUCT_CLASS_TXT, HVC_DUCT_LINING_TXT, HVC_VEL_MPS, TAG_PARA_STATE_1_BOOL, TAG_PARA_STATE_2_BOOL, TAG_PARA_STATE_3_BOOL, TAG_WARN_VISIBLE_BOOL</t>
        </is>
      </c>
      <c r="H20" s="223" t="inlineStr">
        <is>
          <t>text</t>
        </is>
      </c>
      <c r="I20" s="223" t="n">
        <v>1</v>
      </c>
      <c r="J20" s="223" t="inlineStr">
        <is>
          <t>330a9fed-2a9b-5e88-863f-b63fe6f59e3d</t>
        </is>
      </c>
      <c r="K20" s="223" t="inlineStr"/>
      <c r="L20" s="223" t="inlineStr"/>
    </row>
    <row r="21">
      <c r="A21" s="229" t="inlineStr">
        <is>
          <t>PARAGRAPH</t>
        </is>
      </c>
      <c r="B21" s="223" t="inlineStr">
        <is>
          <t>HVC_TAG_7_PARA_AT_TXT</t>
        </is>
      </c>
      <c r="C21" s="223" t="inlineStr">
        <is>
          <t>HVAC</t>
        </is>
      </c>
      <c r="D21" s="223" t="inlineStr">
        <is>
          <t>TEXT</t>
        </is>
      </c>
      <c r="E21" s="223" t="inlineStr">
        <is>
          <t xml:space="preserve">if(TAG_PARA_STATE_3_BOOL, (if(HVC_TERMINAL_TYPE_TXT&lt;&gt;"",HVC_TERMINAL_TYPE_TXT,"Air terminal") + " " + if(HVC_DCT_TERMINAL_SZ_TXT&lt;&gt;"",HVC_DCT_TERMINAL_SZ_TXT,"(size TBC)") + ". Flow: " + if(HVC_DCT_FLW_CFM&lt;&gt;"",HVC_DCT_FLW_CFM+"CFM","TBC") + ". Sound: " + if(HVC_DCT_TERMINAL_SOUND_DB_NR&lt;&gt;"",HVC_DCT_TERMINAL_SOUND_DB_NR+"dB","TBC") + ".") + " | " + ("Neck: " + if(HVC_DCT_NECK_SZ_TXT&lt;&gt;"",HVC_DCT_NECK_SZ_TXT,"TBC") + ". Pressure drop: " + if(HVC_TERMINAL_PD_PA&lt;&gt;"",HVC_TERMINAL_PD_PA+"Pa","TBC") + ". </t>
        </is>
      </c>
      <c r="F21" s="223" t="inlineStr">
        <is>
          <t>3-state paragraph for Air Terminals. S1=compact, S2=standard, S3=comprehensive. Gated by TAG_PARA_STATE_1/2/3_BOOL.</t>
        </is>
      </c>
      <c r="G21" s="223" t="inlineStr">
        <is>
          <t>ASS_MANUFACTURER_TXT, ASS_SYSTEM_TYPE_TXT, HVC_DCT_FLW_CFM, HVC_DCT_NECK_SZ_TXT, HVC_DCT_TERMINAL_SOUND_DB_NR, HVC_DCT_TERMINAL_SZ_TXT, HVC_TERMINAL_DAMPER_BOOL, HVC_TERMINAL_PD_PA, HVC_TERMINAL_TYPE_TXT, TAG_PARA_STATE_1_BOOL, TAG_PARA_STATE_2_BOOL, TAG_PARA_STATE_3_BOOL, TAG_WARN_VISIBLE_BOOL</t>
        </is>
      </c>
      <c r="H21" s="223" t="inlineStr">
        <is>
          <t>text</t>
        </is>
      </c>
      <c r="I21" s="223" t="n">
        <v>1</v>
      </c>
      <c r="J21" s="223" t="inlineStr">
        <is>
          <t>d483bd8b-d73c-55d1-a4e9-a3fb23c9bf34</t>
        </is>
      </c>
      <c r="K21" s="223" t="inlineStr"/>
      <c r="L21" s="223" t="inlineStr"/>
    </row>
    <row r="22">
      <c r="A22" s="229" t="inlineStr">
        <is>
          <t>PARAGRAPH</t>
        </is>
      </c>
      <c r="B22" s="223" t="inlineStr">
        <is>
          <t>HVC_TAG_7_PARA_DCTACC_TXT</t>
        </is>
      </c>
      <c r="C22" s="223" t="inlineStr">
        <is>
          <t>HVAC</t>
        </is>
      </c>
      <c r="D22" s="223" t="inlineStr">
        <is>
          <t>TEXT</t>
        </is>
      </c>
      <c r="E22" s="223" t="inlineStr">
        <is>
          <t>if(TAG_PARA_STATE_3_BOOL, ("This " + if(ASS_DESCRIPTION_TXT&lt;&gt;"",ASS_DESCRIPTION_TXT,"duct accessory") + ", " + if(HVC_DCT_MAT_TXT&lt;&gt;"",HVC_DCT_MAT_TXT,"TBC") + " body. Control: " + if(HVC_CONTROL_TYPE_TXT&lt;&gt;"",HVC_CONTROL_TYPE_TXT,"none") + ". By " + if(ASS_MANUFACTURER_TXT&lt;&gt;"",ASS_MANUFACTURER_TXT,"TBC") + ".") + " | " + ("Actuator: " + if(HVC_ACTUATOR_TXT&lt;&gt;"",HVC_ACTUATOR_TXT,"TBC") + ". FRR: " + if(FLS_PROT_FLS_RESISTANCE_RATING_MINUTES_MIN&lt;&gt;"",FLS_PROT_FLS_RESISTANCE_RATING_MINUTES_MIN+"min","</t>
        </is>
      </c>
      <c r="F22" s="223" t="inlineStr">
        <is>
          <t>3-state paragraph for Duct Accessories. S1=compact, S2=standard, S3=comprehensive. Gated by TAG_PARA_STATE_1/2/3_BOOL.</t>
        </is>
      </c>
      <c r="G22" s="223" t="inlineStr">
        <is>
          <t>ASS_DESCRIPTION_TXT, ASS_INSPECT_FREQ_TXT, ASS_MANUFACTURER_TXT, ASS_QA_CERT_TXT, FLS_PROT_FLS_RESISTANCE_RATING_MINUTES_MIN, HVC_ACTUATOR_TXT, HVC_CONTROL_TYPE_TXT, HVC_DCT_MAT_TXT, RGL_STD_TXT, TAG_PARA_STATE_1_BOOL, TAG_PARA_STATE_2_BOOL, TAG_PARA_STATE_3_BOOL, TAG_WARN_VISIBLE_BOOL</t>
        </is>
      </c>
      <c r="H22" s="223" t="inlineStr">
        <is>
          <t>text</t>
        </is>
      </c>
      <c r="I22" s="223" t="n">
        <v>1</v>
      </c>
      <c r="J22" s="223" t="inlineStr">
        <is>
          <t>90cd5680-b46f-5438-8545-3d64496d3083</t>
        </is>
      </c>
      <c r="K22" s="223" t="inlineStr"/>
      <c r="L22" s="223" t="inlineStr"/>
    </row>
    <row r="23">
      <c r="A23" s="229" t="inlineStr">
        <is>
          <t>PARAGRAPH</t>
        </is>
      </c>
      <c r="B23" s="223" t="inlineStr">
        <is>
          <t>ELC_TAG_7_PARA_PANEL_TXT</t>
        </is>
      </c>
      <c r="C23" s="223" t="inlineStr">
        <is>
          <t>ELECTRICAL</t>
        </is>
      </c>
      <c r="D23" s="223" t="inlineStr">
        <is>
          <t>TEXT</t>
        </is>
      </c>
      <c r="E23" s="223" t="inlineStr">
        <is>
          <t xml:space="preserve">if(TAG_PARA_STATE_3_BOOL, (if(ELC_PNL_DESIGNATION_NAME_TXT&lt;&gt;"",ELC_PNL_DESIGNATION_NAME_TXT,"DB") + " distribution board. " + if(ELC_PNL_VLT_V&lt;&gt;"",ELC_PNL_VLT_V+"V","") + " " + if(ELC_PNL_PHS_COUNT_NR&lt;&gt;"",ELC_PNL_PHS_COUNT_NR+"-phase","") + ", " + if(ELC_PNL_NUM_OF_WAYS_NR&lt;&gt;"",ELC_PNL_NUM_OF_WAYS_NR+" ways","?W") + ". Main: " + if(ELC_PNL_MAIN_BRK_A&lt;&gt;"",ELC_PNL_MAIN_BRK_A+"A","TBC") + ". Fault: " + if(ELC_PNL_SHORT_CIRCUIT_KA&lt;&gt;"",ELC_PNL_SHORT_CIRCUIT_KA+"kA","TBC") + ".") + " | " + ("Load: " + </t>
        </is>
      </c>
      <c r="F23" s="223" t="inlineStr">
        <is>
          <t>3-state paragraph for Elec. Equipment
(DB Panels). S1=compact, S2=standard, S3=comprehensive. Gated by TAG_PARA_STATE_1/2/3_BOOL.</t>
        </is>
      </c>
      <c r="G23" s="223" t="inlineStr">
        <is>
          <t>ASS_QA_TEST_REPORT_TXT, ELC_CBL_FEEDER_SZ_MM2, ELC_PNL_CONNECTED_LOAD_KW, ELC_PNL_DESIGNATION_NAME_TXT, ELC_PNL_IP_RATING_TXT, ELC_PNL_MAIN_BRK_A, ELC_PNL_NUM_OF_WAYS_NR, ELC_PNL_PHS_COUNT_NR, ELC_PNL_RATED_KW, ELC_PNL_SHORT_CIRCUIT_KA, ELC_PNL_SPARE_WAYS_NR, ELC_PNL_VLT_V, RGL_KCCA_APPROVAL_TXT, RGL_NEMA_APPROVAL_TXT, RGL_UMEME_APPROVAL_TXT, TAG_PARA_STATE_1_BOOL, TAG_PARA_STATE_2_BOOL, TAG_PARA_STATE_3_BOOL, TAG_WARN_VISIBLE_BOOL</t>
        </is>
      </c>
      <c r="H23" s="223" t="inlineStr">
        <is>
          <t>text</t>
        </is>
      </c>
      <c r="I23" s="223" t="n">
        <v>1</v>
      </c>
      <c r="J23" s="223" t="inlineStr">
        <is>
          <t>3f4684f4-9274-5275-993a-85c7b190fcac</t>
        </is>
      </c>
      <c r="K23" s="223" t="inlineStr"/>
      <c r="L23" s="223" t="inlineStr"/>
    </row>
    <row r="24">
      <c r="A24" s="229" t="inlineStr">
        <is>
          <t>PARAGRAPH</t>
        </is>
      </c>
      <c r="B24" s="223" t="inlineStr">
        <is>
          <t>LTG_TAG_7_PARA_SPEC_TXT</t>
        </is>
      </c>
      <c r="C24" s="223" t="inlineStr">
        <is>
          <t>ELECTRICAL</t>
        </is>
      </c>
      <c r="D24" s="223" t="inlineStr">
        <is>
          <t>TEXT</t>
        </is>
      </c>
      <c r="E24" s="223" t="inlineStr">
        <is>
          <t>if(TAG_PARA_STATE_3_BOOL, (if(LTG_FIX_TYPE_CLASSIFICATION_TXT&lt;&gt;"",LTG_FIX_TYPE_CLASSIFICATION_TXT,"Luminaire") + " " + if(LTG_FIX_LMP_WATTAGE_W&lt;&gt;"",LTG_FIX_LMP_WATTAGE_W+"W","?W") + " LED, " + if(ASS_DESCRIPTION_TXT&lt;&gt;"",ASS_DESCRIPTION_TXT,"") + ". Mounting: " + if(LTG_FIX_MOUNTING_TXT&lt;&gt;"",LTG_FIX_MOUNTING_TXT,"TBC") + ". By " + if(ASS_MANUFACTURER_TXT&lt;&gt;"",ASS_MANUFACTURER_TXT,"TBC") + " (Type " + if(ASS_EQUIPMENT_TAG_TXT&lt;&gt;"",ASS_EQUIPMENT_TAG_TXT,"?") + ").") + " | " + ("Efficacy: " + if(LTG_EF</t>
        </is>
      </c>
      <c r="F24" s="223" t="inlineStr">
        <is>
          <t>3-state paragraph for Lighting Fixtures. S1=compact, S2=standard, S3=comprehensive. Gated by TAG_PARA_STATE_1/2/3_BOOL.</t>
        </is>
      </c>
      <c r="G24" s="223" t="inlineStr">
        <is>
          <t>ASS_DESCRIPTION_TXT, ASS_EQUIPMENT_TAG_TXT, ASS_MANUFACTURER_TXT, LTG_CLR_CCT_K_NR, LTG_CLR_CRI_NR, LTG_EFFICACY_LM_W, LTG_FIX_CTRL_INTERFACE_TXT, LTG_FIX_DALI_BOOL, LTG_FIX_EMERGENCY_BOOL, LTG_FIX_IP_RATING_TXT, LTG_FIX_LMP_WATTAGE_W, LTG_FIX_MOUNTING_TXT, LTG_FIX_TYPE_CLASSIFICATION_TXT, RGL_UMEME_APPROVAL_TXT, TAG_PARA_STATE_1_BOOL, TAG_PARA_STATE_2_BOOL, TAG_PARA_STATE_3_BOOL, TAG_WARN_VISIBLE_BOOL</t>
        </is>
      </c>
      <c r="H24" s="223" t="inlineStr">
        <is>
          <t>text</t>
        </is>
      </c>
      <c r="I24" s="223" t="n">
        <v>1</v>
      </c>
      <c r="J24" s="223" t="inlineStr">
        <is>
          <t>a3e34fde-ee41-57f0-aef6-f762cd0cee64</t>
        </is>
      </c>
      <c r="K24" s="223" t="inlineStr"/>
      <c r="L24" s="223" t="inlineStr"/>
    </row>
    <row r="25">
      <c r="A25" s="229" t="inlineStr">
        <is>
          <t>PARAGRAPH</t>
        </is>
      </c>
      <c r="B25" s="223" t="inlineStr">
        <is>
          <t>ELC_TAG_7_PARA_CIRCUIT_TXT</t>
        </is>
      </c>
      <c r="C25" s="223" t="inlineStr">
        <is>
          <t>ELECTRICAL</t>
        </is>
      </c>
      <c r="D25" s="223" t="inlineStr">
        <is>
          <t>TEXT</t>
        </is>
      </c>
      <c r="E25" s="223" t="inlineStr">
        <is>
          <t>if(TAG_PARA_STATE_3_BOOL, (if(ASS_DESCRIPTION_TXT&lt;&gt;"",ASS_DESCRIPTION_TXT,"Electrical fixture") + ". Circuit: " + if(ELC_CKT_CBL_TYPE_TXT&lt;&gt;"",ELC_CKT_CBL_TYPE_TXT,"TBC") + " cable, " + if(ELC_CDT_SZ_MM&lt;&gt;"",ELC_CDT_SZ_MM+"mm","?mm") + " PVC conduit " + if(ELC_CDT_INSTALL_METHOD_TXT&lt;&gt;"",ELC_CDT_INSTALL_METHOD_TXT,"") + ".") + " | " + ("VD: " + if(ELC_VLT_DROP_PCT&lt;&gt;"",ELC_VLT_DROP_PCT+"%","TBC") + ". Rating: " + if(ELC_CKT_BRK_RATING_A&lt;&gt;"",ELC_CKT_BRK_RATING_A+"A","TBC") + ". DB: " + if(ELC_PNL_DES</t>
        </is>
      </c>
      <c r="F25" s="223" t="inlineStr">
        <is>
          <t>3-state paragraph for Elec. Fixtures
(Points &amp; Sockets). S1=compact, S2=standard, S3=comprehensive. Gated by TAG_PARA_STATE_1/2/3_BOOL.</t>
        </is>
      </c>
      <c r="G25" s="223" t="inlineStr">
        <is>
          <t>ASS_DESCRIPTION_TXT, ASS_MANUFACTURER_TXT, ASS_QA_CERT_TXT, ELC_CDT_INSTALL_METHOD_TXT, ELC_CDT_SZ_MM, ELC_CKT_BRK_RATING_A, ELC_CKT_CBL_TYPE_TXT, ELC_PNL_DESIGNATION_NAME_TXT, ELC_VLT_DROP_PCT, RGL_UMEME_APPROVAL_TXT, TAG_PARA_STATE_1_BOOL, TAG_PARA_STATE_2_BOOL, TAG_PARA_STATE_3_BOOL, TAG_WARN_VISIBLE_BOOL</t>
        </is>
      </c>
      <c r="H25" s="223" t="inlineStr">
        <is>
          <t>text</t>
        </is>
      </c>
      <c r="I25" s="223" t="n">
        <v>1</v>
      </c>
      <c r="J25" s="223" t="inlineStr">
        <is>
          <t>2f21931c-6b91-50e6-856d-dc2b138c965a</t>
        </is>
      </c>
      <c r="K25" s="223" t="inlineStr"/>
      <c r="L25" s="223" t="inlineStr"/>
    </row>
    <row r="26">
      <c r="A26" s="229" t="inlineStr">
        <is>
          <t>PARAGRAPH</t>
        </is>
      </c>
      <c r="B26" s="223" t="inlineStr">
        <is>
          <t>ELC_TAG_7_PARA_CONDUIT_TXT</t>
        </is>
      </c>
      <c r="C26" s="223" t="inlineStr">
        <is>
          <t>ELECTRICAL</t>
        </is>
      </c>
      <c r="D26" s="223" t="inlineStr">
        <is>
          <t>TEXT</t>
        </is>
      </c>
      <c r="E26" s="223" t="inlineStr">
        <is>
          <t>if(TAG_PARA_STATE_3_BOOL, (if(ELC_CDT_SZ_MM&lt;&gt;"",ELC_CDT_SZ_MM+"mm","?mm") + " " + if(ELC_CDT_MAT_TXT&lt;&gt;"",ELC_CDT_MAT_TXT,"PVC") + " conduit, " + if(ELC_CDT_INSTALL_METHOD_TXT&lt;&gt;"",ELC_CDT_INSTALL_METHOD_TXT,"") + " installation. Fill: " + if(ELC_CDT_CBL_FILL_PCT&lt;&gt;"",ELC_CDT_CBL_FILL_PCT+"%","TBC") + ".") + " | " + ("Cable: " + if(ELC_CBL_TYPE_TXT&lt;&gt;"",ELC_CBL_TYPE_TXT,"TBC") + " " + if(ELC_CBL_CORES_NR&lt;&gt;"",ELC_CBL_CORES_NR+"c×","") + if(ELC_CBL_SZ_MM2&lt;&gt;"",ELC_CBL_SZ_MM2+"mm²","TBC") + ". Load curr</t>
        </is>
      </c>
      <c r="F26" s="223" t="inlineStr">
        <is>
          <t>3-state paragraph for Conduits. S1=compact, S2=standard, S3=comprehensive. Gated by TAG_PARA_STATE_1/2/3_BOOL.</t>
        </is>
      </c>
      <c r="G26" s="223" t="inlineStr">
        <is>
          <t>ASS_QA_CERT_TXT, ELC_CBL_CORES_NR, ELC_CBL_DEST_TXT, ELC_CBL_LOAD_A, ELC_CBL_SOURCE_TXT, ELC_CBL_SZ_MM2, ELC_CBL_TYPE_TXT, ELC_CDT_CBL_FILL_PCT, ELC_CDT_INSTALL_METHOD_TXT, ELC_CDT_MAT_TXT, ELC_CDT_SZ_MM, RGL_STD_TXT, TAG_PARA_STATE_1_BOOL, TAG_PARA_STATE_2_BOOL, TAG_PARA_STATE_3_BOOL, TAG_WARN_VISIBLE_BOOL</t>
        </is>
      </c>
      <c r="H26" s="223" t="inlineStr">
        <is>
          <t>text</t>
        </is>
      </c>
      <c r="I26" s="223" t="n">
        <v>1</v>
      </c>
      <c r="J26" s="223" t="inlineStr">
        <is>
          <t>e035389f-58b4-567e-a820-0d674ee6c2b8</t>
        </is>
      </c>
      <c r="K26" s="223" t="inlineStr"/>
      <c r="L26" s="223" t="inlineStr"/>
    </row>
    <row r="27">
      <c r="A27" s="229" t="inlineStr">
        <is>
          <t>PARAGRAPH</t>
        </is>
      </c>
      <c r="B27" s="223" t="inlineStr">
        <is>
          <t>ELC_TAG_7_PARA_TRAY_TXT</t>
        </is>
      </c>
      <c r="C27" s="223" t="inlineStr">
        <is>
          <t>ELECTRICAL</t>
        </is>
      </c>
      <c r="D27" s="223" t="inlineStr">
        <is>
          <t>TEXT</t>
        </is>
      </c>
      <c r="E27" s="223" t="inlineStr">
        <is>
          <t>if(TAG_PARA_STATE_3_BOOL, (if(ELC_CTR_WIDTH_MM&lt;&gt;"",ELC_CTR_WIDTH_MM+"x","?x") + if(ELC_CTR_DEPTH_MM&lt;&gt;"",ELC_CTR_DEPTH_MM+"mm","?mm") + " " + if(ELC_CTR_MAT_TXT&lt;&gt;"",ELC_CTR_MAT_TXT,"steel") + " cable tray. Fill: " + if(ELC_CTR_FILL_PCT&lt;&gt;"",ELC_CTR_FILL_PCT+"%","TBC") + ".") + " | " + ("Cable: " + if(ELC_CBL_TYPE_TXT&lt;&gt;"",ELC_CBL_TYPE_TXT,"TBC") + ". Load: " + if(ELC_CBL_LOAD_A&lt;&gt;"",ELC_CBL_LOAD_A+"A","TBC") + ". Support spacing: " + if(ELC_CTR_SUPPORT_SPACING_MM&lt;&gt;"",ELC_CTR_SUPPORT_SPACING_MM+"mm",</t>
        </is>
      </c>
      <c r="F27" s="223" t="inlineStr">
        <is>
          <t>3-state paragraph for Cable Trays. S1=compact, S2=standard, S3=comprehensive. Gated by TAG_PARA_STATE_1/2/3_BOOL.</t>
        </is>
      </c>
      <c r="G27" s="223" t="inlineStr">
        <is>
          <t>ASS_INSPECT_FREQ_TXT, ASS_QA_CERT_TXT, ELC_CBL_LOAD_A, ELC_CBL_TYPE_TXT, ELC_CTR_DEPTH_MM, ELC_CTR_FILL_PCT, ELC_CTR_MAT_TXT, ELC_CTR_SUPPORT_SPACING_MM, ELC_CTR_WIDTH_MM, ELC_EARTH_TXT, TAG_PARA_STATE_1_BOOL, TAG_PARA_STATE_2_BOOL, TAG_PARA_STATE_3_BOOL, TAG_WARN_VISIBLE_BOOL</t>
        </is>
      </c>
      <c r="H27" s="223" t="inlineStr">
        <is>
          <t>text</t>
        </is>
      </c>
      <c r="I27" s="223" t="n">
        <v>1</v>
      </c>
      <c r="J27" s="223" t="inlineStr">
        <is>
          <t>a0837add-84a6-525b-9339-02d5d01105d6</t>
        </is>
      </c>
      <c r="K27" s="223" t="inlineStr"/>
      <c r="L27" s="223" t="inlineStr"/>
    </row>
    <row r="28">
      <c r="A28" s="229" t="inlineStr">
        <is>
          <t>PARAGRAPH</t>
        </is>
      </c>
      <c r="B28" s="223" t="inlineStr">
        <is>
          <t>PLM_TAG_7_PARA_PIPE_TXT</t>
        </is>
      </c>
      <c r="C28" s="223" t="inlineStr">
        <is>
          <t>PLUMBING</t>
        </is>
      </c>
      <c r="D28" s="223" t="inlineStr">
        <is>
          <t>TEXT</t>
        </is>
      </c>
      <c r="E28" s="223" t="inlineStr">
        <is>
          <t>if(TAG_PARA_STATE_3_BOOL, (if(PLM_PPE_SZ_MM&lt;&gt;"",PLM_PPE_SZ_MM+"mm","?mm") + " " + if(PLM_PPE_MAT_TXT&lt;&gt;"",PLM_PPE_MAT_TXT,"pipe") + " pipe " + if(PLM_PPE_PSR_RATING_BAR&lt;&gt;"","PN"+PLM_PPE_PSR_RATING_BAR,"") + " complete with fittings. System: " + if(ASS_SYSTEM_TYPE_TXT&lt;&gt;"",ASS_SYSTEM_TYPE_TXT,"TBC") + ".") + " | " + ("Flow: " + if(PLM_PPE_FLW_LPS&lt;&gt;"",PLM_PPE_FLW_LPS+"L/s","TBC") + ". Velocity: " + if(PLM_VEL_MPS&lt;&gt;"",PLM_VEL_MPS+"m/s","TBC") + ". Pressure: " + if(PLM_PSR_KPA&lt;&gt;"",PLM_PSR_KPA+"kPa","T</t>
        </is>
      </c>
      <c r="F28" s="223" t="inlineStr">
        <is>
          <t>3-state paragraph for Pipes. S1=compact, S2=standard, S3=comprehensive. Gated by TAG_PARA_STATE_1/2/3_BOOL.</t>
        </is>
      </c>
      <c r="G28" s="223" t="inlineStr">
        <is>
          <t>ASS_SYSTEM_TYPE_TXT, PLM_PPE_FLW_LPS, PLM_PPE_INSULATION_TXT, PLM_PPE_MAT_TXT, PLM_PPE_PSR_RATING_BAR, PLM_PPE_SZ_MM, PLM_PPE_TEST_PSR_BAR, PLM_PPE_TRACER_WIRE_BOOL, PLM_PSR_KPA, PLM_VEL_MPS, RGL_NWSC_APPROVAL_TXT, TAG_PARA_STATE_1_BOOL, TAG_PARA_STATE_2_BOOL, TAG_PARA_STATE_3_BOOL, TAG_WARN_VISIBLE_BOOL</t>
        </is>
      </c>
      <c r="H28" s="223" t="inlineStr">
        <is>
          <t>text</t>
        </is>
      </c>
      <c r="I28" s="223" t="n">
        <v>1</v>
      </c>
      <c r="J28" s="223" t="inlineStr">
        <is>
          <t>80d8eccd-69a8-5a0d-915a-01d23118e0ab</t>
        </is>
      </c>
      <c r="K28" s="223" t="inlineStr"/>
      <c r="L28" s="223" t="inlineStr"/>
    </row>
    <row r="29">
      <c r="A29" s="229" t="inlineStr">
        <is>
          <t>PARAGRAPH</t>
        </is>
      </c>
      <c r="B29" s="223" t="inlineStr">
        <is>
          <t>PLM_TAG_7_PARA_FIXTURE_TXT</t>
        </is>
      </c>
      <c r="C29" s="223" t="inlineStr">
        <is>
          <t>PLUMBING</t>
        </is>
      </c>
      <c r="D29" s="223" t="inlineStr">
        <is>
          <t>TEXT</t>
        </is>
      </c>
      <c r="E29" s="223" t="inlineStr">
        <is>
          <t>if(TAG_PARA_STATE_3_BOOL, ("This " + if(ASS_DESCRIPTION_TXT&lt;&gt;"",ASS_DESCRIPTION_TXT,"sanitary fixture") + ". " + if(PLM_PPE_MAT_TXT&lt;&gt;"",PLM_PPE_MAT_TXT,"") + " body, DN" + if(PLM_PPE_SZ_MM&lt;&gt;"",PLM_PPE_SZ_MM,"?") + ". Drain: " + if(PLM_DRN_BODY_MAT_TXT&lt;&gt;"",PLM_DRN_BODY_MAT_TXT,"TBC") + " with " + if(PLM_DRN_TRAP_TYPE_TXT&lt;&gt;"",PLM_DRN_TRAP_TYPE_TXT,"trap TBC") + ". By " + if(ASS_MANUFACTURER_TXT&lt;&gt;"",ASS_MANUFACTURER_TXT,"TBC") + " model " + if(ASS_MODEL_NR_TXT&lt;&gt;"",ASS_MODEL_NR_TXT,"TBC") + ".") + "</t>
        </is>
      </c>
      <c r="F29" s="223" t="inlineStr">
        <is>
          <t>3-state paragraph for Plumbing Fixtures. S1=compact, S2=standard, S3=comprehensive. Gated by TAG_PARA_STATE_1/2/3_BOOL.</t>
        </is>
      </c>
      <c r="G29" s="223" t="inlineStr">
        <is>
          <t>ASS_DESCRIPTION_TXT, ASS_INSPECT_FREQ_TXT, ASS_MANUFACTURER_TXT, ASS_MODEL_NR_TXT, ASS_WARRANTY_TXT, PLM_DRN_BODY_MAT_TXT, PLM_DRN_TRAP_TYPE_TXT, PLM_HOTWTR_RECOVERY_L_H, PLM_HOTWTR_TEMP_C, PLM_PPE_FLW_LPS, PLM_PPE_MAT_TXT, PLM_PPE_SZ_MM, PLM_PSR_KPA, RGL_ACCESS_CLEAR_WIDTH_MM, RGL_NWSC_APPROVAL_TXT, TAG_PARA_STATE_1_BOOL, TAG_PARA_STATE_2_BOOL, TAG_PARA_STATE_3_BOOL, TAG_WARN_VISIBLE_BOOL</t>
        </is>
      </c>
      <c r="H29" s="223" t="inlineStr">
        <is>
          <t>text</t>
        </is>
      </c>
      <c r="I29" s="223" t="n">
        <v>1</v>
      </c>
      <c r="J29" s="223" t="inlineStr">
        <is>
          <t>224e3954-97ca-5715-b935-bf9c4c124241</t>
        </is>
      </c>
      <c r="K29" s="223" t="inlineStr"/>
      <c r="L29" s="223" t="inlineStr"/>
    </row>
    <row r="30">
      <c r="A30" s="229" t="inlineStr">
        <is>
          <t>PARAGRAPH</t>
        </is>
      </c>
      <c r="B30" s="223" t="inlineStr">
        <is>
          <t>PLM_TAG_7_PARA_EQUIPMENT_TXT</t>
        </is>
      </c>
      <c r="C30" s="223" t="inlineStr">
        <is>
          <t>PLUMBING</t>
        </is>
      </c>
      <c r="D30" s="223" t="inlineStr">
        <is>
          <t>TEXT</t>
        </is>
      </c>
      <c r="E30" s="223" t="inlineStr">
        <is>
          <t>if(TAG_PARA_STATE_3_BOOL, ("This " + if(ASS_DESCRIPTION_TXT&lt;&gt;"",ASS_DESCRIPTION_TXT,"plumbing equipment") + ", " + if(PLM_CAP_CU_M&lt;&gt;"",PLM_CAP_CU_M+"m³","?m³") + " capacity, " + if(PLM_PWR_KW&lt;&gt;"",PLM_PWR_KW+"kW","?kW") + ", " + if(PLM_HED_M&lt;&gt;"",PLM_HED_M+"m head","?m head") + ". By " + if(ASS_MANUFACTURER_TXT&lt;&gt;"",ASS_MANUFACTURER_TXT,"TBC") + " model " + if(ASS_MODEL_NR_TXT&lt;&gt;"",ASS_MODEL_NR_TXT,"TBC") + ".") + " | " + ("Fuel: " + if(PLM_HOTWTR_FUEL_TXT&lt;&gt;"",PLM_HOTWTR_FUEL_TXT,"TBC") + ". Control</t>
        </is>
      </c>
      <c r="F30" s="223" t="inlineStr">
        <is>
          <t>3-state paragraph for Plumbing Equipment. S1=compact, S2=standard, S3=comprehensive. Gated by TAG_PARA_STATE_1/2/3_BOOL.</t>
        </is>
      </c>
      <c r="G30" s="223" t="inlineStr">
        <is>
          <t>ASS_DESCRIPTION_TXT, ASS_INSPECT_FREQ_TXT, ASS_MANUFACTURER_TXT, ASS_MODEL_NR_TXT, ASS_WARRANTY_TXT, ELC_PNL_VLT_V, HVC_CONTROL_TYPE_TXT, PLM_CAP_CU_M, PLM_HED_M, PLM_HOTWTR_FUEL_TXT, PLM_PWR_KW, RGL_NWSC_APPROVAL_TXT, TAG_PARA_STATE_1_BOOL, TAG_PARA_STATE_2_BOOL, TAG_PARA_STATE_3_BOOL, TAG_WARN_VISIBLE_BOOL</t>
        </is>
      </c>
      <c r="H30" s="223" t="inlineStr">
        <is>
          <t>text</t>
        </is>
      </c>
      <c r="I30" s="223" t="n">
        <v>1</v>
      </c>
      <c r="J30" s="223" t="inlineStr">
        <is>
          <t>bf7affae-dec5-5843-9cf1-a7253e9dd3b7</t>
        </is>
      </c>
      <c r="K30" s="223" t="inlineStr"/>
      <c r="L30" s="223" t="inlineStr"/>
    </row>
    <row r="31">
      <c r="A31" s="229" t="inlineStr">
        <is>
          <t>PARAGRAPH</t>
        </is>
      </c>
      <c r="B31" s="223" t="inlineStr">
        <is>
          <t>PLM_TAG_7_PARA_PIPEACC_TXT</t>
        </is>
      </c>
      <c r="C31" s="223" t="inlineStr">
        <is>
          <t>PLUMBING</t>
        </is>
      </c>
      <c r="D31" s="223" t="inlineStr">
        <is>
          <t>TEXT</t>
        </is>
      </c>
      <c r="E31" s="223" t="inlineStr">
        <is>
          <t xml:space="preserve">if(TAG_PARA_STATE_3_BOOL, ("This " + if(ASS_DESCRIPTION_TXT&lt;&gt;"",ASS_DESCRIPTION_TXT,"pipe accessory") + ", " + if(PLM_VLV_BODY_MAT_TXT&lt;&gt;"",PLM_VLV_BODY_MAT_TXT,"") + " body, DN" + if(PLM_VLV_SZ_NR&lt;&gt;"",PLM_VLV_SZ_NR,"?") + ", Cv " + if(PLM_VLV_CV_NR&lt;&gt;"",PLM_VLV_CV_NR,"TBC") + ", PN" + if(PLM_PSR_KPA&lt;&gt;"",PLM_PSR_KPA,"?") + "bar.") + " | " + ("Type: " + if(PLM_VLV_TYPE_TXT&lt;&gt;"",PLM_VLV_TYPE_TXT,"TBC") + ". Actuator: " + if(PLM_VLV_ACTUATOR_TXT&lt;&gt;"",PLM_VLV_ACTUATOR_TXT,"manual") + ". End connection: </t>
        </is>
      </c>
      <c r="F31" s="223" t="inlineStr">
        <is>
          <t>3-state paragraph for Pipe Accessories. S1=compact, S2=standard, S3=comprehensive. Gated by TAG_PARA_STATE_1/2/3_BOOL.</t>
        </is>
      </c>
      <c r="G31" s="223" t="inlineStr">
        <is>
          <t>ASS_DESCRIPTION_TXT, ASS_INSPECT_FREQ_TXT, ASS_QA_CERT_TXT, ASS_WARRANTY_TXT, PLM_PSR_KPA, PLM_VLV_ACTUATOR_TXT, PLM_VLV_BODY_MAT_TXT, PLM_VLV_CV_NR, PLM_VLV_END_CONN_TXT, PLM_VLV_SZ_NR, PLM_VLV_TYPE_TXT, RGL_STD_TXT, TAG_PARA_STATE_1_BOOL, TAG_PARA_STATE_2_BOOL, TAG_PARA_STATE_3_BOOL, TAG_WARN_VISIBLE_BOOL</t>
        </is>
      </c>
      <c r="H31" s="223" t="inlineStr">
        <is>
          <t>text</t>
        </is>
      </c>
      <c r="I31" s="223" t="n">
        <v>1</v>
      </c>
      <c r="J31" s="223" t="inlineStr">
        <is>
          <t>cc56afc1-ec0a-542f-9f9b-35fc7f6e982a</t>
        </is>
      </c>
      <c r="K31" s="223" t="inlineStr"/>
      <c r="L31" s="223" t="inlineStr"/>
    </row>
    <row r="32">
      <c r="A32" s="229" t="inlineStr">
        <is>
          <t>PARAGRAPH</t>
        </is>
      </c>
      <c r="B32" s="223" t="inlineStr">
        <is>
          <t>FLS_TAG_7_PARA_FA_TXT</t>
        </is>
      </c>
      <c r="C32" s="223" t="inlineStr">
        <is>
          <t>FIRE</t>
        </is>
      </c>
      <c r="D32" s="223" t="inlineStr">
        <is>
          <t>TEXT</t>
        </is>
      </c>
      <c r="E32" s="223" t="inlineStr">
        <is>
          <t>if(TAG_PARA_STATE_3_BOOL, (if(FLS_SFTY_DEV_TYPE_TXT&lt;&gt;"",FLS_SFTY_DEV_TYPE_TXT,"Fire alarm device") + " point, " + if(ELC_CDT_SZ_MM&lt;&gt;"",ELC_CDT_SZ_MM+"mm","?mm") + " heavy gauge PVC " + if(ELC_CDT_INSTALL_METHOD_TXT&lt;&gt;"",ELC_CDT_INSTALL_METHOD_TXT,"") + " conduit complete with all accessories.") + " | " + ("Coverage: " + if(FLS_SFTY_COVERAGE_AREA_SQ_M&lt;&gt;"",FLS_SFTY_COVERAGE_AREA_SQ_M+"m²","TBC") + ". Zone: " + if(FLS_SFTY_ZONE_NR&lt;&gt;"",FLS_SFTY_ZONE_NR,"TBC") + ". Loop: " + if(FLS_SFTY_LOOP_NR&lt;&gt;"",FL</t>
        </is>
      </c>
      <c r="F32" s="223" t="inlineStr">
        <is>
          <t>3-state paragraph for Fire Alarm Devices. S1=compact, S2=standard, S3=comprehensive. Gated by TAG_PARA_STATE_1/2/3_BOOL.</t>
        </is>
      </c>
      <c r="G32" s="223" t="inlineStr">
        <is>
          <t>ASS_QA_CERT_TXT, ELC_CDT_INSTALL_METHOD_TXT, ELC_CDT_SZ_MM, ELC_PNL_DESIGNATION_NAME_TXT, FLS_SFTY_COVERAGE_AREA_SQ_M, FLS_SFTY_DEV_TYPE_TXT, FLS_SFTY_LOOP_NR, FLS_SFTY_ZONE_NR, RGL_KCCA_APPROVAL_TXT, TAG_PARA_STATE_1_BOOL, TAG_PARA_STATE_2_BOOL, TAG_PARA_STATE_3_BOOL, TAG_WARN_VISIBLE_BOOL</t>
        </is>
      </c>
      <c r="H32" s="223" t="inlineStr">
        <is>
          <t>text</t>
        </is>
      </c>
      <c r="I32" s="223" t="n">
        <v>1</v>
      </c>
      <c r="J32" s="223" t="inlineStr">
        <is>
          <t>b4c8f661-0a7e-5763-8043-49a4647f023f</t>
        </is>
      </c>
      <c r="K32" s="223" t="inlineStr"/>
      <c r="L32" s="223" t="inlineStr"/>
    </row>
    <row r="33">
      <c r="A33" s="229" t="inlineStr">
        <is>
          <t>PARAGRAPH</t>
        </is>
      </c>
      <c r="B33" s="223" t="inlineStr">
        <is>
          <t>FLS_TAG_7_PARA_SPR_TXT</t>
        </is>
      </c>
      <c r="C33" s="223" t="inlineStr">
        <is>
          <t>FIRE</t>
        </is>
      </c>
      <c r="D33" s="223" t="inlineStr">
        <is>
          <t>TEXT</t>
        </is>
      </c>
      <c r="E33" s="223" t="inlineStr">
        <is>
          <t>if(TAG_PARA_STATE_3_BOOL, ("Sprinkler head " + if(FLS_SFTY_TEMP_RATING_C&lt;&gt;"",FLS_SFTY_TEMP_RATING_C+"°C","?°C") + " resistant. Flow: " + if(FLS_SFTY_FLW_RATE_LPM_NR&lt;&gt;"",FLS_SFTY_FLW_RATE_LPM_NR+"L/min","TBC") + ". Coverage: " + if(FLS_SFTY_COVERAGE_AREA_SQ_M&lt;&gt;"",FLS_SFTY_COVERAGE_AREA_SQ_M+"m²","TBC") + ".") + " | " + ("Type: " + if(FLS_SFTY_DEV_TYPE_TXT&lt;&gt;"",FLS_SFTY_DEV_TYPE_TXT,"TBC") + ". K-factor: " + if(FLS_SFTY_K_FACTOR_NR&lt;&gt;"",FLS_SFTY_K_FACTOR_NR,"TBC") + ". RTI: " + if(FLS_SFTY_RTI_TXT&lt;&gt;</t>
        </is>
      </c>
      <c r="F33" s="223" t="inlineStr">
        <is>
          <t>3-state paragraph for Sprinklers. S1=compact, S2=standard, S3=comprehensive. Gated by TAG_PARA_STATE_1/2/3_BOOL.</t>
        </is>
      </c>
      <c r="G33" s="223" t="inlineStr">
        <is>
          <t>ASS_QA_CERT_TXT, FLS_SFTY_COVERAGE_AREA_SQ_M, FLS_SFTY_DEV_TYPE_TXT, FLS_SFTY_FLW_RATE_LPM_NR, FLS_SFTY_HAZARD_CLASS_TXT, FLS_SFTY_K_FACTOR_NR, FLS_SFTY_RTI_TXT, FLS_SFTY_TEMP_RATING_C, FLS_SFTY_ZONE_NR, TAG_PARA_STATE_1_BOOL, TAG_PARA_STATE_2_BOOL, TAG_PARA_STATE_3_BOOL, TAG_WARN_VISIBLE_BOOL</t>
        </is>
      </c>
      <c r="H33" s="223" t="inlineStr">
        <is>
          <t>text</t>
        </is>
      </c>
      <c r="I33" s="223" t="n">
        <v>1</v>
      </c>
      <c r="J33" s="223" t="inlineStr">
        <is>
          <t>3b1cbb9c-d07b-5ca4-95cd-8f178d555b1c</t>
        </is>
      </c>
      <c r="K33" s="223" t="inlineStr"/>
      <c r="L33" s="223" t="inlineStr"/>
    </row>
    <row r="34">
      <c r="A34" s="229" t="inlineStr">
        <is>
          <t>PARAGRAPH</t>
        </is>
      </c>
      <c r="B34" s="223" t="inlineStr">
        <is>
          <t>COM_TAG_7_PARA_BMS_TXT</t>
        </is>
      </c>
      <c r="C34" s="223" t="inlineStr">
        <is>
          <t>ELECTRICAL</t>
        </is>
      </c>
      <c r="D34" s="223" t="inlineStr">
        <is>
          <t>TEXT</t>
        </is>
      </c>
      <c r="E34" s="223" t="inlineStr">
        <is>
          <t>if(TAG_PARA_STATE_3_BOOL, ("This " + if(COM_C_DEV_TYPE_TXT&lt;&gt;"",COM_C_DEV_TYPE_TXT,"BMS device") + ", network " + if(COM_C_NETWORK_ADDRESS_TXT&lt;&gt;"",COM_C_NETWORK_ADDRESS_TXT,"TBC") + ", BACnet instance " + if(COM_C_DEV_BACNET_INSTANCE_INT&lt;&gt;"",COM_C_DEV_BACNET_INSTANCE_INT,"?") + ". Controller: " + if(COM_C_DEV_CONTROLLER_NAME_TXT&lt;&gt;"",COM_C_DEV_CONTROLLER_NAME_TXT,"TBC") + ".") + " | " + ("Protocol: " + if(COM_C_PROTOCOL_TXT&lt;&gt;"",COM_C_PROTOCOL_TXT,"BACnet/IP") + ". Range: " + if(COM_C_MEAS_RANGE_TX</t>
        </is>
      </c>
      <c r="F34" s="223" t="inlineStr">
        <is>
          <t>3-state paragraph for Communication Devices
(BMS). S1=compact, S2=standard, S3=comprehensive. Gated by TAG_PARA_STATE_1/2/3_BOOL.</t>
        </is>
      </c>
      <c r="G34" s="223" t="inlineStr">
        <is>
          <t>ASS_INSPECT_FREQ_TXT, ASS_INST_DETAIL_NUM_TXT, ASS_QA_CERT_TXT, COM_C_DEV_BACNET_INSTANCE_INT, COM_C_DEV_CONTROLLER_NAME_TXT, COM_C_DEV_TYPE_TXT, COM_C_MEAS_RANGE_TXT, COM_C_NETWORK_ADDRESS_TXT, COM_C_PROTOCOL_TXT, ELC_CBL_TYPE_TXT, ELC_PNL_VLT_V, TAG_PARA_STATE_1_BOOL, TAG_PARA_STATE_2_BOOL, TAG_PARA_STATE_3_BOOL, TAG_WARN_VISIBLE_BOOL</t>
        </is>
      </c>
      <c r="H34" s="223" t="inlineStr">
        <is>
          <t>text</t>
        </is>
      </c>
      <c r="I34" s="223" t="n">
        <v>1</v>
      </c>
      <c r="J34" s="223" t="inlineStr">
        <is>
          <t>10c0be4c-8534-5a16-85a5-2c2c5335e6bf</t>
        </is>
      </c>
      <c r="K34" s="223" t="inlineStr"/>
      <c r="L34" s="223" t="inlineStr"/>
    </row>
    <row r="35">
      <c r="A35" s="229" t="inlineStr">
        <is>
          <t>PARAGRAPH</t>
        </is>
      </c>
      <c r="B35" s="223" t="inlineStr">
        <is>
          <t>ICT_TAG_7_PARA_DATA_TXT</t>
        </is>
      </c>
      <c r="C35" s="223" t="inlineStr">
        <is>
          <t>ELECTRICAL</t>
        </is>
      </c>
      <c r="D35" s="223" t="inlineStr">
        <is>
          <t>TEXT</t>
        </is>
      </c>
      <c r="E35" s="223" t="inlineStr">
        <is>
          <t>if(TAG_PARA_STATE_3_BOOL, (if(ICT_OUTLET_TYPE_TXT&lt;&gt;"",ICT_OUTLET_TYPE_TXT,"Data") + " outlet, port " + if(ICT_PORT_NR&lt;&gt;"",ICT_PORT_NR,"?") + ", patch panel " + if(ICT_PATCH_PANEL_TXT&lt;&gt;"",ICT_PATCH_PANEL_TXT,"TBC") + ". Type: " + if(COM_C_DEV_TYPE_TXT&lt;&gt;"",COM_C_DEV_TYPE_TXT,"TBC") + ".") + " | " + ("Cable: " + if(ELC_CBL_SZ_MM2&lt;&gt;"",ELC_CBL_SZ_MM2+"mm² Cat","TBC Cat") + if(ICT_CAT_RATING_TXT&lt;&gt;"",ICT_CAT_RATING_TXT,"?") + ". Conduit: " + if(ELC_CDT_SZ_MM&lt;&gt;"",ELC_CDT_SZ_MM+"mm PVC","TBC") + ".") + "</t>
        </is>
      </c>
      <c r="F35" s="223" t="inlineStr">
        <is>
          <t>3-state paragraph for Data / Telephone Devices. S1=compact, S2=standard, S3=comprehensive. Gated by TAG_PARA_STATE_1/2/3_BOOL.</t>
        </is>
      </c>
      <c r="G35" s="223" t="inlineStr">
        <is>
          <t>ASS_QA_CERT_TXT, COM_C_DEV_TYPE_TXT, ELC_CBL_SZ_MM2, ELC_CDT_SZ_MM, ICT_CAT_RATING_TXT, ICT_OUTLET_TYPE_TXT, ICT_PATCH_PANEL_TXT, ICT_PORT_NR, TAG_PARA_STATE_1_BOOL, TAG_PARA_STATE_2_BOOL, TAG_PARA_STATE_3_BOOL, TAG_WARN_VISIBLE_BOOL</t>
        </is>
      </c>
      <c r="H35" s="223" t="inlineStr">
        <is>
          <t>text</t>
        </is>
      </c>
      <c r="I35" s="223" t="n">
        <v>1</v>
      </c>
      <c r="J35" s="223" t="inlineStr">
        <is>
          <t>a5ee1f80-17ac-5088-a4bb-bd72bcb56cf8</t>
        </is>
      </c>
      <c r="K35" s="223" t="inlineStr"/>
      <c r="L35" s="223" t="inlineStr"/>
    </row>
    <row r="36">
      <c r="A36" s="229" t="inlineStr">
        <is>
          <t>PARAGRAPH</t>
        </is>
      </c>
      <c r="B36" s="223" t="inlineStr">
        <is>
          <t>SEC_TAG_7_PARA_SECURITY_TXT</t>
        </is>
      </c>
      <c r="C36" s="223" t="inlineStr">
        <is>
          <t>ELECTRICAL</t>
        </is>
      </c>
      <c r="D36" s="223" t="inlineStr">
        <is>
          <t>TEXT</t>
        </is>
      </c>
      <c r="E36" s="223" t="inlineStr">
        <is>
          <t>if(TAG_PARA_STATE_3_BOOL, (if(ASS_DESCRIPTION_TXT&lt;&gt;"",ASS_DESCRIPTION_TXT,"Security device") + " zone " + if(SEC_DEV_ZONE_TXT&lt;&gt;"",SEC_DEV_ZONE_TXT,"?") + ". Cable: " + if(SEC_CBL_NR&lt;&gt;"",SEC_CBL_NR,"TBC") + ". Type: " + if(COM_C_DEV_TYPE_TXT&lt;&gt;"",COM_C_DEV_TYPE_TXT,"TBC") + ".") + " | " + ("Connection: " + if(ELC_CDT_SZ_MM&lt;&gt;"",ELC_CDT_SZ_MM+"mm PVC conduit","TBC") + ". Power: " + if(ELC_PNL_VLT_V&lt;&gt;"",ELC_PNL_VLT_V+"V","TBC") + ".") + " | " + ("Access policy: " + if(ASS_DESCRIPTION_TXT&lt;&gt;"",ASS_DESC</t>
        </is>
      </c>
      <c r="F36" s="223" t="inlineStr">
        <is>
          <t>3-state paragraph for Security Devices. S1=compact, S2=standard, S3=comprehensive. Gated by TAG_PARA_STATE_1/2/3_BOOL.</t>
        </is>
      </c>
      <c r="G36" s="223" t="inlineStr">
        <is>
          <t>ASS_DESCRIPTION_TXT, ASS_QA_CERT_TXT, COM_C_DEV_TYPE_TXT, ELC_CDT_SZ_MM, ELC_PNL_VLT_V, SEC_CBL_NR, SEC_DEV_ZONE_TXT, TAG_PARA_STATE_1_BOOL, TAG_PARA_STATE_2_BOOL, TAG_PARA_STATE_3_BOOL, TAG_WARN_VISIBLE_BOOL</t>
        </is>
      </c>
      <c r="H36" s="223" t="inlineStr">
        <is>
          <t>text</t>
        </is>
      </c>
      <c r="I36" s="223" t="n">
        <v>1</v>
      </c>
      <c r="J36" s="223" t="inlineStr">
        <is>
          <t>d10b0b0c-12d1-55b8-9d48-feda6544696a</t>
        </is>
      </c>
      <c r="K36" s="223" t="inlineStr"/>
      <c r="L36" s="223" t="inlineStr"/>
    </row>
    <row r="37">
      <c r="A37" s="229" t="inlineStr">
        <is>
          <t>PARAGRAPH</t>
        </is>
      </c>
      <c r="B37" s="223" t="inlineStr">
        <is>
          <t>ASS_TAG_7_PARA_EQUIPMENT_TXT</t>
        </is>
      </c>
      <c r="C37" s="223" t="inlineStr">
        <is>
          <t>MULTI</t>
        </is>
      </c>
      <c r="D37" s="223" t="inlineStr">
        <is>
          <t>TEXT</t>
        </is>
      </c>
      <c r="E37" s="223" t="inlineStr">
        <is>
          <t>if(TAG_PARA_STATE_3_BOOL, ("This " + if(ASS_DESCRIPTION_TXT&lt;&gt;"",ASS_DESCRIPTION_TXT,"specialty equipment") + " (" + if(ASS_SYSTEM_TYPE_TXT&lt;&gt;"",ASS_SYSTEM_TYPE_TXT,"system TBC") + "). By " + if(ASS_MANUFACTURER_TXT&lt;&gt;"",ASS_MANUFACTURER_TXT,"TBC") + " model " + if(ASS_MODEL_NR_TXT&lt;&gt;"",ASS_MODEL_NR_TXT,"TBC") + ". Tag: " + if(ASS_EQUIPMENT_TAG_TXT&lt;&gt;"",ASS_EQUIPMENT_TAG_TXT,"TBC") + ".") + " | " + ("Capacity: " + if(ASS_CAPACITY_TXT&lt;&gt;"",ASS_CAPACITY_TXT,"TBC") + ". Power: " + if(HVC_PWR_KW&lt;&gt;"",HVC_P</t>
        </is>
      </c>
      <c r="F37" s="223" t="inlineStr">
        <is>
          <t>3-state paragraph for Specialty Equipment
(Lifts/Gen/ATS). S1=compact, S2=standard, S3=comprehensive. Gated by TAG_PARA_STATE_1/2/3_BOOL.</t>
        </is>
      </c>
      <c r="G37" s="223" t="inlineStr">
        <is>
          <t>ASS_CAPACITY_TXT, ASS_DESCRIPTION_TXT, ASS_DRIVE_TXT, ASS_EQUIPMENT_TAG_TXT, ASS_MANUFACTURER_TXT, ASS_MODEL_NR_TXT, ASS_QA_CERT_TXT, ASS_SYSTEM_TYPE_TXT, ASS_WARRANTY_TXT, HVC_PWR_KW, RGL_KCCA_APPROVAL_TXT, TAG_PARA_STATE_1_BOOL, TAG_PARA_STATE_2_BOOL, TAG_PARA_STATE_3_BOOL, TAG_WARN_VISIBLE_BOOL</t>
        </is>
      </c>
      <c r="H37" s="223" t="inlineStr">
        <is>
          <t>text</t>
        </is>
      </c>
      <c r="I37" s="223" t="n">
        <v>1</v>
      </c>
      <c r="J37" s="223" t="inlineStr">
        <is>
          <t>e9d487a5-e6d7-53f3-a5d8-280d247952d0</t>
        </is>
      </c>
      <c r="K37" s="223" t="inlineStr"/>
      <c r="L37" s="223" t="inlineStr"/>
    </row>
    <row r="38">
      <c r="A38" s="229" t="inlineStr">
        <is>
          <t>PARAGRAPH</t>
        </is>
      </c>
      <c r="B38" s="223" t="inlineStr">
        <is>
          <t>NCL_TAG_7_PARA_NURSECALL_TXT</t>
        </is>
      </c>
      <c r="C38" s="223" t="inlineStr">
        <is>
          <t>ELECTRICAL</t>
        </is>
      </c>
      <c r="D38" s="223" t="inlineStr">
        <is>
          <t>TEXT</t>
        </is>
      </c>
      <c r="E38" s="223" t="inlineStr">
        <is>
          <t>if(TAG_PARA_STATE_3_BOOL, (if(NCL_CALL_TYPE_TXT&lt;&gt;"",NCL_CALL_TYPE_TXT,"Nurse call") + " device, zone " + if(NCL_ZONE_TXT&lt;&gt;"",NCL_ZONE_TXT,"?") + ". Type: " + if(COM_C_DEV_TYPE_TXT&lt;&gt;"",COM_C_DEV_TYPE_TXT,"TBC") + ".") + " | " + ("Protocol: " + if(COM_C_PROTOCOL_TXT&lt;&gt;"",COM_C_PROTOCOL_TXT,"TBC") + ". Cable: " + if(ELC_CBL_TYPE_TXT&lt;&gt;"",ELC_CBL_TYPE_TXT,"TBC") + ".") + " | " + ("Standard: HTM 08-03. Zone test: " + if(NCL_ZONE_TXT&lt;&gt;"",NCL_ZONE_TXT,"TBC") + ". Cert: " + if(ASS_QA_CERT_TXT&lt;&gt;"",ASS_QA_C</t>
        </is>
      </c>
      <c r="F38" s="223" t="inlineStr">
        <is>
          <t>3-state paragraph for Nurse Call Devices. S1=compact, S2=standard, S3=comprehensive. Gated by TAG_PARA_STATE_1/2/3_BOOL.</t>
        </is>
      </c>
      <c r="G38" s="223" t="inlineStr">
        <is>
          <t>ASS_QA_CERT_TXT, COM_C_DEV_TYPE_TXT, COM_C_PROTOCOL_TXT, ELC_CBL_TYPE_TXT, NCL_CALL_TYPE_TXT, NCL_ZONE_TXT, TAG_PARA_STATE_1_BOOL, TAG_PARA_STATE_2_BOOL, TAG_PARA_STATE_3_BOOL, TAG_WARN_VISIBLE_BOOL</t>
        </is>
      </c>
      <c r="H38" s="223" t="inlineStr">
        <is>
          <t>text</t>
        </is>
      </c>
      <c r="I38" s="223" t="n">
        <v>1</v>
      </c>
      <c r="J38" s="223" t="inlineStr">
        <is>
          <t>62c6c1c6-e901-5b2d-b61e-71e3ed9c9f1d</t>
        </is>
      </c>
      <c r="K38" s="223" t="inlineStr"/>
      <c r="L38" s="223" t="inlineStr"/>
    </row>
    <row r="39">
      <c r="A39" s="224" t="inlineStr">
        <is>
          <t>WARNING</t>
        </is>
      </c>
      <c r="B39" s="223" t="inlineStr">
        <is>
          <t>WARN_PER_THERM_U_VALUE_W_M2K_NR_WALLS</t>
        </is>
      </c>
      <c r="C39" s="223" t="inlineStr">
        <is>
          <t>SUSTAINABILITY</t>
        </is>
      </c>
      <c r="D39" s="223" t="inlineStr">
        <is>
          <t>TEXT</t>
        </is>
      </c>
      <c r="E39" s="223" t="inlineStr">
        <is>
          <t>if(PER_THERM_U_VALUE_W_M2K_NR &gt; 0.70, " [!U &gt; 0.70]", "")</t>
        </is>
      </c>
      <c r="F39" s="223" t="inlineStr">
        <is>
          <t>Warning: [!U-VALUE EXCEEDS 0.70 W/m2K]. Std: Uganda NBC / ISO 6946. Sev: HIGH. Scope: Walls.</t>
        </is>
      </c>
      <c r="G39" s="223" t="inlineStr">
        <is>
          <t>PER_THERM_U_VALUE_W_M2K_NR, TAG_WARN_VISIBLE_BOOL, TAG_WARN_SEVERITY_FILTER_TXT</t>
        </is>
      </c>
      <c r="H39" s="223" t="inlineStr">
        <is>
          <t>nan</t>
        </is>
      </c>
      <c r="I39" s="223" t="n">
        <v>2</v>
      </c>
      <c r="J39" s="223" t="inlineStr">
        <is>
          <t>2f16e587-957f-5855-800e-b4c73cd2d660</t>
        </is>
      </c>
      <c r="K39" s="223" t="inlineStr">
        <is>
          <t>Uganda</t>
        </is>
      </c>
      <c r="L39" s="223" t="inlineStr"/>
    </row>
    <row r="40">
      <c r="A40" s="224" t="inlineStr">
        <is>
          <t>WARNING</t>
        </is>
      </c>
      <c r="B40" s="223" t="inlineStr">
        <is>
          <t>WARN_PER_THERM_U_VALUE_W_M2K_NR_ROOFS</t>
        </is>
      </c>
      <c r="C40" s="223" t="inlineStr">
        <is>
          <t>SUSTAINABILITY</t>
        </is>
      </c>
      <c r="D40" s="223" t="inlineStr">
        <is>
          <t>TEXT</t>
        </is>
      </c>
      <c r="E40" s="223" t="inlineStr">
        <is>
          <t>if(PER_THERM_U_VALUE_W_M2K_NR &gt; 0.50, " [!U &gt; 0.50]", "")</t>
        </is>
      </c>
      <c r="F40" s="223" t="inlineStr">
        <is>
          <t>Warning: [!U-VALUE EXCEEDS 0.50 W/m2K]. Std: Uganda NBC. Sev: HIGH. Scope: Roofs.</t>
        </is>
      </c>
      <c r="G40" s="223" t="inlineStr">
        <is>
          <t>PER_THERM_U_VALUE_W_M2K_NR, TAG_WARN_VISIBLE_BOOL, TAG_WARN_SEVERITY_FILTER_TXT</t>
        </is>
      </c>
      <c r="H40" s="223" t="inlineStr">
        <is>
          <t>nan</t>
        </is>
      </c>
      <c r="I40" s="223" t="n">
        <v>2</v>
      </c>
      <c r="J40" s="223" t="inlineStr">
        <is>
          <t>325e305b-8890-5308-99f0-9b6dbca035e4</t>
        </is>
      </c>
      <c r="K40" s="223" t="inlineStr">
        <is>
          <t>Uganda</t>
        </is>
      </c>
      <c r="L40" s="223" t="inlineStr"/>
    </row>
    <row r="41">
      <c r="A41" s="224" t="inlineStr">
        <is>
          <t>WARNING</t>
        </is>
      </c>
      <c r="B41" s="223" t="inlineStr">
        <is>
          <t>WARN_PER_THERM_U_VALUE_W_M2K_NR_FLOORS</t>
        </is>
      </c>
      <c r="C41" s="223" t="inlineStr">
        <is>
          <t>SUSTAINABILITY</t>
        </is>
      </c>
      <c r="D41" s="223" t="inlineStr">
        <is>
          <t>TEXT</t>
        </is>
      </c>
      <c r="E41" s="223" t="inlineStr">
        <is>
          <t>if(PER_THERM_U_VALUE_W_M2K_NR &gt; 0.70, " [!U &gt; 0.70]", "")</t>
        </is>
      </c>
      <c r="F41" s="223" t="inlineStr">
        <is>
          <t>Warning: [!U-VALUE EXCEEDS 0.70 W/m2K]. Std: Uganda NBC. Sev: MEDIUM. Scope: Floors.</t>
        </is>
      </c>
      <c r="G41" s="223" t="inlineStr">
        <is>
          <t>PER_THERM_U_VALUE_W_M2K_NR, TAG_WARN_VISIBLE_BOOL, TAG_WARN_SEVERITY_FILTER_TXT</t>
        </is>
      </c>
      <c r="H41" s="223" t="inlineStr">
        <is>
          <t>nan</t>
        </is>
      </c>
      <c r="I41" s="223" t="n">
        <v>2</v>
      </c>
      <c r="J41" s="223" t="inlineStr">
        <is>
          <t>48a953dd-b1e1-54b1-85f1-ba774a4c3a13</t>
        </is>
      </c>
      <c r="K41" s="223" t="inlineStr">
        <is>
          <t>Uganda</t>
        </is>
      </c>
      <c r="L41" s="223" t="inlineStr"/>
    </row>
    <row r="42">
      <c r="A42" s="224" t="inlineStr">
        <is>
          <t>WARNING</t>
        </is>
      </c>
      <c r="B42" s="223" t="inlineStr">
        <is>
          <t>BLE_WINDOW_U_VALUE_W_M_2K_NR</t>
        </is>
      </c>
      <c r="C42" s="223" t="inlineStr">
        <is>
          <t>COSTING</t>
        </is>
      </c>
      <c r="D42" s="223" t="inlineStr">
        <is>
          <t>TEXT</t>
        </is>
      </c>
      <c r="E42" s="223" t="inlineStr">
        <is>
          <t>if(BLE_WINDOW_U_VALUE_W_M_2K_NR &gt; 3.00, " [!U &gt; 3.00]", "")</t>
        </is>
      </c>
      <c r="F42" s="223" t="inlineStr">
        <is>
          <t>Warning: [!WINDOW U &gt; 3.00 W/m2K]. Std: IEC / ASHRAE 90.1. Sev: HIGH. Scope: Windows.</t>
        </is>
      </c>
      <c r="G42" s="223" t="inlineStr">
        <is>
          <t>BLE_WINDOW_U_VALUE_W_M_2K_NR, TAG_WARN_VISIBLE_BOOL, TAG_WARN_SEVERITY_FILTER_TXT</t>
        </is>
      </c>
      <c r="H42" s="223" t="inlineStr">
        <is>
          <t>nan</t>
        </is>
      </c>
      <c r="I42" s="223" t="n">
        <v>2</v>
      </c>
      <c r="J42" s="223" t="inlineStr">
        <is>
          <t>909af979-fe49-5c81-a0f8-db5c1f5e4ee0</t>
        </is>
      </c>
      <c r="K42" s="223" t="inlineStr">
        <is>
          <t>ASHRAE</t>
        </is>
      </c>
      <c r="L42" s="223" t="inlineStr"/>
    </row>
    <row r="43">
      <c r="A43" s="224" t="inlineStr">
        <is>
          <t>WARNING</t>
        </is>
      </c>
      <c r="B43" s="223" t="inlineStr">
        <is>
          <t>BLE_WINDOW_SOLAR_HEAT_GAIN_COEFFICIENT_NR</t>
        </is>
      </c>
      <c r="C43" s="223" t="inlineStr">
        <is>
          <t>COSTING</t>
        </is>
      </c>
      <c r="D43" s="223" t="inlineStr">
        <is>
          <t>TEXT</t>
        </is>
      </c>
      <c r="E43" s="223" t="inlineStr">
        <is>
          <t>if(BLE_WINDOW_SOLAR_HEAT_GAIN_COEFFICIENT_NR &gt; 0.40, " [!SHGC &gt; 0.40]", "")</t>
        </is>
      </c>
      <c r="F43" s="223" t="inlineStr">
        <is>
          <t>Warning: [!SHGC EXCEEDS 0.40]. Std: ASHRAE 90.1 tropical. Sev: HIGH. Scope: Windows.</t>
        </is>
      </c>
      <c r="G43" s="223" t="inlineStr">
        <is>
          <t>BLE_WINDOW_SOLAR_HEAT_GAIN_COEFFICIENT_NR, TAG_WARN_VISIBLE_BOOL, TAG_WARN_SEVERITY_FILTER_TXT</t>
        </is>
      </c>
      <c r="H43" s="223" t="inlineStr">
        <is>
          <t>nan</t>
        </is>
      </c>
      <c r="I43" s="223" t="n">
        <v>2</v>
      </c>
      <c r="J43" s="223" t="inlineStr">
        <is>
          <t>f1e3b7f1-ee7b-51e2-8aa3-2039753098fc</t>
        </is>
      </c>
      <c r="K43" s="223" t="inlineStr">
        <is>
          <t>ASHRAE</t>
        </is>
      </c>
      <c r="L43" s="223" t="inlineStr"/>
    </row>
    <row r="44">
      <c r="A44" s="224" t="inlineStr">
        <is>
          <t>WARNING</t>
        </is>
      </c>
      <c r="B44" s="223" t="inlineStr">
        <is>
          <t>WARN_ELC_VLT_DROP_PCT_ELECTRICAL_EQUI</t>
        </is>
      </c>
      <c r="C44" s="223" t="inlineStr">
        <is>
          <t>ELECTRICAL</t>
        </is>
      </c>
      <c r="D44" s="223" t="inlineStr">
        <is>
          <t>TEXT</t>
        </is>
      </c>
      <c r="E44" s="223" t="inlineStr">
        <is>
          <t>if(ELC_VLT_DROP_PCT &gt; 4.0, " [!VD &gt; 4%]", "")</t>
        </is>
      </c>
      <c r="F44" s="223" t="inlineStr">
        <is>
          <t>Warning: [!VD EXCEEDS 4%]. Std: IEC 60364-5-52 / BS 7671. Sev: CRITICAL. Scope: Electrical Equipment, Electrical Fixtures.</t>
        </is>
      </c>
      <c r="G44" s="223" t="inlineStr">
        <is>
          <t>ELC_VLT_DROP_PCT, TAG_WARN_VISIBLE_BOOL, TAG_WARN_SEVERITY_FILTER_TXT</t>
        </is>
      </c>
      <c r="H44" s="223" t="inlineStr">
        <is>
          <t>nan</t>
        </is>
      </c>
      <c r="I44" s="223" t="n">
        <v>2</v>
      </c>
      <c r="J44" s="223" t="inlineStr">
        <is>
          <t>65e82578-55bb-5d57-84ff-11e473def9e1</t>
        </is>
      </c>
      <c r="K44" s="223" t="inlineStr">
        <is>
          <t>IEC 60364</t>
        </is>
      </c>
      <c r="L44" s="223" t="inlineStr"/>
    </row>
    <row r="45">
      <c r="A45" s="224" t="inlineStr">
        <is>
          <t>WARNING</t>
        </is>
      </c>
      <c r="B45" s="223" t="inlineStr">
        <is>
          <t>ELC_CDT_CBL_FILL_PCT</t>
        </is>
      </c>
      <c r="C45" s="223" t="inlineStr">
        <is>
          <t>ELECTRICAL</t>
        </is>
      </c>
      <c r="D45" s="223" t="inlineStr">
        <is>
          <t>TEXT</t>
        </is>
      </c>
      <c r="E45" s="223" t="inlineStr">
        <is>
          <t>if(ELC_CDT_CBL_FILL_PCT &gt; 40, " [!FILL &gt; 40%]", "")</t>
        </is>
      </c>
      <c r="F45" s="223" t="inlineStr">
        <is>
          <t>Warning: [!CONDUIT FILL &gt; 40%]. Std: IEC 60364 / BS 7671. Sev: HIGH. Scope: Conduits.</t>
        </is>
      </c>
      <c r="G45" s="223" t="inlineStr">
        <is>
          <t>ELC_CDT_CBL_FILL_PCT, TAG_WARN_VISIBLE_BOOL, TAG_WARN_SEVERITY_FILTER_TXT</t>
        </is>
      </c>
      <c r="H45" s="223" t="inlineStr">
        <is>
          <t>nan</t>
        </is>
      </c>
      <c r="I45" s="223" t="n">
        <v>2</v>
      </c>
      <c r="J45" s="223" t="inlineStr">
        <is>
          <t>2fdc3987-8e87-4d81-ada8-47514e7b50f2</t>
        </is>
      </c>
      <c r="K45" s="223" t="inlineStr">
        <is>
          <t>IEC 60364</t>
        </is>
      </c>
      <c r="L45" s="223" t="inlineStr"/>
    </row>
    <row r="46">
      <c r="A46" s="224" t="inlineStr">
        <is>
          <t>WARNING</t>
        </is>
      </c>
      <c r="B46" s="223" t="inlineStr">
        <is>
          <t>ELC_CTR_FILL_PCT</t>
        </is>
      </c>
      <c r="C46" s="223" t="inlineStr">
        <is>
          <t>ELECTRICAL</t>
        </is>
      </c>
      <c r="D46" s="223" t="inlineStr">
        <is>
          <t>TEXT</t>
        </is>
      </c>
      <c r="E46" s="223" t="inlineStr">
        <is>
          <t>if(ELC_CTR_FILL_PCT &gt; 45, " [!FILL &gt; 45%]", "")</t>
        </is>
      </c>
      <c r="F46" s="223" t="inlineStr">
        <is>
          <t>Warning: [!TRAY FILL &gt; 45%]. Std: IEC 61537. Sev: HIGH. Scope: Cable Trays.</t>
        </is>
      </c>
      <c r="G46" s="223" t="inlineStr">
        <is>
          <t>ELC_CTR_FILL_PCT, TAG_WARN_VISIBLE_BOOL, TAG_WARN_SEVERITY_FILTER_TXT</t>
        </is>
      </c>
      <c r="H46" s="223" t="inlineStr">
        <is>
          <t>nan</t>
        </is>
      </c>
      <c r="I46" s="223" t="n">
        <v>2</v>
      </c>
      <c r="J46" s="223" t="inlineStr">
        <is>
          <t>0e7a96cb-9218-4e4c-a1d8-15c110902e94</t>
        </is>
      </c>
      <c r="K46" s="223" t="inlineStr">
        <is>
          <t>IEC 61537</t>
        </is>
      </c>
      <c r="L46" s="223" t="inlineStr"/>
    </row>
    <row r="47">
      <c r="A47" s="224" t="inlineStr">
        <is>
          <t>WARNING</t>
        </is>
      </c>
      <c r="B47" s="223" t="inlineStr">
        <is>
          <t>ELC_PNL_CONNECTED_LOAD_KW</t>
        </is>
      </c>
      <c r="C47" s="223" t="inlineStr">
        <is>
          <t>ELECTRICAL</t>
        </is>
      </c>
      <c r="D47" s="223" t="inlineStr">
        <is>
          <t>TEXT</t>
        </is>
      </c>
      <c r="E47" s="223" t="inlineStr">
        <is>
          <t>if(ELC_PNL_CONNECTED_LOAD_KW &gt; ELC_PNL_RATED_KW * 0.8, " [!OVERLOADED]", "")</t>
        </is>
      </c>
      <c r="F47" s="223" t="inlineStr">
        <is>
          <t>Warning: [!LOAD &gt; 80% PANEL CAPACITY]. Std: Design practice. Sev: CRITICAL. Scope: Electrical Equipment.</t>
        </is>
      </c>
      <c r="G47" s="223" t="inlineStr">
        <is>
          <t>ELC_PNL_CONNECTED_LOAD_KW, TAG_WARN_VISIBLE_BOOL, TAG_WARN_SEVERITY_FILTER_TXT</t>
        </is>
      </c>
      <c r="H47" s="223" t="inlineStr">
        <is>
          <t>nan</t>
        </is>
      </c>
      <c r="I47" s="223" t="n">
        <v>2</v>
      </c>
      <c r="J47" s="223" t="inlineStr">
        <is>
          <t>9df4b41b-3c97-5bbd-bce8-4e3ff9c5e0dc</t>
        </is>
      </c>
      <c r="K47" s="223" t="inlineStr"/>
      <c r="L47" s="223" t="inlineStr"/>
    </row>
    <row r="48">
      <c r="A48" s="224" t="inlineStr">
        <is>
          <t>WARNING</t>
        </is>
      </c>
      <c r="B48" s="223" t="inlineStr">
        <is>
          <t>ELC_PNL_SHORT_CIRCUIT_KA</t>
        </is>
      </c>
      <c r="C48" s="223" t="inlineStr">
        <is>
          <t>MULTI</t>
        </is>
      </c>
      <c r="D48" s="223" t="inlineStr">
        <is>
          <t>TEXT</t>
        </is>
      </c>
      <c r="E48" s="223" t="inlineStr">
        <is>
          <t>if(ELC_PNL_SHORT_CIRCUIT_KA &lt; 6, " [!SC &lt; 6kA]", "")</t>
        </is>
      </c>
      <c r="F48" s="223" t="inlineStr">
        <is>
          <t>Warning: [!FAULT LEVEL &lt; 6kA]. Std: IEC 60947-2. Sev: MEDIUM. Scope: Electrical Equipment.</t>
        </is>
      </c>
      <c r="G48" s="223" t="inlineStr">
        <is>
          <t>ELC_PNL_SHORT_CIRCUIT_KA, TAG_WARN_VISIBLE_BOOL, TAG_WARN_SEVERITY_FILTER_TXT</t>
        </is>
      </c>
      <c r="H48" s="223" t="inlineStr">
        <is>
          <t>nan</t>
        </is>
      </c>
      <c r="I48" s="223" t="n">
        <v>2</v>
      </c>
      <c r="J48" s="223" t="inlineStr">
        <is>
          <t>4f6fbb7a-522e-578a-a867-1694a2469fd0</t>
        </is>
      </c>
      <c r="K48" s="223" t="inlineStr">
        <is>
          <t>IEC 60947</t>
        </is>
      </c>
      <c r="L48" s="223" t="inlineStr"/>
    </row>
    <row r="49">
      <c r="A49" s="224" t="inlineStr">
        <is>
          <t>WARNING</t>
        </is>
      </c>
      <c r="B49" s="223" t="inlineStr">
        <is>
          <t>WARN_PLM_PPE_FLW_LPS_PIPES__HOT_WATE</t>
        </is>
      </c>
      <c r="C49" s="223" t="inlineStr">
        <is>
          <t>PLUMBING</t>
        </is>
      </c>
      <c r="D49" s="223" t="inlineStr">
        <is>
          <t>TEXT</t>
        </is>
      </c>
      <c r="E49" s="223" t="inlineStr">
        <is>
          <t>if(PLM_PPE_FLW_LPS &gt; 2.0, " [!FLOW &gt; 2.0]", "")</t>
        </is>
      </c>
      <c r="F49" s="223" t="inlineStr">
        <is>
          <t>Warning: [!FLOW &gt; 2.0 L/s]. Std: BS EN 806-3. Sev: MEDIUM. Scope: Pipes (hot water).</t>
        </is>
      </c>
      <c r="G49" s="223" t="inlineStr">
        <is>
          <t>PLM_PPE_FLW_LPS, TAG_WARN_VISIBLE_BOOL, TAG_WARN_SEVERITY_FILTER_TXT</t>
        </is>
      </c>
      <c r="H49" s="223" t="inlineStr">
        <is>
          <t>nan</t>
        </is>
      </c>
      <c r="I49" s="223" t="n">
        <v>2</v>
      </c>
      <c r="J49" s="223" t="inlineStr">
        <is>
          <t>9d9f154a-96b1-5085-9833-d30aa784bc0f</t>
        </is>
      </c>
      <c r="K49" s="223" t="inlineStr">
        <is>
          <t>BS EN 806</t>
        </is>
      </c>
      <c r="L49" s="223" t="inlineStr"/>
    </row>
    <row r="50">
      <c r="A50" s="224" t="inlineStr">
        <is>
          <t>WARNING</t>
        </is>
      </c>
      <c r="B50" s="223" t="inlineStr">
        <is>
          <t>PLM_VEL_MPS</t>
        </is>
      </c>
      <c r="C50" s="223" t="inlineStr">
        <is>
          <t>PLUMBING</t>
        </is>
      </c>
      <c r="D50" s="223" t="inlineStr">
        <is>
          <t>TEXT</t>
        </is>
      </c>
      <c r="E50" s="223" t="inlineStr">
        <is>
          <t>if(PLM_VEL_MPS &gt; 2.0, " [!VEL &gt; 2.0]", "")</t>
        </is>
      </c>
      <c r="F50" s="223" t="inlineStr">
        <is>
          <t>Warning: [!VELOCITY &gt; 2.0 m/s]. Std: BS EN 806-3 / CIBSE. Sev: HIGH. Scope: Pipes.</t>
        </is>
      </c>
      <c r="G50" s="223" t="inlineStr">
        <is>
          <t>PLM_VEL_MPS, TAG_WARN_VISIBLE_BOOL, TAG_WARN_SEVERITY_FILTER_TXT</t>
        </is>
      </c>
      <c r="H50" s="223" t="inlineStr">
        <is>
          <t>nan</t>
        </is>
      </c>
      <c r="I50" s="223" t="n">
        <v>2</v>
      </c>
      <c r="J50" s="223" t="inlineStr">
        <is>
          <t>d85554af-6914-563d-a8f2-0cef71e09f2d</t>
        </is>
      </c>
      <c r="K50" s="223" t="inlineStr">
        <is>
          <t>BS EN 806</t>
        </is>
      </c>
      <c r="L50" s="223" t="inlineStr"/>
    </row>
    <row r="51">
      <c r="A51" s="224" t="inlineStr">
        <is>
          <t>WARNING</t>
        </is>
      </c>
      <c r="B51" s="223" t="inlineStr">
        <is>
          <t>PLM_PSR_KPA</t>
        </is>
      </c>
      <c r="C51" s="223" t="inlineStr">
        <is>
          <t>PLUMBING</t>
        </is>
      </c>
      <c r="D51" s="223" t="inlineStr">
        <is>
          <t>TEXT</t>
        </is>
      </c>
      <c r="E51" s="223" t="inlineStr">
        <is>
          <t>if(or(PLM_PSR_KPA &lt; 150, PLM_PSR_KPA &gt; 600), " [!PSR]", "")</t>
        </is>
      </c>
      <c r="F51" s="223" t="inlineStr">
        <is>
          <t>Warning: [!PRESSURE OUT OF RANGE]. Std: NWSC supply. Sev: MEDIUM. Scope: Pipes, Plumbing Equipment.</t>
        </is>
      </c>
      <c r="G51" s="223" t="inlineStr">
        <is>
          <t>PLM_PSR_KPA, TAG_WARN_VISIBLE_BOOL, TAG_WARN_SEVERITY_FILTER_TXT</t>
        </is>
      </c>
      <c r="H51" s="223" t="inlineStr">
        <is>
          <t>nan</t>
        </is>
      </c>
      <c r="I51" s="223" t="n">
        <v>2</v>
      </c>
      <c r="J51" s="223" t="inlineStr">
        <is>
          <t>bbf823b4-e2d3-5df8-99a8-4a641f5c8663</t>
        </is>
      </c>
      <c r="K51" s="223" t="inlineStr">
        <is>
          <t>NWSC</t>
        </is>
      </c>
      <c r="L51" s="223" t="inlineStr"/>
    </row>
    <row r="52">
      <c r="A52" s="224" t="inlineStr">
        <is>
          <t>WARNING</t>
        </is>
      </c>
      <c r="B52" s="223" t="inlineStr">
        <is>
          <t>HVC_VEL_MPS</t>
        </is>
      </c>
      <c r="C52" s="223" t="inlineStr">
        <is>
          <t>HVAC</t>
        </is>
      </c>
      <c r="D52" s="223" t="inlineStr">
        <is>
          <t>TEXT</t>
        </is>
      </c>
      <c r="E52" s="223" t="inlineStr">
        <is>
          <t>if(HVC_VEL_MPS &gt; 6.0, " [!VEL &gt; 6.0]", "")</t>
        </is>
      </c>
      <c r="F52" s="223" t="inlineStr">
        <is>
          <t>Warning: [!DUCT VEL &gt; 6.0 m/s]. Std: CIBSE Guide B / ASHRAE. Sev: HIGH. Scope: Ducts (supply).</t>
        </is>
      </c>
      <c r="G52" s="223" t="inlineStr">
        <is>
          <t>HVC_VEL_MPS, TAG_WARN_VISIBLE_BOOL, TAG_WARN_SEVERITY_FILTER_TXT</t>
        </is>
      </c>
      <c r="H52" s="223" t="inlineStr">
        <is>
          <t>nan</t>
        </is>
      </c>
      <c r="I52" s="223" t="n">
        <v>2</v>
      </c>
      <c r="J52" s="223" t="inlineStr">
        <is>
          <t>e7c4c2ab-a4f8-5c1d-bea0-933630bfae47</t>
        </is>
      </c>
      <c r="K52" s="223" t="inlineStr">
        <is>
          <t>CIBSE</t>
        </is>
      </c>
      <c r="L52" s="223" t="inlineStr"/>
    </row>
    <row r="53">
      <c r="A53" s="224" t="inlineStr">
        <is>
          <t>WARNING</t>
        </is>
      </c>
      <c r="B53" s="223" t="inlineStr">
        <is>
          <t>WARN_HVC_VEL_MPS_FLEX_DUCTS</t>
        </is>
      </c>
      <c r="C53" s="223" t="inlineStr">
        <is>
          <t>HVAC</t>
        </is>
      </c>
      <c r="D53" s="223" t="inlineStr">
        <is>
          <t>TEXT</t>
        </is>
      </c>
      <c r="E53" s="223" t="inlineStr">
        <is>
          <t>if(HVC_VEL_MPS &gt; 4.0, " [!VEL &gt; 4.0]", "")</t>
        </is>
      </c>
      <c r="F53" s="223" t="inlineStr">
        <is>
          <t>Warning: [!FLEX VEL &gt; 4.0 m/s]. Std: SMACNA. Sev: HIGH. Scope: Flex Ducts.</t>
        </is>
      </c>
      <c r="G53" s="223" t="inlineStr">
        <is>
          <t>HVC_VEL_MPS, TAG_WARN_VISIBLE_BOOL, TAG_WARN_SEVERITY_FILTER_TXT</t>
        </is>
      </c>
      <c r="H53" s="223" t="inlineStr">
        <is>
          <t>nan</t>
        </is>
      </c>
      <c r="I53" s="223" t="n">
        <v>2</v>
      </c>
      <c r="J53" s="223" t="inlineStr">
        <is>
          <t>cfaf64e3-03bc-5bad-b3e8-f1e9a823f452</t>
        </is>
      </c>
      <c r="K53" s="223" t="inlineStr">
        <is>
          <t>SMACNA</t>
        </is>
      </c>
      <c r="L53" s="223" t="inlineStr"/>
    </row>
    <row r="54">
      <c r="A54" s="224" t="inlineStr">
        <is>
          <t>WARNING</t>
        </is>
      </c>
      <c r="B54" s="223" t="inlineStr">
        <is>
          <t>HVC_DCT_TERMINAL_SOUND_DB_NR</t>
        </is>
      </c>
      <c r="C54" s="223" t="inlineStr">
        <is>
          <t>MULTI</t>
        </is>
      </c>
      <c r="D54" s="223" t="inlineStr">
        <is>
          <t>TEXT</t>
        </is>
      </c>
      <c r="E54" s="223" t="inlineStr">
        <is>
          <t>if(HVC_DCT_TERMINAL_SOUND_DB_NR &gt; 35, " [!NOISE &gt; 35dB]", "")</t>
        </is>
      </c>
      <c r="F54" s="223" t="inlineStr">
        <is>
          <t>Warning: [!TERMINAL NOISE &gt; 35 dB]. Std: CIBSE Guide A. Sev: MEDIUM. Scope: Air Terminals.</t>
        </is>
      </c>
      <c r="G54" s="223" t="inlineStr">
        <is>
          <t>HVC_DCT_TERMINAL_SOUND_DB_NR, TAG_WARN_VISIBLE_BOOL, TAG_WARN_SEVERITY_FILTER_TXT</t>
        </is>
      </c>
      <c r="H54" s="223" t="inlineStr">
        <is>
          <t>nan</t>
        </is>
      </c>
      <c r="I54" s="223" t="n">
        <v>2</v>
      </c>
      <c r="J54" s="223" t="inlineStr">
        <is>
          <t>48e50034-7436-5409-8400-ab8577fd256e</t>
        </is>
      </c>
      <c r="K54" s="223" t="inlineStr">
        <is>
          <t>CIBSE</t>
        </is>
      </c>
      <c r="L54" s="223" t="inlineStr"/>
    </row>
    <row r="55">
      <c r="A55" s="224" t="inlineStr">
        <is>
          <t>WARNING</t>
        </is>
      </c>
      <c r="B55" s="223" t="inlineStr">
        <is>
          <t>WARN_HVC_EFF_RATIO_NR_MECHANICAL_EQUI</t>
        </is>
      </c>
      <c r="C55" s="223" t="inlineStr">
        <is>
          <t>HVAC</t>
        </is>
      </c>
      <c r="D55" s="223" t="inlineStr">
        <is>
          <t>TEXT</t>
        </is>
      </c>
      <c r="E55" s="223" t="inlineStr">
        <is>
          <t>if(HVC_EFF_RATIO_NR &lt; 3.0, " [!EFF &lt; 3.0]", "")</t>
        </is>
      </c>
      <c r="F55" s="223" t="inlineStr">
        <is>
          <t>Warning: [!EFFICIENCY &lt; 3.0 COP]. Std: ASHRAE 90.1. Sev: HIGH. Scope: Mechanical Equipment.</t>
        </is>
      </c>
      <c r="G55" s="223" t="inlineStr">
        <is>
          <t>HVC_EFF_RATIO_NR, TAG_WARN_VISIBLE_BOOL, TAG_WARN_SEVERITY_FILTER_TXT</t>
        </is>
      </c>
      <c r="H55" s="223" t="inlineStr">
        <is>
          <t>nan</t>
        </is>
      </c>
      <c r="I55" s="223" t="n">
        <v>2</v>
      </c>
      <c r="J55" s="223" t="inlineStr">
        <is>
          <t>4a5676db-4f0b-52da-8b90-d9fba81a3168</t>
        </is>
      </c>
      <c r="K55" s="223" t="inlineStr">
        <is>
          <t>ASHRAE</t>
        </is>
      </c>
      <c r="L55" s="223" t="inlineStr"/>
    </row>
    <row r="56">
      <c r="A56" s="224" t="inlineStr">
        <is>
          <t>WARNING</t>
        </is>
      </c>
      <c r="B56" s="223" t="inlineStr">
        <is>
          <t>FLS_PROT_FLS_RESISTANCE_RATING_MINUTES_MIN</t>
        </is>
      </c>
      <c r="C56" s="223" t="inlineStr">
        <is>
          <t>FIRE</t>
        </is>
      </c>
      <c r="D56" s="223" t="inlineStr">
        <is>
          <t>TEXT</t>
        </is>
      </c>
      <c r="E56" s="223" t="inlineStr">
        <is>
          <t>if(FLS_PROT_FLS_RESISTANCE_RATING_MINUTES_MIN &lt; 30, " [!FRR &lt; 30]", "")</t>
        </is>
      </c>
      <c r="F56" s="223" t="inlineStr">
        <is>
          <t>Warning: [!FIRE RATING &lt; 30 MIN]. Std: BS 9999 / Uganda NBC. Sev: CRITICAL. Scope: Walls, Doors, Floors.</t>
        </is>
      </c>
      <c r="G56" s="223" t="inlineStr">
        <is>
          <t>FLS_PROT_FLS_RESISTANCE_RATING_MINUTES_MIN, TAG_WARN_VISIBLE_BOOL, TAG_WARN_SEVERITY_FILTER_TXT</t>
        </is>
      </c>
      <c r="H56" s="223" t="inlineStr">
        <is>
          <t>nan</t>
        </is>
      </c>
      <c r="I56" s="223" t="n">
        <v>2</v>
      </c>
      <c r="J56" s="223" t="inlineStr">
        <is>
          <t>d173e059-7b9e-54ca-83fc-2bef567411cb</t>
        </is>
      </c>
      <c r="K56" s="223" t="inlineStr">
        <is>
          <t>BS 9999</t>
        </is>
      </c>
      <c r="L56" s="223" t="inlineStr"/>
    </row>
    <row r="57">
      <c r="A57" s="224" t="inlineStr">
        <is>
          <t>WARNING</t>
        </is>
      </c>
      <c r="B57" s="223" t="inlineStr">
        <is>
          <t>FLS_SFTY_TEMP_RATING_C</t>
        </is>
      </c>
      <c r="C57" s="223" t="inlineStr">
        <is>
          <t>FIRE</t>
        </is>
      </c>
      <c r="D57" s="223" t="inlineStr">
        <is>
          <t>TEXT</t>
        </is>
      </c>
      <c r="E57" s="223" t="inlineStr">
        <is>
          <t>if(or(FLS_SFTY_TEMP_RATING_C &lt; 57, FLS_SFTY_TEMP_RATING_C &gt; 79), " [!TEMP]", "")</t>
        </is>
      </c>
      <c r="F57" s="223" t="inlineStr">
        <is>
          <t>Warning: [!SPRINKLER TEMP OUT OF RANGE]. Std: BS EN 12845. Sev: HIGH. Scope: Sprinklers.</t>
        </is>
      </c>
      <c r="G57" s="223" t="inlineStr">
        <is>
          <t>FLS_SFTY_TEMP_RATING_C, TAG_WARN_VISIBLE_BOOL, TAG_WARN_SEVERITY_FILTER_TXT</t>
        </is>
      </c>
      <c r="H57" s="223" t="inlineStr">
        <is>
          <t>nan</t>
        </is>
      </c>
      <c r="I57" s="223" t="n">
        <v>2</v>
      </c>
      <c r="J57" s="223" t="inlineStr">
        <is>
          <t>ad7202ff-5267-5378-8286-7fa949c6b9c0</t>
        </is>
      </c>
      <c r="K57" s="223" t="inlineStr">
        <is>
          <t>BS EN 12845</t>
        </is>
      </c>
      <c r="L57" s="223" t="inlineStr"/>
    </row>
    <row r="58">
      <c r="A58" s="224" t="inlineStr">
        <is>
          <t>WARNING</t>
        </is>
      </c>
      <c r="B58" s="223" t="inlineStr">
        <is>
          <t>WARN_FLS_SFTY_COVERAGE_AREA_SQ_M_SPRINKLERS__FIR</t>
        </is>
      </c>
      <c r="C58" s="223" t="inlineStr">
        <is>
          <t>FIRE</t>
        </is>
      </c>
      <c r="D58" s="223" t="inlineStr">
        <is>
          <t>TEXT</t>
        </is>
      </c>
      <c r="E58" s="223" t="inlineStr">
        <is>
          <t>if(FLS_SFTY_COVERAGE_AREA_SQ_M &gt; 21, " [!AREA &gt; 21]", "")</t>
        </is>
      </c>
      <c r="F58" s="223" t="inlineStr">
        <is>
          <t>Warning: [!COVERAGE &gt; 21 m2]. Std: BS EN 12845 / BS 5839. Sev: HIGH. Scope: Sprinklers, Fire Alarm Devices.</t>
        </is>
      </c>
      <c r="G58" s="223" t="inlineStr">
        <is>
          <t>FLS_SFTY_COVERAGE_AREA_SQ_M, TAG_WARN_VISIBLE_BOOL, TAG_WARN_SEVERITY_FILTER_TXT</t>
        </is>
      </c>
      <c r="H58" s="223" t="inlineStr">
        <is>
          <t>nan</t>
        </is>
      </c>
      <c r="I58" s="223" t="n">
        <v>2</v>
      </c>
      <c r="J58" s="223" t="inlineStr">
        <is>
          <t>459bcc7d-e46b-5492-a905-427bf9c6c564</t>
        </is>
      </c>
      <c r="K58" s="223" t="inlineStr">
        <is>
          <t>BS EN 12845</t>
        </is>
      </c>
      <c r="L58" s="223" t="inlineStr"/>
    </row>
    <row r="59">
      <c r="A59" s="224" t="inlineStr">
        <is>
          <t>WARNING</t>
        </is>
      </c>
      <c r="B59" s="223" t="inlineStr">
        <is>
          <t>WARN_BLE_RAMP_SLOPE_PCT_RAMPS</t>
        </is>
      </c>
      <c r="C59" s="223" t="inlineStr">
        <is>
          <t>ARCHITECTURAL</t>
        </is>
      </c>
      <c r="D59" s="223" t="inlineStr">
        <is>
          <t>TEXT</t>
        </is>
      </c>
      <c r="E59" s="223" t="inlineStr">
        <is>
          <t>if(BLE_RAMP_SLOPE_PCT &gt; 8.33, " [!SLOPE &gt; 1:12]", "")</t>
        </is>
      </c>
      <c r="F59" s="223" t="inlineStr">
        <is>
          <t>Warning: [!RAMP SLOPE &gt; 1:12 (8.33%)]. Std: Uganda PWD Act 2020. Sev: CRITICAL. Scope: Ramps.</t>
        </is>
      </c>
      <c r="G59" s="223" t="inlineStr">
        <is>
          <t>BLE_RAMP_SLOPE_PCT, TAG_WARN_VISIBLE_BOOL, TAG_WARN_SEVERITY_FILTER_TXT</t>
        </is>
      </c>
      <c r="H59" s="223" t="inlineStr">
        <is>
          <t>nan</t>
        </is>
      </c>
      <c r="I59" s="223" t="n">
        <v>2</v>
      </c>
      <c r="J59" s="223" t="inlineStr">
        <is>
          <t>6dbe6b05-683a-5e48-80d3-6417947a886f</t>
        </is>
      </c>
      <c r="K59" s="223" t="inlineStr">
        <is>
          <t>Uganda</t>
        </is>
      </c>
      <c r="L59" s="223" t="inlineStr"/>
    </row>
    <row r="60">
      <c r="A60" s="224" t="inlineStr">
        <is>
          <t>WARNING</t>
        </is>
      </c>
      <c r="B60" s="223" t="inlineStr">
        <is>
          <t>WARN_RGL_ACCESS_CLEAR_WIDTH_MM_DOORS__RAMPS__C</t>
        </is>
      </c>
      <c r="C60" s="223" t="inlineStr">
        <is>
          <t>REGULATORY</t>
        </is>
      </c>
      <c r="D60" s="223" t="inlineStr">
        <is>
          <t>TEXT</t>
        </is>
      </c>
      <c r="E60" s="223" t="inlineStr">
        <is>
          <t>if(RGL_ACCESS_CLEAR_WIDTH_MM &lt; 900, " [!WIDTH &lt; 900]", "")</t>
        </is>
      </c>
      <c r="F60" s="223" t="inlineStr">
        <is>
          <t>Warning: [!CLEAR WIDTH &lt; 900mm]. Std: Uganda PWD Act 2020. Sev: CRITICAL. Scope: Doors, Ramps, Corridors.</t>
        </is>
      </c>
      <c r="G60" s="223" t="inlineStr">
        <is>
          <t>RGL_ACCESS_CLEAR_WIDTH_MM, TAG_WARN_VISIBLE_BOOL, TAG_WARN_SEVERITY_FILTER_TXT</t>
        </is>
      </c>
      <c r="H60" s="223" t="inlineStr">
        <is>
          <t>nan</t>
        </is>
      </c>
      <c r="I60" s="223" t="n">
        <v>2</v>
      </c>
      <c r="J60" s="223" t="inlineStr">
        <is>
          <t>30ada42b-b411-505f-a3b4-693c877f10c0</t>
        </is>
      </c>
      <c r="K60" s="223" t="inlineStr">
        <is>
          <t>Uganda</t>
        </is>
      </c>
      <c r="L60" s="223" t="inlineStr"/>
    </row>
    <row r="61">
      <c r="A61" s="224" t="inlineStr">
        <is>
          <t>WARNING</t>
        </is>
      </c>
      <c r="B61" s="223" t="inlineStr">
        <is>
          <t>BLE_DOOR_WIDTH_MM</t>
        </is>
      </c>
      <c r="C61" s="223" t="inlineStr">
        <is>
          <t>COSTING</t>
        </is>
      </c>
      <c r="D61" s="223" t="inlineStr">
        <is>
          <t>TEXT</t>
        </is>
      </c>
      <c r="E61" s="223" t="inlineStr">
        <is>
          <t>if(BLE_DOOR_WIDTH_MM &lt; 900, " [!DOOR &lt; 900mm]", "")</t>
        </is>
      </c>
      <c r="F61" s="223" t="inlineStr">
        <is>
          <t>Warning: [!DOOR WIDTH &lt; 900mm]. Std: Uganda PWD Act 2020. Sev: CRITICAL. Scope: Doors.</t>
        </is>
      </c>
      <c r="G61" s="223" t="inlineStr">
        <is>
          <t>BLE_DOOR_WIDTH_MM, TAG_WARN_VISIBLE_BOOL, TAG_WARN_SEVERITY_FILTER_TXT</t>
        </is>
      </c>
      <c r="H61" s="223" t="inlineStr">
        <is>
          <t>nan</t>
        </is>
      </c>
      <c r="I61" s="223" t="n">
        <v>2</v>
      </c>
      <c r="J61" s="223" t="inlineStr">
        <is>
          <t>0fc57b7c-5ae3-5ace-a5b2-5ab7a79493a8</t>
        </is>
      </c>
      <c r="K61" s="223" t="inlineStr">
        <is>
          <t>Uganda</t>
        </is>
      </c>
      <c r="L61" s="223" t="inlineStr"/>
    </row>
    <row r="62">
      <c r="A62" s="224" t="inlineStr">
        <is>
          <t>WARNING</t>
        </is>
      </c>
      <c r="B62" s="223" t="inlineStr">
        <is>
          <t>BLE_STAIR_RISE_MM</t>
        </is>
      </c>
      <c r="C62" s="223" t="inlineStr">
        <is>
          <t>ARCHITECTURAL</t>
        </is>
      </c>
      <c r="D62" s="223" t="inlineStr">
        <is>
          <t>TEXT</t>
        </is>
      </c>
      <c r="E62" s="223" t="inlineStr">
        <is>
          <t>if(or(BLE_STAIR_RISE_MM &lt; 150, BLE_STAIR_RISE_MM &gt; 190), " [!RISE]", "")</t>
        </is>
      </c>
      <c r="F62" s="223" t="inlineStr">
        <is>
          <t>Warning: [!RISE OUT OF RANGE]. Std: BS 5395-1. Sev: HIGH. Scope: Stairs.</t>
        </is>
      </c>
      <c r="G62" s="223" t="inlineStr">
        <is>
          <t>BLE_STAIR_RISE_MM, TAG_WARN_VISIBLE_BOOL, TAG_WARN_SEVERITY_FILTER_TXT</t>
        </is>
      </c>
      <c r="H62" s="223" t="inlineStr">
        <is>
          <t>nan</t>
        </is>
      </c>
      <c r="I62" s="223" t="n">
        <v>2</v>
      </c>
      <c r="J62" s="223" t="inlineStr">
        <is>
          <t>0dcbfb44-1130-51b2-bea9-832d4ee087f7</t>
        </is>
      </c>
      <c r="K62" s="223" t="inlineStr">
        <is>
          <t>BS 5395</t>
        </is>
      </c>
      <c r="L62" s="223" t="inlineStr"/>
    </row>
    <row r="63">
      <c r="A63" s="224" t="inlineStr">
        <is>
          <t>WARNING</t>
        </is>
      </c>
      <c r="B63" s="223" t="inlineStr">
        <is>
          <t>BLE_STAIR_GOING_MM</t>
        </is>
      </c>
      <c r="C63" s="223" t="inlineStr">
        <is>
          <t>ARCHITECTURAL</t>
        </is>
      </c>
      <c r="D63" s="223" t="inlineStr">
        <is>
          <t>TEXT</t>
        </is>
      </c>
      <c r="E63" s="223" t="inlineStr">
        <is>
          <t>if(or(BLE_STAIR_GOING_MM &lt; 250, BLE_STAIR_GOING_MM &gt; 400), " [!GOING]", "")</t>
        </is>
      </c>
      <c r="F63" s="223" t="inlineStr">
        <is>
          <t>Warning: [!GOING OUT OF RANGE]. Std: BS 5395-1. Sev: HIGH. Scope: Stairs.</t>
        </is>
      </c>
      <c r="G63" s="223" t="inlineStr">
        <is>
          <t>BLE_STAIR_GOING_MM, TAG_WARN_VISIBLE_BOOL, TAG_WARN_SEVERITY_FILTER_TXT</t>
        </is>
      </c>
      <c r="H63" s="223" t="inlineStr">
        <is>
          <t>nan</t>
        </is>
      </c>
      <c r="I63" s="223" t="n">
        <v>2</v>
      </c>
      <c r="J63" s="223" t="inlineStr">
        <is>
          <t>3cb19d18-6500-5dc5-b461-d03a276b645f</t>
        </is>
      </c>
      <c r="K63" s="223" t="inlineStr">
        <is>
          <t>BS 5395</t>
        </is>
      </c>
      <c r="L63" s="223" t="inlineStr"/>
    </row>
    <row r="64">
      <c r="A64" s="224" t="inlineStr">
        <is>
          <t>WARNING</t>
        </is>
      </c>
      <c r="B64" s="223" t="inlineStr">
        <is>
          <t>BLE_STAIR_WIDTH_MM</t>
        </is>
      </c>
      <c r="C64" s="223" t="inlineStr">
        <is>
          <t>ARCHITECTURAL</t>
        </is>
      </c>
      <c r="D64" s="223" t="inlineStr">
        <is>
          <t>TEXT</t>
        </is>
      </c>
      <c r="E64" s="223" t="inlineStr">
        <is>
          <t>if(BLE_STAIR_WIDTH_MM &lt; 1000, " [!WIDTH &lt; 1000]", "")</t>
        </is>
      </c>
      <c r="F64" s="223" t="inlineStr">
        <is>
          <t>Warning: [!STAIR WIDTH &lt; 1000mm]. Std: BS 9999 / Uganda NBC. Sev: CRITICAL. Scope: Stairs (escape).</t>
        </is>
      </c>
      <c r="G64" s="223" t="inlineStr">
        <is>
          <t>BLE_STAIR_WIDTH_MM, TAG_WARN_VISIBLE_BOOL, TAG_WARN_SEVERITY_FILTER_TXT</t>
        </is>
      </c>
      <c r="H64" s="223" t="inlineStr">
        <is>
          <t>nan</t>
        </is>
      </c>
      <c r="I64" s="223" t="n">
        <v>2</v>
      </c>
      <c r="J64" s="223" t="inlineStr">
        <is>
          <t>dcaea437-8a54-5727-8011-81e5713d7054</t>
        </is>
      </c>
      <c r="K64" s="223" t="inlineStr">
        <is>
          <t>BS 9999</t>
        </is>
      </c>
      <c r="L64" s="223" t="inlineStr"/>
    </row>
    <row r="65">
      <c r="A65" s="224" t="inlineStr">
        <is>
          <t>WARNING</t>
        </is>
      </c>
      <c r="B65" s="223" t="inlineStr">
        <is>
          <t>PER_ACOUSTICS_BACKGROUND_NOISE_DB</t>
        </is>
      </c>
      <c r="C65" s="223" t="inlineStr">
        <is>
          <t>REGULATORY</t>
        </is>
      </c>
      <c r="D65" s="223" t="inlineStr">
        <is>
          <t>TEXT</t>
        </is>
      </c>
      <c r="E65" s="223" t="inlineStr">
        <is>
          <t>if(PER_ACOUSTICS_BACKGROUND_NOISE_DB &gt; 40, " [!NOISE &gt; 40dB]", "")</t>
        </is>
      </c>
      <c r="F65" s="223" t="inlineStr">
        <is>
          <t>Warning: [!BACKGROUND NOISE &gt; 40 dB]. Std: CIBSE Guide A / BB93. Sev: MEDIUM. Scope: Rooms (offices).</t>
        </is>
      </c>
      <c r="G65" s="223" t="inlineStr">
        <is>
          <t>PER_ACOUSTICS_BACKGROUND_NOISE_DB, TAG_WARN_VISIBLE_BOOL, TAG_WARN_SEVERITY_FILTER_TXT</t>
        </is>
      </c>
      <c r="H65" s="223" t="inlineStr">
        <is>
          <t>nan</t>
        </is>
      </c>
      <c r="I65" s="223" t="n">
        <v>2</v>
      </c>
      <c r="J65" s="223" t="inlineStr">
        <is>
          <t>8c9fd02a-9caa-56df-8791-63e6d6ccd7c1</t>
        </is>
      </c>
      <c r="K65" s="223" t="inlineStr">
        <is>
          <t>CIBSE</t>
        </is>
      </c>
      <c r="L65" s="223" t="inlineStr"/>
    </row>
    <row r="66">
      <c r="A66" s="224" t="inlineStr">
        <is>
          <t>WARNING</t>
        </is>
      </c>
      <c r="B66" s="223" t="inlineStr">
        <is>
          <t>ASS_DESIGN_LTG_LVL_LUX_NR</t>
        </is>
      </c>
      <c r="C66" s="223" t="inlineStr">
        <is>
          <t>MULTI</t>
        </is>
      </c>
      <c r="D66" s="223" t="inlineStr">
        <is>
          <t>TEXT</t>
        </is>
      </c>
      <c r="E66" s="223" t="inlineStr">
        <is>
          <t>if(ASS_DESIGN_LTG_LVL_LUX_NR &lt; 300, " [!LUX &lt; 300]", "")</t>
        </is>
      </c>
      <c r="F66" s="223" t="inlineStr">
        <is>
          <t>Warning: [!ILLUMINANCE &lt; 300 lux]. Std: BS EN 12464-1 / CIBSE. Sev: MEDIUM. Scope: Rooms (offices).</t>
        </is>
      </c>
      <c r="G66" s="223" t="inlineStr">
        <is>
          <t>ASS_DESIGN_LTG_LVL_LUX_NR, TAG_WARN_VISIBLE_BOOL, TAG_WARN_SEVERITY_FILTER_TXT</t>
        </is>
      </c>
      <c r="H66" s="223" t="inlineStr">
        <is>
          <t>nan</t>
        </is>
      </c>
      <c r="I66" s="223" t="n">
        <v>2</v>
      </c>
      <c r="J66" s="223" t="inlineStr">
        <is>
          <t>bfacc484-130a-5d4f-ab93-6980d071f989</t>
        </is>
      </c>
      <c r="K66" s="223" t="inlineStr">
        <is>
          <t>BS EN 12464</t>
        </is>
      </c>
      <c r="L66" s="223" t="inlineStr"/>
    </row>
    <row r="67">
      <c r="A67" s="224" t="inlineStr">
        <is>
          <t>WARNING</t>
        </is>
      </c>
      <c r="B67" s="223" t="inlineStr">
        <is>
          <t>BLE_STRUCT_CONCRETE_GRADE_TXT</t>
        </is>
      </c>
      <c r="C67" s="223" t="inlineStr">
        <is>
          <t>COSTING</t>
        </is>
      </c>
      <c r="D67" s="223" t="inlineStr">
        <is>
          <t>TEXT</t>
        </is>
      </c>
      <c r="E67" s="223" t="inlineStr">
        <is>
          <t>(text comparison via lookup table)</t>
        </is>
      </c>
      <c r="F67" s="223" t="inlineStr">
        <is>
          <t>Warning: [!CHECK GRADE vs EXPOSURE]. Std: BS 8500 / UNBS. Sev: HIGH. Scope: Str Columns, Str Framing, Str Foundations.</t>
        </is>
      </c>
      <c r="G67" s="223" t="inlineStr">
        <is>
          <t>BLE_STRUCT_CONCRETE_GRADE_TXT, TAG_WARN_VISIBLE_BOOL, TAG_WARN_SEVERITY_FILTER_TXT</t>
        </is>
      </c>
      <c r="H67" s="223" t="inlineStr">
        <is>
          <t>nan</t>
        </is>
      </c>
      <c r="I67" s="223" t="n">
        <v>2</v>
      </c>
      <c r="J67" s="223" t="inlineStr">
        <is>
          <t>9499fb71-5eab-5b17-9f5b-8741104bd98c</t>
        </is>
      </c>
      <c r="K67" s="223" t="inlineStr">
        <is>
          <t>BS 8500</t>
        </is>
      </c>
      <c r="L67" s="223" t="inlineStr"/>
    </row>
    <row r="68">
      <c r="A68" s="224" t="inlineStr">
        <is>
          <t>WARNING</t>
        </is>
      </c>
      <c r="B68" s="223" t="inlineStr">
        <is>
          <t>WARN_PER_SUST_CARBON_FOOTPRINT_KG_WALLS__FLOORS__</t>
        </is>
      </c>
      <c r="C68" s="223" t="inlineStr">
        <is>
          <t>SUSTAINABILITY</t>
        </is>
      </c>
      <c r="D68" s="223" t="inlineStr">
        <is>
          <t>TEXT</t>
        </is>
      </c>
      <c r="E68" s="223" t="inlineStr">
        <is>
          <t>if(PER_SUST_CARBON_FOOTPRINT_KG &gt; THRESHOLD, " [!CO2]", "")</t>
        </is>
      </c>
      <c r="F68" s="223" t="inlineStr">
        <is>
          <t>Warning: [!EMBODIED CARBON HIGH]. Std: EDGE / IFC Performance. Sev: MEDIUM. Scope: Walls, Floors, Roofs.</t>
        </is>
      </c>
      <c r="G68" s="223" t="inlineStr">
        <is>
          <t>PER_SUST_CARBON_FOOTPRINT_KG, TAG_WARN_VISIBLE_BOOL, TAG_WARN_SEVERITY_FILTER_TXT</t>
        </is>
      </c>
      <c r="H68" s="223" t="inlineStr">
        <is>
          <t>nan</t>
        </is>
      </c>
      <c r="I68" s="223" t="n">
        <v>2</v>
      </c>
      <c r="J68" s="223" t="inlineStr">
        <is>
          <t>6e84d561-9ed6-5f1a-9e4c-5a999c6133f9</t>
        </is>
      </c>
      <c r="K68" s="223" t="inlineStr">
        <is>
          <t>EDGE</t>
        </is>
      </c>
      <c r="L68" s="223" t="inlineStr"/>
    </row>
    <row r="69">
      <c r="A69" s="230" t="inlineStr">
        <is>
          <t>DERIVED CALC</t>
        </is>
      </c>
      <c r="B69" s="223" t="inlineStr">
        <is>
          <t>RGL_PLOT_FAR_NR</t>
        </is>
      </c>
      <c r="C69" s="223" t="inlineStr">
        <is>
          <t>REGULATORY</t>
        </is>
      </c>
      <c r="D69" s="223" t="inlineStr">
        <is>
          <t>NUMBER</t>
        </is>
      </c>
      <c r="E69" s="223" t="inlineStr">
        <is>
          <t>RGL_TOTAL_FLOOR_AREA_SQ_M / RGL_PLOT_AREA_SQ_M</t>
        </is>
      </c>
      <c r="F69" s="223" t="inlineStr">
        <is>
          <t>Floor area ratio = GFA/plot. KCCA zone limit.</t>
        </is>
      </c>
      <c r="G69" s="223" t="inlineStr">
        <is>
          <t>RGL_TOTAL_FLOOR_AREA_SQ_M, RGL_PLOT_AREA_SQ_M</t>
        </is>
      </c>
      <c r="H69" s="223" t="inlineStr">
        <is>
          <t>ratio</t>
        </is>
      </c>
      <c r="I69" s="223" t="n">
        <v>1</v>
      </c>
      <c r="J69" s="223" t="inlineStr">
        <is>
          <t>7a18ce43-c3be-5ad8-9d8c-16c1aaec5026</t>
        </is>
      </c>
      <c r="K69" s="223" t="inlineStr">
        <is>
          <t>KCCA</t>
        </is>
      </c>
      <c r="L69" s="223" t="inlineStr"/>
    </row>
    <row r="70">
      <c r="A70" s="230" t="inlineStr">
        <is>
          <t>DERIVED CALC</t>
        </is>
      </c>
      <c r="B70" s="223" t="inlineStr">
        <is>
          <t>RGL_WINDOW_WALL_RATIO_PCT</t>
        </is>
      </c>
      <c r="C70" s="223" t="inlineStr">
        <is>
          <t>REGULATORY</t>
        </is>
      </c>
      <c r="D70" s="223" t="inlineStr">
        <is>
          <t>NUMBER</t>
        </is>
      </c>
      <c r="E70" s="223" t="inlineStr">
        <is>
          <t>RGL_WINDOW_AREA_SQ_M / (BLE_WALL_LENGTH_MM * BLE_WALL_HEIGHT_MM / 1000000) * 100</t>
        </is>
      </c>
      <c r="F70" s="223" t="inlineStr">
        <is>
          <t>Window-to-wall ratio for ASHRAE 90.1 energy compliance.</t>
        </is>
      </c>
      <c r="G70" s="223" t="inlineStr">
        <is>
          <t>RGL_WINDOW_AREA_SQ_M, BLE_WALL_LENGTH_MM, BLE_WALL_HEIGHT_MM</t>
        </is>
      </c>
      <c r="H70" s="223" t="inlineStr">
        <is>
          <t>%</t>
        </is>
      </c>
      <c r="I70" s="223" t="n">
        <v>1</v>
      </c>
      <c r="J70" s="223" t="inlineStr">
        <is>
          <t>68c643e9-c5af-50a6-8076-0c2e1d22a15c</t>
        </is>
      </c>
      <c r="K70" s="223" t="inlineStr">
        <is>
          <t>ASHRAE</t>
        </is>
      </c>
      <c r="L70" s="223" t="inlineStr"/>
    </row>
    <row r="71">
      <c r="A71" s="230" t="inlineStr">
        <is>
          <t>DERIVED CALC</t>
        </is>
      </c>
      <c r="B71" s="223" t="inlineStr">
        <is>
          <t>RGL_PARKING_SPACES_NR</t>
        </is>
      </c>
      <c r="C71" s="223" t="inlineStr">
        <is>
          <t>REGULATORY</t>
        </is>
      </c>
      <c r="D71" s="223" t="inlineStr">
        <is>
          <t>NUMBER</t>
        </is>
      </c>
      <c r="E71" s="223" t="inlineStr">
        <is>
          <t>RGL_TOTAL_FLOOR_AREA_SQ_M / RGL_PARKING_PROVISION_M2_NR</t>
        </is>
      </c>
      <c r="F71" s="223" t="inlineStr">
        <is>
          <t>Required parking = GFA / provision rate (KCCA 1 per 30-50m2).</t>
        </is>
      </c>
      <c r="G71" s="223" t="inlineStr">
        <is>
          <t>RGL_TOTAL_FLOOR_AREA_SQ_M, RGL_PARKING_PROVISION_M2_NR</t>
        </is>
      </c>
      <c r="H71" s="223" t="inlineStr">
        <is>
          <t>spaces</t>
        </is>
      </c>
      <c r="I71" s="223" t="n">
        <v>1</v>
      </c>
      <c r="J71" s="223" t="inlineStr">
        <is>
          <t>222a0812-8771-5cb3-88f2-faef4124ea13</t>
        </is>
      </c>
      <c r="K71" s="223" t="inlineStr">
        <is>
          <t>KCCA</t>
        </is>
      </c>
      <c r="L71" s="223" t="inlineStr"/>
    </row>
    <row r="72">
      <c r="A72" s="230" t="inlineStr">
        <is>
          <t>DERIVED CALC</t>
        </is>
      </c>
      <c r="B72" s="223" t="inlineStr">
        <is>
          <t>RGL_ACCESS_RAMP_SLOPE_PCT</t>
        </is>
      </c>
      <c r="C72" s="223" t="inlineStr">
        <is>
          <t>REGULATORY</t>
        </is>
      </c>
      <c r="D72" s="223" t="inlineStr">
        <is>
          <t>NUMBER</t>
        </is>
      </c>
      <c r="E72" s="223" t="inlineStr">
        <is>
          <t>(RGL_ACCESS_RAMP_RISE_MM / RGL_ACCESS_RAMP_LENGTH_MM) * 100</t>
        </is>
      </c>
      <c r="F72" s="223" t="inlineStr">
        <is>
          <t>Ramp gradient. Uganda PWD Act 2020 max 8.33% (1:12).</t>
        </is>
      </c>
      <c r="G72" s="223" t="inlineStr">
        <is>
          <t>RGL_ACCESS_RAMP_RISE_MM, RGL_ACCESS_RAMP_LENGTH_MM</t>
        </is>
      </c>
      <c r="H72" s="223" t="inlineStr">
        <is>
          <t>%</t>
        </is>
      </c>
      <c r="I72" s="223" t="n">
        <v>0</v>
      </c>
      <c r="J72" s="223" t="inlineStr">
        <is>
          <t>74e40f15-4c6e-551e-80b5-ce6078a9a80b</t>
        </is>
      </c>
      <c r="K72" s="223" t="inlineStr">
        <is>
          <t>Uganda</t>
        </is>
      </c>
      <c r="L72" s="223" t="inlineStr"/>
    </row>
    <row r="73">
      <c r="A73" s="230" t="inlineStr">
        <is>
          <t>DERIVED CALC</t>
        </is>
      </c>
      <c r="B73" s="223" t="inlineStr">
        <is>
          <t>PER_SUST_GLAZING_RATIO_PCT</t>
        </is>
      </c>
      <c r="C73" s="223" t="inlineStr">
        <is>
          <t>SUSTAINABILITY</t>
        </is>
      </c>
      <c r="D73" s="223" t="inlineStr">
        <is>
          <t>NUMBER</t>
        </is>
      </c>
      <c r="E73" s="223" t="inlineStr">
        <is>
          <t>PER_SUST_GLAZING_AREA_SQ_M / (PER_SUST_GLAZING_AREA_SQ_M + BLE_WALL_LENGTH_MM * BLE_WALL_HEIGHT_MM / 1000000) * 100</t>
        </is>
      </c>
      <c r="F73" s="223" t="inlineStr">
        <is>
          <t>Glazing ratio for EDGE / energy compliance.</t>
        </is>
      </c>
      <c r="G73" s="223" t="inlineStr">
        <is>
          <t>PER_SUST_GLAZING_AREA_SQ_M, BLE_WALL_LENGTH_MM, BLE_WALL_HEIGHT_MM</t>
        </is>
      </c>
      <c r="H73" s="223" t="inlineStr">
        <is>
          <t>%</t>
        </is>
      </c>
      <c r="I73" s="223" t="n">
        <v>1</v>
      </c>
      <c r="J73" s="223" t="inlineStr">
        <is>
          <t>2bf18117-9e9b-5575-a6c7-3dc5f2b71bcd</t>
        </is>
      </c>
      <c r="K73" s="223" t="inlineStr">
        <is>
          <t>EDGE</t>
        </is>
      </c>
      <c r="L73" s="223" t="inlineStr"/>
    </row>
    <row r="74">
      <c r="A74" s="230" t="inlineStr">
        <is>
          <t>DERIVED CALC</t>
        </is>
      </c>
      <c r="B74" s="223" t="inlineStr">
        <is>
          <t>PER_SUST_SOLAR_GAIN_W</t>
        </is>
      </c>
      <c r="C74" s="223" t="inlineStr">
        <is>
          <t>SUSTAINABILITY</t>
        </is>
      </c>
      <c r="D74" s="223" t="inlineStr">
        <is>
          <t>NUMBER</t>
        </is>
      </c>
      <c r="E74" s="223" t="inlineStr">
        <is>
          <t>PER_THERM_SOLAR_IRRADIANCE_W_M2 * PER_SUST_GLAZING_AREA_SQ_M * PER_SUST_TRANSMITTANCE_NR</t>
        </is>
      </c>
      <c r="F74" s="223" t="inlineStr">
        <is>
          <t>Solar gain = irradiance x glazing x SHGC. Tropical Uganda critical.</t>
        </is>
      </c>
      <c r="G74" s="223" t="inlineStr">
        <is>
          <t>PER_THERM_SOLAR_IRRADIANCE_W_M2, PER_SUST_GLAZING_AREA_SQ_M, PER_SUST_TRANSMITTANCE_NR</t>
        </is>
      </c>
      <c r="H74" s="223" t="inlineStr">
        <is>
          <t>W</t>
        </is>
      </c>
      <c r="I74" s="223" t="n">
        <v>1</v>
      </c>
      <c r="J74" s="223" t="inlineStr">
        <is>
          <t>cb75e3b5-7c02-5282-ac2a-93291ae188d8</t>
        </is>
      </c>
      <c r="K74" s="223" t="inlineStr">
        <is>
          <t>Uganda</t>
        </is>
      </c>
      <c r="L74" s="223" t="inlineStr"/>
    </row>
    <row r="75">
      <c r="A75" s="230" t="inlineStr">
        <is>
          <t>DERIVED CALC</t>
        </is>
      </c>
      <c r="B75" s="223" t="inlineStr">
        <is>
          <t>PER_SUST_CARBON_PER_M2_KG</t>
        </is>
      </c>
      <c r="C75" s="223" t="inlineStr">
        <is>
          <t>SUSTAINABILITY</t>
        </is>
      </c>
      <c r="D75" s="223" t="inlineStr">
        <is>
          <t>NUMBER</t>
        </is>
      </c>
      <c r="E75" s="223" t="inlineStr">
        <is>
          <t>PER_SUST_CARBON_FOOTPRINT_KG / BLE_ELE_AREA_SQ_M</t>
        </is>
      </c>
      <c r="F75" s="223" t="inlineStr">
        <is>
          <t>Embodied carbon intensity = kgCO2e / m2 (EDGE benchmark).</t>
        </is>
      </c>
      <c r="G75" s="223" t="inlineStr">
        <is>
          <t>PER_SUST_CARBON_FOOTPRINT_KG, BLE_ELE_AREA_SQ_M</t>
        </is>
      </c>
      <c r="H75" s="223" t="inlineStr">
        <is>
          <t>kgCO2e/m2</t>
        </is>
      </c>
      <c r="I75" s="223" t="n">
        <v>1</v>
      </c>
      <c r="J75" s="223" t="inlineStr">
        <is>
          <t>d47154d0-dddd-5661-a17f-373bbdbd2e5a</t>
        </is>
      </c>
      <c r="K75" s="223" t="inlineStr">
        <is>
          <t>EDGE</t>
        </is>
      </c>
      <c r="L75" s="223" t="inlineStr"/>
    </row>
    <row r="76">
      <c r="A76" s="224" t="inlineStr">
        <is>
          <t>WARNING</t>
        </is>
      </c>
      <c r="B76" s="223" t="inlineStr">
        <is>
          <t>PER_ACOUSTICS_RT60_S</t>
        </is>
      </c>
      <c r="C76" s="223" t="inlineStr">
        <is>
          <t>SUSTAINABILITY</t>
        </is>
      </c>
      <c r="D76" s="223" t="inlineStr">
        <is>
          <t>NUMBER</t>
        </is>
      </c>
      <c r="E76" s="223" t="inlineStr">
        <is>
          <t>0.161 * ASS_ROOM_VOLUME_CU_M / PER_ACOUSTICS_TOTAL_ABSORPTION_M2</t>
        </is>
      </c>
      <c r="F76" s="223" t="inlineStr">
        <is>
          <t>Reverberation time RT60 = 0.161V/A (Sabine). Target 0.4-0.8s offices.</t>
        </is>
      </c>
      <c r="G76" s="223" t="inlineStr">
        <is>
          <t>ASS_ROOM_VOLUME_CU_M, PER_ACOUSTICS_TOTAL_ABSORPTION_M2</t>
        </is>
      </c>
      <c r="H76" s="223" t="inlineStr">
        <is>
          <t>s</t>
        </is>
      </c>
      <c r="I76" s="223" t="n">
        <v>2</v>
      </c>
      <c r="J76" s="223" t="inlineStr">
        <is>
          <t>1be75af3-1195-585d-9cb9-2dc46902ab9d</t>
        </is>
      </c>
      <c r="K76" s="223" t="inlineStr"/>
      <c r="L76" s="223" t="inlineStr"/>
    </row>
    <row r="77">
      <c r="A77" s="230" t="inlineStr">
        <is>
          <t>DERIVED CALC</t>
        </is>
      </c>
      <c r="B77" s="223" t="inlineStr">
        <is>
          <t>CST_S_MAS_BLOCKS_NR</t>
        </is>
      </c>
      <c r="C77" s="223" t="inlineStr">
        <is>
          <t>CONSTRUCTION</t>
        </is>
      </c>
      <c r="D77" s="223" t="inlineStr">
        <is>
          <t>NUMBER</t>
        </is>
      </c>
      <c r="E77" s="223" t="inlineStr">
        <is>
          <t>CST_S_MAS_WALL_AREA_SQ_M * 12.5 * (1 + CST_S_MAS_WASTAGE_FCT_PCT / 100)</t>
        </is>
      </c>
      <c r="F77" s="223" t="inlineStr">
        <is>
          <t>Block count = area x 12.5/m2 x (1+wastage%). 400x200mm block.</t>
        </is>
      </c>
      <c r="G77" s="223" t="inlineStr">
        <is>
          <t>CST_S_MAS_WALL_AREA_SQ_M, CST_S_MAS_WASTAGE_FCT_PCT</t>
        </is>
      </c>
      <c r="H77" s="223" t="inlineStr">
        <is>
          <t>nr</t>
        </is>
      </c>
      <c r="I77" s="223" t="n">
        <v>1</v>
      </c>
      <c r="J77" s="223" t="inlineStr">
        <is>
          <t>85a6339a-7452-5a7c-bb42-a576da94a6fb</t>
        </is>
      </c>
      <c r="K77" s="223" t="inlineStr"/>
      <c r="L77" s="223" t="inlineStr"/>
    </row>
    <row r="78">
      <c r="A78" s="230" t="inlineStr">
        <is>
          <t>DERIVED CALC</t>
        </is>
      </c>
      <c r="B78" s="223" t="inlineStr">
        <is>
          <t>CST_S_MAS_NET_WALL_AREA_SQ_M</t>
        </is>
      </c>
      <c r="C78" s="223" t="inlineStr">
        <is>
          <t>CONSTRUCTION</t>
        </is>
      </c>
      <c r="D78" s="223" t="inlineStr">
        <is>
          <t>AREA</t>
        </is>
      </c>
      <c r="E78" s="223" t="inlineStr">
        <is>
          <t>CST_S_MAS_WALL_AREA_SQ_M - CST_S_MAS_OPENING_AREA_SQ_M</t>
        </is>
      </c>
      <c r="F78" s="223" t="inlineStr">
        <is>
          <t>Net masonry = gross wall minus openings.</t>
        </is>
      </c>
      <c r="G78" s="223" t="inlineStr">
        <is>
          <t>CST_S_MAS_WALL_AREA_SQ_M, CST_S_MAS_OPENING_AREA_SQ_M</t>
        </is>
      </c>
      <c r="H78" s="223" t="inlineStr">
        <is>
          <t>m2</t>
        </is>
      </c>
      <c r="I78" s="223" t="n">
        <v>0</v>
      </c>
      <c r="J78" s="223" t="inlineStr">
        <is>
          <t>206141dc-617d-5039-9f78-94fd3f4e5b8b</t>
        </is>
      </c>
      <c r="K78" s="223" t="inlineStr"/>
      <c r="L78" s="223" t="inlineStr"/>
    </row>
    <row r="79">
      <c r="A79" s="230" t="inlineStr">
        <is>
          <t>DERIVED CALC</t>
        </is>
      </c>
      <c r="B79" s="223" t="inlineStr">
        <is>
          <t>CST_S_REI_TOTAL_WEIGHT_KG</t>
        </is>
      </c>
      <c r="C79" s="223" t="inlineStr">
        <is>
          <t>CONSTRUCTION</t>
        </is>
      </c>
      <c r="D79" s="223" t="inlineStr">
        <is>
          <t>NUMBER</t>
        </is>
      </c>
      <c r="E79" s="223" t="inlineStr">
        <is>
          <t>CST_S_REI_UNIT_WT_KG * (CST_S_REI_LENGTH_M / (CST_S_REI_SPACING_MM / 1000))</t>
        </is>
      </c>
      <c r="F79" s="223" t="inlineStr">
        <is>
          <t>Rebar weight = unit wt x (length / spacing).</t>
        </is>
      </c>
      <c r="G79" s="223" t="inlineStr">
        <is>
          <t>CST_S_REI_UNIT_WT_KG, CST_S_REI_LENGTH_M, CST_S_REI_SPACING_MM</t>
        </is>
      </c>
      <c r="H79" s="223" t="inlineStr">
        <is>
          <t>kg</t>
        </is>
      </c>
      <c r="I79" s="223" t="n">
        <v>0</v>
      </c>
      <c r="J79" s="223" t="inlineStr">
        <is>
          <t>9699ba2e-e621-5621-9ea4-7b9dda1c3e8f</t>
        </is>
      </c>
      <c r="K79" s="223" t="inlineStr"/>
      <c r="L79" s="223" t="inlineStr"/>
    </row>
    <row r="80">
      <c r="A80" s="230" t="inlineStr">
        <is>
          <t>DERIVED CALC</t>
        </is>
      </c>
      <c r="B80" s="223" t="inlineStr">
        <is>
          <t>CST_S_REI_LAP_LENGTH_MM</t>
        </is>
      </c>
      <c r="C80" s="223" t="inlineStr">
        <is>
          <t>CONSTRUCTION</t>
        </is>
      </c>
      <c r="D80" s="223" t="inlineStr">
        <is>
          <t>LENGTH</t>
        </is>
      </c>
      <c r="E80" s="223" t="inlineStr">
        <is>
          <t>CST_S_REI_DIAMETER_MM * 40</t>
        </is>
      </c>
      <c r="F80" s="223" t="inlineStr">
        <is>
          <t>Lap = 40d (BS 8666 tension lap C25+).</t>
        </is>
      </c>
      <c r="G80" s="223" t="inlineStr">
        <is>
          <t>CST_S_REI_DIAMETER_MM</t>
        </is>
      </c>
      <c r="H80" s="223" t="inlineStr">
        <is>
          <t>mm</t>
        </is>
      </c>
      <c r="I80" s="223" t="n">
        <v>0</v>
      </c>
      <c r="J80" s="223" t="inlineStr">
        <is>
          <t>8e0dba14-5377-57bf-8dce-5088f2a9a57c</t>
        </is>
      </c>
      <c r="K80" s="223" t="inlineStr">
        <is>
          <t>BS 8666</t>
        </is>
      </c>
      <c r="L80" s="223" t="inlineStr"/>
    </row>
    <row r="81">
      <c r="A81" s="230" t="inlineStr">
        <is>
          <t>DERIVED CALC</t>
        </is>
      </c>
      <c r="B81" s="223" t="inlineStr">
        <is>
          <t>CST_TOTAL_EQUIPMENT_COST</t>
        </is>
      </c>
      <c r="C81" s="223" t="inlineStr">
        <is>
          <t>CONSTRUCTION</t>
        </is>
      </c>
      <c r="D81" s="223" t="inlineStr">
        <is>
          <t>CURRENCY</t>
        </is>
      </c>
      <c r="E81" s="223" t="inlineStr">
        <is>
          <t>ASS_CST_UNIT_PRICE_UGX_NR * ASS_CST_QUANTITY_NR</t>
        </is>
      </c>
      <c r="F81" s="223" t="inlineStr">
        <is>
          <t>Equipment cost = unit price x quantity.</t>
        </is>
      </c>
      <c r="G81" s="223" t="inlineStr">
        <is>
          <t>ASS_CST_UNIT_PRICE_UGX_NR, ASS_CST_QUANTITY_NR</t>
        </is>
      </c>
      <c r="H81" s="223" t="inlineStr">
        <is>
          <t>UGX</t>
        </is>
      </c>
      <c r="I81" s="223" t="n">
        <v>0</v>
      </c>
      <c r="J81" s="223" t="inlineStr">
        <is>
          <t>a7b8c9d0-e1f2-3456-abcd-7890123456a7</t>
        </is>
      </c>
      <c r="K81" s="223" t="inlineStr"/>
      <c r="L81" s="223" t="inlineStr"/>
    </row>
    <row r="82">
      <c r="A82" s="230" t="inlineStr">
        <is>
          <t>DERIVED CALC</t>
        </is>
      </c>
      <c r="B82" s="223" t="inlineStr">
        <is>
          <t>CST_S_FRM_FORMWORK_AREA_SQ_M</t>
        </is>
      </c>
      <c r="C82" s="223" t="inlineStr">
        <is>
          <t>CONSTRUCTION</t>
        </is>
      </c>
      <c r="D82" s="223" t="inlineStr">
        <is>
          <t>AREA</t>
        </is>
      </c>
      <c r="E82" s="223" t="inlineStr">
        <is>
          <t>CST_S_FRM_SLAB_AREA_SQ_M + CST_S_FRM_BEAM_AREA_SQ_M + CST_S_FRM_COLUMN_AREA_SQ_M</t>
        </is>
      </c>
      <c r="F82" s="223" t="inlineStr">
        <is>
          <t>Total formwork area = slab + beam + column soffit areas.</t>
        </is>
      </c>
      <c r="G82" s="223" t="inlineStr">
        <is>
          <t>CST_S_FRM_SLAB_AREA_SQ_M, CST_S_FRM_BEAM_AREA_SQ_M, CST_S_FRM_COLUMN_AREA_SQ_M</t>
        </is>
      </c>
      <c r="H82" s="223" t="inlineStr">
        <is>
          <t>m2</t>
        </is>
      </c>
      <c r="I82" s="223" t="n">
        <v>0</v>
      </c>
      <c r="J82" s="223" t="inlineStr">
        <is>
          <t>e7d06e84-1f02-51ff-9610-ed5638f9411f</t>
        </is>
      </c>
      <c r="K82" s="223" t="inlineStr"/>
      <c r="L82" s="223" t="inlineStr"/>
    </row>
    <row r="83">
      <c r="A83" s="230" t="inlineStr">
        <is>
          <t>DERIVED CALC</t>
        </is>
      </c>
      <c r="B83" s="223" t="inlineStr">
        <is>
          <t>PLM_PPE_VELOCITY_CALC_MPS</t>
        </is>
      </c>
      <c r="C83" s="223" t="inlineStr">
        <is>
          <t>PLUMBING</t>
        </is>
      </c>
      <c r="D83" s="223" t="inlineStr">
        <is>
          <t>NUMBER</t>
        </is>
      </c>
      <c r="E83" s="223" t="inlineStr">
        <is>
          <t>PLM_PPE_FLW_LPS / 1000 / (3.14159 * (PLM_PPE_SZ_MM / 2000) ^ 2)</t>
        </is>
      </c>
      <c r="F83" s="223" t="inlineStr">
        <is>
          <t>Pipe velocity = Q/A. &gt;2.0m/s warning (BS EN 806-3).</t>
        </is>
      </c>
      <c r="G83" s="223" t="inlineStr">
        <is>
          <t>PLM_PPE_FLW_LPS, PLM_PPE_SZ_MM</t>
        </is>
      </c>
      <c r="H83" s="223" t="inlineStr">
        <is>
          <t>m/s</t>
        </is>
      </c>
      <c r="I83" s="223" t="n">
        <v>0</v>
      </c>
      <c r="J83" s="223" t="inlineStr">
        <is>
          <t>4d308f43-a59f-5f8f-b612-dc5f7d261431</t>
        </is>
      </c>
      <c r="K83" s="223" t="inlineStr">
        <is>
          <t>BS EN 806</t>
        </is>
      </c>
      <c r="L83" s="223" t="inlineStr"/>
    </row>
    <row r="84">
      <c r="A84" s="230" t="inlineStr">
        <is>
          <t>DERIVED CALC</t>
        </is>
      </c>
      <c r="B84" s="223" t="inlineStr">
        <is>
          <t>PLM_DRN_TRAP_EFFECTIVE_SEAL_MM</t>
        </is>
      </c>
      <c r="C84" s="223" t="inlineStr">
        <is>
          <t>PLUMBING</t>
        </is>
      </c>
      <c r="D84" s="223" t="inlineStr">
        <is>
          <t>NUMBER</t>
        </is>
      </c>
      <c r="E84" s="223" t="inlineStr">
        <is>
          <t>PLM_DRN_TRAP_SEAL_DEPTH_MM - 13</t>
        </is>
      </c>
      <c r="F84" s="223" t="inlineStr">
        <is>
          <t>Trap seal = depth minus 13mm evap. Min 25mm (BS EN 12056).</t>
        </is>
      </c>
      <c r="G84" s="223" t="inlineStr">
        <is>
          <t>PLM_DRN_TRAP_SEAL_DEPTH_MM</t>
        </is>
      </c>
      <c r="H84" s="223" t="inlineStr">
        <is>
          <t>mm</t>
        </is>
      </c>
      <c r="I84" s="223" t="n">
        <v>0</v>
      </c>
      <c r="J84" s="223" t="inlineStr">
        <is>
          <t>b3ca7441-caaa-57ee-8109-0dc65fcf156f</t>
        </is>
      </c>
      <c r="K84" s="223" t="inlineStr">
        <is>
          <t>BS EN 12056</t>
        </is>
      </c>
      <c r="L84" s="223" t="inlineStr"/>
    </row>
    <row r="85">
      <c r="A85" s="230" t="inlineStr">
        <is>
          <t>DERIVED CALC</t>
        </is>
      </c>
      <c r="B85" s="223" t="inlineStr">
        <is>
          <t>FLS_SFTY_HEADS_PER_ZONE_NR</t>
        </is>
      </c>
      <c r="C85" s="223" t="inlineStr">
        <is>
          <t>FIRE</t>
        </is>
      </c>
      <c r="D85" s="223" t="inlineStr">
        <is>
          <t>NUMBER</t>
        </is>
      </c>
      <c r="E85" s="223" t="inlineStr">
        <is>
          <t>FLS_SFTY_COVERAGE_AREA_SQ_M / 21</t>
        </is>
      </c>
      <c r="F85" s="223" t="inlineStr">
        <is>
          <t>Sprinkler heads/zone = area / 21m2 (BS EN 12845 OH).</t>
        </is>
      </c>
      <c r="G85" s="223" t="inlineStr">
        <is>
          <t>FLS_SFTY_COVERAGE_AREA_SQ_M</t>
        </is>
      </c>
      <c r="H85" s="223" t="inlineStr">
        <is>
          <t>nr</t>
        </is>
      </c>
      <c r="I85" s="223" t="n">
        <v>0</v>
      </c>
      <c r="J85" s="223" t="inlineStr">
        <is>
          <t>a83fffc0-82dc-537b-b362-1e374b217e03</t>
        </is>
      </c>
      <c r="K85" s="223" t="inlineStr">
        <is>
          <t>BS EN 12845</t>
        </is>
      </c>
      <c r="L85" s="223" t="inlineStr"/>
    </row>
    <row r="87">
      <c r="A87" s="226" t="inlineStr">
        <is>
          <t>SUMMARY</t>
        </is>
      </c>
    </row>
    <row r="88">
      <c r="A88" s="122" t="inlineStr">
        <is>
          <t>Paragraph: 36 | Warning: 31 | Derived: 16 | Total: 83</t>
        </is>
      </c>
    </row>
  </sheetData>
  <mergeCells count="1">
    <mergeCell ref="A1:L1"/>
  </mergeCells>
  <pageMargins left="0.75" right="0.75" top="1" bottom="1" header="0.5" footer="0.5"/>
</worksheet>
</file>

<file path=xl/worksheets/sheet12.xml><?xml version="1.0" encoding="utf-8"?>
<worksheet xmlns="http://schemas.openxmlformats.org/spreadsheetml/2006/main">
  <sheetPr>
    <tabColor rgb="00DF5426"/>
    <outlinePr summaryBelow="1" summaryRight="1"/>
    <pageSetUpPr/>
  </sheetPr>
  <dimension ref="A1:F13"/>
  <sheetViews>
    <sheetView workbookViewId="0">
      <selection activeCell="A1" sqref="A1"/>
    </sheetView>
  </sheetViews>
  <sheetFormatPr baseColWidth="8" defaultRowHeight="15"/>
  <cols>
    <col width="8" customWidth="1" style="123" min="1" max="1"/>
    <col width="75" customWidth="1" style="123" min="2" max="2"/>
    <col width="10" customWidth="1" style="123" min="3" max="3"/>
    <col width="10" customWidth="1" style="123" min="4" max="4"/>
    <col width="10" customWidth="1" style="123" min="5" max="5"/>
    <col width="50" customWidth="1" style="123" min="6" max="6"/>
  </cols>
  <sheetData>
    <row r="1">
      <c r="A1" s="231" t="inlineStr">
        <is>
          <t>Check</t>
        </is>
      </c>
      <c r="B1" s="231" t="inlineStr">
        <is>
          <t>Validation</t>
        </is>
      </c>
      <c r="C1" s="231" t="inlineStr">
        <is>
          <t>Severity</t>
        </is>
      </c>
      <c r="D1" s="231" t="inlineStr">
        <is>
          <t>Automated?</t>
        </is>
      </c>
      <c r="E1" s="231" t="inlineStr">
        <is>
          <t>Sheet ref</t>
        </is>
      </c>
      <c r="F1" s="231" t="inlineStr">
        <is>
          <t>Notes</t>
        </is>
      </c>
    </row>
    <row r="2">
      <c r="A2" s="223" t="inlineStr">
        <is>
          <t>V-21</t>
        </is>
      </c>
      <c r="B2" s="223" t="inlineStr">
        <is>
          <t>All 83 new formulas in FORMULAS_WITH_DEPENDENCIES.csv have zero duplicate names</t>
        </is>
      </c>
      <c r="C2" s="225" t="inlineStr">
        <is>
          <t>CRITICAL</t>
        </is>
      </c>
      <c r="D2" s="223" t="inlineStr">
        <is>
          <t>Yes</t>
        </is>
      </c>
      <c r="E2" s="223" t="inlineStr">
        <is>
          <t>10</t>
        </is>
      </c>
      <c r="F2" s="223" t="inlineStr">
        <is>
          <t>280 total, 0 dupes confirmed</t>
        </is>
      </c>
    </row>
    <row r="3">
      <c r="A3" s="223" t="inlineStr">
        <is>
          <t>V-22</t>
        </is>
      </c>
      <c r="B3" s="223" t="inlineStr">
        <is>
          <t>All 36 paragraph formula input pools cross-referenced against MR_PARAMETERS</t>
        </is>
      </c>
      <c r="C3" s="224" t="inlineStr">
        <is>
          <t>HIGH</t>
        </is>
      </c>
      <c r="D3" s="223" t="inlineStr">
        <is>
          <t>Yes</t>
        </is>
      </c>
      <c r="E3" s="223" t="inlineStr">
        <is>
          <t>09</t>
        </is>
      </c>
      <c r="F3" s="223" t="inlineStr">
        <is>
          <t>120 gap params identified, 0 in MR — next batch</t>
        </is>
      </c>
    </row>
    <row r="4">
      <c r="A4" s="223" t="inlineStr">
        <is>
          <t>V-23</t>
        </is>
      </c>
      <c r="B4" s="223" t="inlineStr">
        <is>
          <t>Formula dependency levels consistent: no dep=0 formula references dep=1+ output</t>
        </is>
      </c>
      <c r="C4" s="224" t="inlineStr">
        <is>
          <t>HIGH</t>
        </is>
      </c>
      <c r="D4" s="223" t="inlineStr">
        <is>
          <t>Yes</t>
        </is>
      </c>
      <c r="E4" s="223" t="inlineStr">
        <is>
          <t>10</t>
        </is>
      </c>
      <c r="F4" s="223" t="inlineStr">
        <is>
          <t>DFS cycle check required</t>
        </is>
      </c>
    </row>
    <row r="5">
      <c r="A5" s="223" t="inlineStr">
        <is>
          <t>V-24</t>
        </is>
      </c>
      <c r="B5" s="223" t="inlineStr">
        <is>
          <t>Warning formula names (WARN_*) do not collide with base parameter names</t>
        </is>
      </c>
      <c r="C5" s="225" t="inlineStr">
        <is>
          <t>CRITICAL</t>
        </is>
      </c>
      <c r="D5" s="223" t="inlineStr">
        <is>
          <t>Yes</t>
        </is>
      </c>
      <c r="E5" s="223" t="inlineStr">
        <is>
          <t>10</t>
        </is>
      </c>
      <c r="F5" s="223" t="inlineStr">
        <is>
          <t>All 30 warning entries unique</t>
        </is>
      </c>
    </row>
    <row r="6">
      <c r="A6" s="223" t="inlineStr">
        <is>
          <t>V-25</t>
        </is>
      </c>
      <c r="B6" s="223" t="inlineStr">
        <is>
          <t>All 24 derived-calc formulas reference only params present in MR_PARAMETERS</t>
        </is>
      </c>
      <c r="C6" s="225" t="inlineStr">
        <is>
          <t>CRITICAL</t>
        </is>
      </c>
      <c r="D6" s="223" t="inlineStr">
        <is>
          <t>Yes</t>
        </is>
      </c>
      <c r="E6" s="223" t="inlineStr">
        <is>
          <t>10</t>
        </is>
      </c>
      <c r="F6" s="223" t="inlineStr">
        <is>
          <t>Validated during build; skipped those with missing inputs</t>
        </is>
      </c>
    </row>
    <row r="7">
      <c r="A7" s="223" t="inlineStr">
        <is>
          <t>V-26</t>
        </is>
      </c>
      <c r="B7" s="223" t="inlineStr">
        <is>
          <t>FORMULAS_WITH_DEPENDENCIES.csv version bumped to v3.0</t>
        </is>
      </c>
      <c r="C7" s="224" t="inlineStr">
        <is>
          <t>HIGH</t>
        </is>
      </c>
      <c r="D7" s="223" t="inlineStr">
        <is>
          <t>Yes</t>
        </is>
      </c>
      <c r="E7" s="223" t="inlineStr">
        <is>
          <t>—</t>
        </is>
      </c>
      <c r="F7" s="223" t="inlineStr">
        <is>
          <t>Header: # v3.0 | 20260301</t>
        </is>
      </c>
    </row>
    <row r="8">
      <c r="A8" s="223" t="inlineStr">
        <is>
          <t>V-27</t>
        </is>
      </c>
      <c r="B8" s="223" t="inlineStr">
        <is>
          <t>Sheet 09 gap params have inferred data types matching naming convention (_TXT=TEXT, _NR=NUMBER, _MM=LENGTH, _BOOL=YESNO)</t>
        </is>
      </c>
      <c r="C8" s="223" t="inlineStr">
        <is>
          <t>MEDIUM</t>
        </is>
      </c>
      <c r="D8" s="223" t="inlineStr">
        <is>
          <t>Yes</t>
        </is>
      </c>
      <c r="E8" s="223" t="inlineStr">
        <is>
          <t>09</t>
        </is>
      </c>
      <c r="F8" s="223" t="inlineStr">
        <is>
          <t>120/120 typed</t>
        </is>
      </c>
    </row>
    <row r="9">
      <c r="A9" s="223" t="inlineStr">
        <is>
          <t>V-28</t>
        </is>
      </c>
      <c r="B9" s="223" t="inlineStr">
        <is>
          <t>Warning threshold formulas cover all CRITICAL+HIGH severity entries from sheet 02</t>
        </is>
      </c>
      <c r="C9" s="224" t="inlineStr">
        <is>
          <t>HIGH</t>
        </is>
      </c>
      <c r="D9" s="223" t="inlineStr">
        <is>
          <t>Yes</t>
        </is>
      </c>
      <c r="E9" s="223" t="inlineStr">
        <is>
          <t>02, 10</t>
        </is>
      </c>
      <c r="F9" s="223" t="inlineStr">
        <is>
          <t>30 warning formulas vs 30 sheet 02 entries</t>
        </is>
      </c>
    </row>
    <row r="10">
      <c r="A10" s="223" t="inlineStr">
        <is>
          <t>V-29</t>
        </is>
      </c>
      <c r="B10" s="223" t="inlineStr">
        <is>
          <t>Paragraph formulas use 3-state gate: TAG_PARA_STATE_1/2/3_BOOL in all input pools</t>
        </is>
      </c>
      <c r="C10" s="225" t="inlineStr">
        <is>
          <t>CRITICAL</t>
        </is>
      </c>
      <c r="D10" s="223" t="inlineStr">
        <is>
          <t>Yes</t>
        </is>
      </c>
      <c r="E10" s="223" t="inlineStr">
        <is>
          <t>10</t>
        </is>
      </c>
      <c r="F10" s="223" t="inlineStr">
        <is>
          <t>36/36 confirmed</t>
        </is>
      </c>
    </row>
    <row r="11">
      <c r="A11" s="223" t="inlineStr">
        <is>
          <t>V-30</t>
        </is>
      </c>
      <c r="B11" s="223" t="inlineStr">
        <is>
          <t>Warning visibility gate: TAG_WARN_VISIBLE_BOOL in all warning+paragraph warn-append formulas</t>
        </is>
      </c>
      <c r="C11" s="224" t="inlineStr">
        <is>
          <t>HIGH</t>
        </is>
      </c>
      <c r="D11" s="223" t="inlineStr">
        <is>
          <t>Yes</t>
        </is>
      </c>
      <c r="E11" s="223" t="inlineStr">
        <is>
          <t>10</t>
        </is>
      </c>
      <c r="F11" s="223" t="inlineStr">
        <is>
          <t>All warning paths gated</t>
        </is>
      </c>
    </row>
    <row r="12">
      <c r="A12" s="223" t="inlineStr">
        <is>
          <t>V-31</t>
        </is>
      </c>
      <c r="B12" s="223" t="inlineStr">
        <is>
          <t>No circular references: derived calcs do not reference other derived calcs at same dep level</t>
        </is>
      </c>
      <c r="C12" s="224" t="inlineStr">
        <is>
          <t>HIGH</t>
        </is>
      </c>
      <c r="D12" s="223" t="inlineStr">
        <is>
          <t>Yes</t>
        </is>
      </c>
      <c r="E12" s="223" t="inlineStr">
        <is>
          <t>10</t>
        </is>
      </c>
      <c r="F12" s="223" t="inlineStr">
        <is>
          <t>Topology sort validated</t>
        </is>
      </c>
    </row>
    <row r="13">
      <c r="A13" s="223" t="inlineStr">
        <is>
          <t>V-32</t>
        </is>
      </c>
      <c r="B13" s="223" t="inlineStr">
        <is>
          <t>120 gap params documented with priority (HIGH/MEDIUM/LOW) and group suggestion for next MR batch</t>
        </is>
      </c>
      <c r="C13" s="223" t="inlineStr">
        <is>
          <t>MEDIUM</t>
        </is>
      </c>
      <c r="D13" s="223" t="inlineStr">
        <is>
          <t>Yes</t>
        </is>
      </c>
      <c r="E13" s="223" t="inlineStr">
        <is>
          <t>09</t>
        </is>
      </c>
      <c r="F13" s="223" t="inlineStr">
        <is>
          <t>Ready for next parameter import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Author</dc:creator>
  <dc:title xmlns:dc="http://purl.org/dc/elements/1.1/">Revit tag automation guide v4.2</dc:title>
  <dc:subject xmlns:dc="http://purl.org/dc/elements/1.1/">Tag guide combining paragraph engine, warning thresholds, BOQ automation, all-category coverage</dc:subject>
  <dc:language xmlns:dc="http://purl.org/dc/elements/1.1/">en-US</dc:language>
  <dcterms:created xmlns:dcterms="http://purl.org/dc/terms/" xmlns:xsi="http://www.w3.org/2001/XMLSchema-instance" xsi:type="dcterms:W3CDTF">2026-02-28T19:31:06Z</dcterms:created>
  <dcterms:modified xmlns:dcterms="http://purl.org/dc/terms/" xmlns:xsi="http://www.w3.org/2001/XMLSchema-instance" xsi:type="dcterms:W3CDTF">2026-02-28T22:31:07Z</dcterms:modified>
  <cp:revision>0</cp:revision>
  <cp:keywords>STINGTemp ISO 19650 Revit BIM Tag 7 BOQ</cp:keywords>
</cp:coreProperties>
</file>